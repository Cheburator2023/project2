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/>
  <mc:AlternateContent xmlns:mc="http://schemas.openxmlformats.org/markup-compatibility/2006">
    <mc:Choice Requires="x15">
      <x15ac:absPath xmlns:x15ac="http://schemas.microsoft.com/office/spreadsheetml/2010/11/ac" url="/Users/synikolaev/Downloads/Telegram Desktop/"/>
    </mc:Choice>
  </mc:AlternateContent>
  <xr:revisionPtr revIDLastSave="0" documentId="13_ncr:1_{F31DBE1B-F3AD-4843-9E5B-9E656D027E4D}" xr6:coauthVersionLast="47" xr6:coauthVersionMax="47" xr10:uidLastSave="{00000000-0000-0000-0000-000000000000}"/>
  <bookViews>
    <workbookView xWindow="0" yWindow="500" windowWidth="33600" windowHeight="17900" activeTab="12" xr2:uid="{00000000-000D-0000-FFFF-FFFF00000000}"/>
  </bookViews>
  <sheets>
    <sheet name="IND" sheetId="1" r:id="rId1"/>
    <sheet name="OUT 214 И. внеш" sheetId="2" r:id="rId2"/>
    <sheet name="OUT 21520 Пилот" sheetId="3" r:id="rId3"/>
    <sheet name="OUT 216 ЮО" sheetId="4" r:id="rId4"/>
    <sheet name="OUT 2172030 ТР" sheetId="5" r:id="rId5"/>
    <sheet name="OUT 218 БТ внеш" sheetId="6" r:id="rId6"/>
    <sheet name="OUT 219 ТИС" sheetId="7" r:id="rId7"/>
    <sheet name="INN 210 И. внут" sheetId="8" state="hidden" r:id="rId8"/>
    <sheet name="INN 211 БТ внут" sheetId="9" state="hidden" r:id="rId9"/>
    <sheet name="INN 212 Загрузка" sheetId="10" state="hidden" r:id="rId10"/>
    <sheet name="Параметры" sheetId="11" r:id="rId11"/>
    <sheet name="СА Параметры" sheetId="12" r:id="rId12"/>
    <sheet name="СА Работы" sheetId="14" r:id="rId13"/>
  </sheets>
  <definedNames>
    <definedName name="_xlnm._FilterDatabase" localSheetId="11" hidden="1">'СА Параметры'!$A$1:$L$145</definedName>
    <definedName name="_xlnm._FilterDatabase" localSheetId="12" hidden="1">'СА Работы'!$A$1:$K$73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1" l="1"/>
  <c r="E3" i="10"/>
  <c r="C7" i="10" s="1"/>
  <c r="E9" i="9"/>
  <c r="C13" i="9" s="1"/>
  <c r="E8" i="9"/>
  <c r="E7" i="9"/>
  <c r="E6" i="9"/>
  <c r="C14" i="9" s="1"/>
  <c r="E5" i="9"/>
  <c r="E4" i="9"/>
  <c r="E3" i="9"/>
  <c r="C21" i="9" s="1"/>
  <c r="E8" i="8"/>
  <c r="E7" i="8"/>
  <c r="E6" i="8"/>
  <c r="E5" i="8"/>
  <c r="E4" i="8"/>
  <c r="E3" i="8"/>
  <c r="E5" i="7"/>
  <c r="E4" i="7"/>
  <c r="E3" i="7"/>
  <c r="C11" i="7" s="1"/>
  <c r="E9" i="6"/>
  <c r="E8" i="6"/>
  <c r="E7" i="6"/>
  <c r="E6" i="6"/>
  <c r="E5" i="6"/>
  <c r="E4" i="6"/>
  <c r="E3" i="6"/>
  <c r="C16" i="6" s="1"/>
  <c r="E16" i="5"/>
  <c r="E15" i="5"/>
  <c r="E14" i="5"/>
  <c r="E13" i="5"/>
  <c r="E12" i="5"/>
  <c r="E11" i="5"/>
  <c r="E10" i="5"/>
  <c r="E9" i="5"/>
  <c r="E8" i="5"/>
  <c r="E7" i="5"/>
  <c r="E6" i="5"/>
  <c r="E5" i="5"/>
  <c r="C45" i="5" s="1"/>
  <c r="E4" i="5"/>
  <c r="C44" i="5" s="1"/>
  <c r="E3" i="5"/>
  <c r="C36" i="5" s="1"/>
  <c r="E13" i="4"/>
  <c r="E12" i="4"/>
  <c r="E11" i="4"/>
  <c r="E10" i="4"/>
  <c r="E9" i="4"/>
  <c r="E8" i="4"/>
  <c r="E7" i="4"/>
  <c r="E6" i="4"/>
  <c r="E5" i="4"/>
  <c r="E4" i="4"/>
  <c r="E3" i="4"/>
  <c r="E14" i="3"/>
  <c r="E13" i="3"/>
  <c r="E12" i="3"/>
  <c r="E11" i="3"/>
  <c r="E10" i="3"/>
  <c r="E9" i="3"/>
  <c r="E8" i="3"/>
  <c r="E7" i="3"/>
  <c r="E6" i="3"/>
  <c r="E5" i="3"/>
  <c r="E4" i="3"/>
  <c r="E3" i="3"/>
  <c r="E11" i="2"/>
  <c r="E10" i="2"/>
  <c r="E9" i="2"/>
  <c r="E8" i="2"/>
  <c r="C13" i="2" s="1"/>
  <c r="E7" i="2"/>
  <c r="E6" i="2"/>
  <c r="E5" i="2"/>
  <c r="E4" i="2"/>
  <c r="C15" i="2" s="1"/>
  <c r="E3" i="2"/>
  <c r="G87" i="1"/>
  <c r="G71" i="1" s="1"/>
  <c r="G82" i="1"/>
  <c r="G61" i="1" s="1"/>
  <c r="G51" i="1"/>
  <c r="G35" i="1" s="1"/>
  <c r="G30" i="1"/>
  <c r="G21" i="1"/>
  <c r="G9" i="1"/>
  <c r="G8" i="1"/>
  <c r="G7" i="1"/>
  <c r="G6" i="1"/>
  <c r="G10" i="1" s="1"/>
  <c r="C11" i="9" l="1"/>
  <c r="C12" i="9"/>
  <c r="C23" i="5"/>
  <c r="C15" i="8"/>
  <c r="C17" i="2"/>
  <c r="C20" i="9"/>
  <c r="C15" i="9"/>
  <c r="C20" i="2"/>
  <c r="C22" i="5"/>
  <c r="C24" i="5"/>
  <c r="F35" i="5" s="1"/>
  <c r="C35" i="5" s="1"/>
  <c r="C12" i="6"/>
  <c r="C19" i="8"/>
  <c r="C25" i="3"/>
  <c r="C50" i="5"/>
  <c r="C42" i="5"/>
  <c r="C14" i="2"/>
  <c r="C17" i="6"/>
  <c r="C10" i="8"/>
  <c r="C16" i="2"/>
  <c r="C41" i="5"/>
  <c r="C37" i="5"/>
  <c r="C24" i="4"/>
  <c r="C22" i="4"/>
  <c r="C21" i="4"/>
  <c r="C19" i="4"/>
  <c r="C18" i="4"/>
  <c r="C16" i="4"/>
  <c r="C15" i="4"/>
  <c r="C17" i="4"/>
  <c r="C20" i="4"/>
  <c r="C22" i="3"/>
  <c r="C26" i="3"/>
  <c r="C27" i="3"/>
  <c r="C31" i="3"/>
  <c r="C23" i="4"/>
  <c r="G36" i="1"/>
  <c r="G37" i="1"/>
  <c r="C20" i="5"/>
  <c r="C33" i="5"/>
  <c r="C43" i="5"/>
  <c r="C16" i="8"/>
  <c r="C22" i="9"/>
  <c r="C18" i="3"/>
  <c r="C21" i="5"/>
  <c r="C17" i="8"/>
  <c r="C18" i="8"/>
  <c r="C34" i="3"/>
  <c r="C11" i="6"/>
  <c r="C6" i="10"/>
  <c r="G62" i="1"/>
  <c r="C18" i="2"/>
  <c r="C36" i="3"/>
  <c r="C8" i="7"/>
  <c r="G29" i="1"/>
  <c r="G31" i="1" s="1"/>
  <c r="C19" i="2"/>
  <c r="C24" i="3"/>
  <c r="C27" i="5"/>
  <c r="C38" i="5"/>
  <c r="C51" i="5"/>
  <c r="C13" i="6"/>
  <c r="C9" i="7"/>
  <c r="C11" i="8"/>
  <c r="C17" i="9"/>
  <c r="C8" i="10"/>
  <c r="C19" i="3"/>
  <c r="C33" i="3"/>
  <c r="C25" i="5"/>
  <c r="F34" i="5" s="1"/>
  <c r="C34" i="5" s="1"/>
  <c r="C26" i="5"/>
  <c r="C16" i="9"/>
  <c r="G68" i="1"/>
  <c r="C28" i="5"/>
  <c r="C39" i="5"/>
  <c r="C14" i="6"/>
  <c r="C10" i="7"/>
  <c r="C12" i="8"/>
  <c r="C18" i="9"/>
  <c r="C9" i="10"/>
  <c r="G59" i="1"/>
  <c r="G60" i="1"/>
  <c r="C21" i="3"/>
  <c r="C5" i="10"/>
  <c r="C49" i="5"/>
  <c r="C7" i="7"/>
  <c r="C23" i="3"/>
  <c r="G69" i="1"/>
  <c r="C29" i="5"/>
  <c r="C40" i="5"/>
  <c r="C15" i="6"/>
  <c r="C13" i="8"/>
  <c r="C19" i="9"/>
  <c r="C20" i="3"/>
  <c r="C35" i="3"/>
  <c r="G70" i="1"/>
  <c r="C14" i="8"/>
  <c r="C32" i="3"/>
  <c r="C20" i="8" l="1"/>
  <c r="C21" i="8" s="1"/>
  <c r="C23" i="9"/>
  <c r="C24" i="9" s="1"/>
  <c r="C21" i="2"/>
  <c r="C22" i="2" s="1"/>
  <c r="G38" i="1"/>
  <c r="C52" i="5"/>
  <c r="C53" i="5" s="1"/>
  <c r="C25" i="4"/>
  <c r="C26" i="4" s="1"/>
  <c r="C46" i="5"/>
  <c r="C47" i="5" s="1"/>
  <c r="C30" i="5"/>
  <c r="C18" i="6"/>
  <c r="C19" i="6" s="1"/>
  <c r="C37" i="3"/>
  <c r="C38" i="3" s="1"/>
  <c r="G72" i="1"/>
  <c r="G91" i="1" s="1"/>
  <c r="C12" i="7"/>
  <c r="C13" i="7" s="1"/>
  <c r="C10" i="10"/>
  <c r="C11" i="10" s="1"/>
  <c r="G64" i="1"/>
  <c r="C28" i="3"/>
  <c r="C31" i="5" l="1"/>
  <c r="C17" i="5"/>
  <c r="C18" i="5" s="1"/>
  <c r="C15" i="3"/>
  <c r="C16" i="3" s="1"/>
  <c r="C29" i="3"/>
</calcChain>
</file>

<file path=xl/sharedStrings.xml><?xml version="1.0" encoding="utf-8"?>
<sst xmlns="http://schemas.openxmlformats.org/spreadsheetml/2006/main" count="1946" uniqueCount="473">
  <si>
    <t>Формирование прототипа/Проработка Технич вопросов</t>
  </si>
  <si>
    <r>
      <rPr>
        <b/>
        <sz val="10"/>
        <color theme="1"/>
        <rFont val="Montserrat"/>
      </rPr>
      <t xml:space="preserve">Этап_210. Исследование
</t>
    </r>
    <r>
      <rPr>
        <b/>
        <sz val="8"/>
        <color theme="1"/>
        <rFont val="Montserrat"/>
      </rPr>
      <t>Исследование и описание внутренних источников, выгрузка тестовых данных, мониторинг изменений источников</t>
    </r>
  </si>
  <si>
    <t>Параметр</t>
  </si>
  <si>
    <r>
      <t xml:space="preserve">Кол-во
</t>
    </r>
    <r>
      <rPr>
        <b/>
        <u/>
        <sz val="8"/>
        <color rgb="FF000000"/>
        <rFont val="Arial"/>
        <family val="2"/>
        <scheme val="minor"/>
      </rPr>
      <t>Указать</t>
    </r>
  </si>
  <si>
    <r>
      <t xml:space="preserve">Коэф. К Базе
</t>
    </r>
    <r>
      <rPr>
        <b/>
        <sz val="8"/>
        <color rgb="FF000000"/>
        <rFont val="Arial"/>
        <family val="2"/>
        <scheme val="minor"/>
      </rPr>
      <t>Фиксир.</t>
    </r>
  </si>
  <si>
    <t>Оценка, чд</t>
  </si>
  <si>
    <t>Проработка проверок</t>
  </si>
  <si>
    <t>1. Кол-во Источников к Исследованию (с репликой в ДАПП)</t>
  </si>
  <si>
    <t>Согласование БТ/Передача БТ в разработку</t>
  </si>
  <si>
    <t>2. Кол-во Источников к Исследованию (без реплики в ДАПП)</t>
  </si>
  <si>
    <t>База,чд</t>
  </si>
  <si>
    <r>
      <t xml:space="preserve">3. Требования по Источникам не понятны (кол-во Источников)
*Доп трудозатраты на сбор требований/аналитику по 1 источнику/тематике
</t>
    </r>
    <r>
      <rPr>
        <b/>
        <sz val="8"/>
        <color rgb="FF000000"/>
        <rFont val="Arial"/>
        <family val="2"/>
        <scheme val="minor"/>
      </rPr>
      <t>Из п.1+п.2</t>
    </r>
  </si>
  <si>
    <t>4.Кол-во доп неопределенных на данный момент Источников/Тематик (риск привнесения новых требований)</t>
  </si>
  <si>
    <t>Оценка,чд</t>
  </si>
  <si>
    <t>Дополнительно</t>
  </si>
  <si>
    <r>
      <t xml:space="preserve">Перечень стандартных задач (База)
</t>
    </r>
    <r>
      <rPr>
        <b/>
        <sz val="8"/>
        <color rgb="FF000000"/>
        <rFont val="Arial"/>
        <family val="2"/>
        <scheme val="minor"/>
      </rPr>
      <t>Исследование 1 Источника, с репликой в ДАПП и четко определенными требованиями</t>
    </r>
  </si>
  <si>
    <t>3.Мониторинг таблиц (закладываем ниже, см.этап 230)</t>
  </si>
  <si>
    <t>Задача</t>
  </si>
  <si>
    <t>этап 230, кол-во таблиц умножает на коэф 3, потому что другая команда</t>
  </si>
  <si>
    <t>Оценка Сопровождение Интеграции+Мониторинг,чд</t>
  </si>
  <si>
    <t>Емкость, ч/д</t>
  </si>
  <si>
    <r>
      <t xml:space="preserve">Этап_212. Сопровождение Интеграции (Витрина/Интеграция)+Этап_230(Мониторинг)
</t>
    </r>
    <r>
      <rPr>
        <b/>
        <sz val="8"/>
        <color theme="1"/>
        <rFont val="Montserrat"/>
      </rPr>
      <t>Организация процесса загрузки внутренних данных в Платформу данных для целей моделирования</t>
    </r>
  </si>
  <si>
    <t>Уточнение требований, сбор первичной информации</t>
  </si>
  <si>
    <r>
      <rPr>
        <sz val="8"/>
        <color rgb="FFC00000"/>
        <rFont val="Arial"/>
        <family val="2"/>
        <scheme val="minor"/>
      </rPr>
      <t xml:space="preserve">*** Также требуется вовлечение команды Мониторинг источников данных (Стрим Источники Данных),см.этап 230 ниже
</t>
    </r>
    <r>
      <rPr>
        <sz val="8"/>
        <color rgb="FF000000"/>
        <rFont val="Arial"/>
        <family val="2"/>
        <scheme val="minor"/>
      </rPr>
      <t xml:space="preserve">Напоминание:
</t>
    </r>
    <r>
      <rPr>
        <sz val="8"/>
        <color rgb="FF000000"/>
        <rFont val="Arial"/>
        <family val="2"/>
        <scheme val="minor"/>
      </rPr>
      <t xml:space="preserve">Разработку и подготовку документации осуществляют команд Смежного Стрима (Озера Данных+Поддержка Озера ДАнных+доп Стримы, если участвуют)
</t>
    </r>
  </si>
  <si>
    <t>Исследование Источника/Поиск Данных</t>
  </si>
  <si>
    <r>
      <t xml:space="preserve">Перечень стандартных задач (База)
</t>
    </r>
    <r>
      <rPr>
        <b/>
        <sz val="8"/>
        <color rgb="FF000000"/>
        <rFont val="Arial"/>
        <family val="2"/>
        <scheme val="minor"/>
      </rPr>
      <t xml:space="preserve">База для БТ Стандартная Витрина(не более 5 понятных источников)/БТ Источник Готов к Интеграции </t>
    </r>
  </si>
  <si>
    <t>Анализ Данных/Связок/Проверка качества</t>
  </si>
  <si>
    <r>
      <t xml:space="preserve">Кол-во
</t>
    </r>
    <r>
      <rPr>
        <b/>
        <u/>
        <sz val="8"/>
        <color rgb="FF000000"/>
        <rFont val="Arial"/>
        <family val="2"/>
        <scheme val="minor"/>
      </rPr>
      <t>Указать</t>
    </r>
  </si>
  <si>
    <r>
      <t xml:space="preserve">Коэф. К Базе
</t>
    </r>
    <r>
      <rPr>
        <b/>
        <sz val="8"/>
        <color rgb="FF000000"/>
        <rFont val="Arial"/>
        <family val="2"/>
        <scheme val="minor"/>
      </rPr>
      <t>Фиксир.</t>
    </r>
  </si>
  <si>
    <t>A. Требуется Вывод Витрины в Пром
!Первый этап - заложить исследование Источников для БТ на витрину (См. этап 210)
!!Второй этап - заложить формирование БТ на витрину (См. этап 211)</t>
  </si>
  <si>
    <t>Формирование плана интеграций/согласование сроков</t>
  </si>
  <si>
    <t>Кол-во витрин к выводу в ПРОМ (общее)</t>
  </si>
  <si>
    <t>Корректировка/Согласование документации (АИС/Протоколы/Ролевая Модель)</t>
  </si>
  <si>
    <t>Проработка вопросов с контрагентами</t>
  </si>
  <si>
    <t>Ведение активностей по интеграции (Статусные встречи)</t>
  </si>
  <si>
    <t>Кол-во витрин до 20 метрик</t>
  </si>
  <si>
    <t>Тестирование (ПРЕДПСИ/ПСИ/Доработки после тестирования)</t>
  </si>
  <si>
    <t>Кол-во витрин 20-50 метрик</t>
  </si>
  <si>
    <t>Организация выгрузок</t>
  </si>
  <si>
    <t>Проверка на ПРОМ Контуре/Заведение инцидентов</t>
  </si>
  <si>
    <t>Кол-во витрин &gt;50 метрик</t>
  </si>
  <si>
    <t>Оценка Сопровождение вывода Витрина,чд</t>
  </si>
  <si>
    <t>Оформление Аналитической Записки</t>
  </si>
  <si>
    <t>Расследование проблем с качеством/контроль устранения</t>
  </si>
  <si>
    <t>Можно ли положить этот параметр в общую информацию с коэф как в КМ 30% или это будет локальный параметр витрины</t>
  </si>
  <si>
    <t>Напоминание:
- Смежный Стрим (Витрины и Сервисы Озера Данных) осуществляют разработку и подготовку документации
- Проработка возможности вывода витрины силами Стрима Облако Данных - только с участием внешних данных в витрине + только цели ДАДМ</t>
  </si>
  <si>
    <t xml:space="preserve">В. Требуется Вывод Источника в Пром ПД
!Первый этап - заложить формирование БТ на интеграцию (См. этап 211)
</t>
  </si>
  <si>
    <t>1. Кол-во источников к выводу в ПРОМ (готовы к интеграции, доработки выполнены)</t>
  </si>
  <si>
    <t>Кол-во источников к интеграции в ПД(Доработки ИС  (ЛМД,и т.д)+простая архитектура)</t>
  </si>
  <si>
    <t>2. Кол-во источников к выводу в ПРОМ (необходима доработка)</t>
  </si>
  <si>
    <t>Кол-во источников сложная интеграция (проработка архитектуры,доработка источника)</t>
  </si>
  <si>
    <r>
      <t xml:space="preserve">Кол-во интеграций с промежуточными системами (например СХК,СФП, и тд) 
</t>
    </r>
    <r>
      <rPr>
        <b/>
        <sz val="8"/>
        <color rgb="FF000000"/>
        <rFont val="Arial"/>
        <family val="2"/>
        <scheme val="minor"/>
      </rPr>
      <t xml:space="preserve">Из п.1+п.2
</t>
    </r>
  </si>
  <si>
    <t>Оценка БТ Интеграция,чд</t>
  </si>
  <si>
    <t>Кол-во неопределенных на данный момент Источников/Метрик с неопредел.логикой расчета (риск привнесения новых требований)</t>
  </si>
  <si>
    <t xml:space="preserve">След.шаг по выводу интеграции в ПРОМ/оценке работ
- Запрос оценки Смежного Стрима (Озера Данных+Поддержка Озера ДАнных+доп Стримы, если участвуют)
</t>
  </si>
  <si>
    <t>Оценка БТ Витрина,чд</t>
  </si>
  <si>
    <r>
      <t xml:space="preserve">Перечень стандартных задач (База)
</t>
    </r>
    <r>
      <rPr>
        <b/>
        <sz val="8"/>
        <color rgb="FF000000"/>
        <rFont val="Arial"/>
        <family val="2"/>
        <scheme val="minor"/>
      </rPr>
      <t xml:space="preserve">База для БТ Стандартная Витрина(не более 5 понятных источников)/БТ Источник Готов к Интеграции </t>
    </r>
  </si>
  <si>
    <t>След.шаг по выводу витрины/оценке работ
- Запрос оценки Смежного Стрима (Витрины и Сервисы Озера Данных)
- Проработка возможности вывода витрины силами Стрима Облако Данных - только с участием внешних данных в витрине + только цели ДАДМ</t>
  </si>
  <si>
    <t xml:space="preserve">B. Требуется БТ на интеграцию Источника в ПД
</t>
  </si>
  <si>
    <t>Кол-во источников к интеграции в ПД(Высокая готовность (не требуются доработки)+простая архитектура)</t>
  </si>
  <si>
    <t>Сбор начальных требований</t>
  </si>
  <si>
    <t>Постановка RDS/План/Сроки</t>
  </si>
  <si>
    <t xml:space="preserve">Анализ Источников </t>
  </si>
  <si>
    <r>
      <t xml:space="preserve">Этап_211. Разработка БТ (Витрина/Интеграция)
</t>
    </r>
    <r>
      <rPr>
        <b/>
        <sz val="8"/>
        <color theme="1"/>
        <rFont val="Montserrat"/>
      </rPr>
      <t>Разработка БТ (ТР) по реализации процесса загрузки данных или по витринам на внешних/внутренних данных</t>
    </r>
  </si>
  <si>
    <r>
      <t xml:space="preserve">Кол-во
</t>
    </r>
    <r>
      <rPr>
        <b/>
        <u/>
        <sz val="8"/>
        <color rgb="FF000000"/>
        <rFont val="Arial"/>
        <family val="2"/>
        <scheme val="minor"/>
      </rPr>
      <t>Указать</t>
    </r>
  </si>
  <si>
    <t>Общая оценка 212+230</t>
  </si>
  <si>
    <r>
      <t xml:space="preserve">Коэф. К Базе
</t>
    </r>
    <r>
      <rPr>
        <b/>
        <sz val="8"/>
        <color rgb="FF000000"/>
        <rFont val="Arial"/>
        <family val="2"/>
        <scheme val="minor"/>
      </rPr>
      <t>Фиксир.</t>
    </r>
  </si>
  <si>
    <r>
      <rPr>
        <b/>
        <sz val="10"/>
        <color theme="1"/>
        <rFont val="Montserrat"/>
      </rPr>
      <t xml:space="preserve">Этап_230. Мониторинг Источников (для Этапа_212)
</t>
    </r>
    <r>
      <rPr>
        <b/>
        <sz val="8"/>
        <color theme="1"/>
        <rFont val="Montserrat"/>
      </rPr>
      <t>Процесс организации мониторинга источника/Витрины после вывода на пром</t>
    </r>
  </si>
  <si>
    <t>A. Требуется БТ на разработку витрины
!Первый этап - заложить исследование Источников для БТ на витрину (См. этап 210)</t>
  </si>
  <si>
    <t>Кол-во источников в витрине</t>
  </si>
  <si>
    <t>формула</t>
  </si>
  <si>
    <t>Если иточников &lt;6, берем чд из базы, если больше получает коэф и умножаем на базу чд + округление</t>
  </si>
  <si>
    <t>Описание Бизнес Требования (Шаблон)</t>
  </si>
  <si>
    <t>Проработка связок/Архитектуры</t>
  </si>
  <si>
    <t>Кол-во объектов для мониторинга (таблиц)</t>
  </si>
  <si>
    <r>
      <t xml:space="preserve">Кол-во
</t>
    </r>
    <r>
      <rPr>
        <b/>
        <u/>
        <sz val="8"/>
        <color rgb="FF000000"/>
        <rFont val="Arial"/>
        <family val="2"/>
        <scheme val="minor"/>
      </rPr>
      <t>Указать</t>
    </r>
  </si>
  <si>
    <t xml:space="preserve">Коэф. </t>
  </si>
  <si>
    <t>Исследование и описание внешних источников, выгрузка тестовых данных, мониторинг изменений источников</t>
  </si>
  <si>
    <t>Параметр работ</t>
  </si>
  <si>
    <t>Значение параметра</t>
  </si>
  <si>
    <t>Влияние</t>
  </si>
  <si>
    <t>вар 1</t>
  </si>
  <si>
    <t>вар 2</t>
  </si>
  <si>
    <t>вар 3</t>
  </si>
  <si>
    <t>вар 4</t>
  </si>
  <si>
    <t>вар 5</t>
  </si>
  <si>
    <t>вар 6</t>
  </si>
  <si>
    <t>вар 7</t>
  </si>
  <si>
    <r>
      <t>Инициировано предыдущим этапом (</t>
    </r>
    <r>
      <rPr>
        <i/>
        <sz val="8"/>
        <color theme="1"/>
        <rFont val="Montserrat"/>
      </rPr>
      <t>например, инициировано загрузкой, в которой уже прошла часть аналитики</t>
    </r>
    <r>
      <rPr>
        <sz val="8"/>
        <color theme="1"/>
        <rFont val="Montserrat"/>
      </rPr>
      <t>)</t>
    </r>
  </si>
  <si>
    <t>Нет</t>
  </si>
  <si>
    <t>Сложность предметной области. Оценивается лидером команды/стрима исполнителя на основании опыта и профиля команды.</t>
  </si>
  <si>
    <t>Средняя</t>
  </si>
  <si>
    <t>Объем запроса по сущностям. Ориентировочное соответствие оценки к сущностям: Т: 1-4 М: 5-9 С: 9-15 К: 15-20 Б: 20-25 М: 25+. Соответствие не точное и может отличаться. Оценивается лидером команды/стрима исполнителя на опыте работы с подобными сущностями и количества описывающих сущность атрибутов.</t>
  </si>
  <si>
    <t>Среднее</t>
  </si>
  <si>
    <t>Детализация и ясность запроса в RDS или ином артефакте, предоставляемые заказчиком</t>
  </si>
  <si>
    <t>Неизвестно</t>
  </si>
  <si>
    <t>Определены ли исследуемые источник(и) или исследование предполагает их поиск</t>
  </si>
  <si>
    <t>214 Состав работ команды Внешние Данные</t>
  </si>
  <si>
    <t>Объём, чд</t>
  </si>
  <si>
    <t>база</t>
  </si>
  <si>
    <t>зависимость</t>
  </si>
  <si>
    <t>Интервьюирование заказчика, подтверждение финансирования и обработка RDS</t>
  </si>
  <si>
    <t>Конкретизированы ли искомые данные или состав/объём данных понадобится в каждом источнике определять в согласовании с заказчиком</t>
  </si>
  <si>
    <t>Планирование и работа с бэклогом</t>
  </si>
  <si>
    <t>Необходимо ли заключение NDA</t>
  </si>
  <si>
    <t>Сбор и анализ требований</t>
  </si>
  <si>
    <t>Поиск и анализ источника(ов) и данных</t>
  </si>
  <si>
    <t>Подготовка АЗ для заключения NDA, согласование содержания NDA</t>
  </si>
  <si>
    <t>Согласен ли Источник на стандартную форму NDA</t>
  </si>
  <si>
    <t>Получение визы от ИБ и ЮБ по возможности обмена конфиденциальными данными</t>
  </si>
  <si>
    <t>Предмет исследования включает в себя конфиденциальные данные</t>
  </si>
  <si>
    <t>Подготовка Отчета о проведенном Исследовании и согласование результата</t>
  </si>
  <si>
    <t>Доработка внутренней документации и информационных ресурсов группы</t>
  </si>
  <si>
    <t>ИТОГО:</t>
  </si>
  <si>
    <t>Проведение пилота по внешним данным</t>
  </si>
  <si>
    <t>Пилот / разовая загрузка предусматривает обмен конфиденциальными данными</t>
  </si>
  <si>
    <t>Объем запроса по сущностям. Ориентировочное соотвествие оценки к сущностям: Т: 1-4 М: 5-9 С: 9-15 К: 15-20 Б: 20-25 М: 25+. Соотвествие не точное и может отличаться. Оценивается лидером команды/стрима исполнителя на опыта работы с подобными сущностями и количества описывающих сущность атрибутов.</t>
  </si>
  <si>
    <t>Пилот / разовая загрузка предусматривает хэширование/шифрование</t>
  </si>
  <si>
    <t>Инициировано предыдущим этапом (например, инициировано загрузкой, в которой уже прошла часть аналитики)</t>
  </si>
  <si>
    <t>Пилот / разовая загрузка предусматривает двусторонний обмен данными</t>
  </si>
  <si>
    <t>Предусматривает ли пилот разовую загрузку командой Облако в ИС харнения Банка?</t>
  </si>
  <si>
    <t>ИТОГО по стриму "Источники данных":</t>
  </si>
  <si>
    <t>215 Состав работ команды Внешние Данные</t>
  </si>
  <si>
    <t>Есть ли юридические основания для проведения пилота / разовой загрузки</t>
  </si>
  <si>
    <t>Новый пилот или повторный</t>
  </si>
  <si>
    <t>Согласование и корректировка входящих требований</t>
  </si>
  <si>
    <t>Доработка внутренней документации и инфрмационных ресурсов группы</t>
  </si>
  <si>
    <t>Согласование и проверка модели данных s2t</t>
  </si>
  <si>
    <t>Работы по разворачиванию и настройке новой инфраструктуры</t>
  </si>
  <si>
    <t>Организация и контроль проведения пилота / разовой загрузки</t>
  </si>
  <si>
    <t>Загрузка данных в ИС хранения Банка</t>
  </si>
  <si>
    <t>Прием и анализ результатов пилота / разовой загрузки</t>
  </si>
  <si>
    <t>220 Состав работ команды Облако данных ETL / DANN</t>
  </si>
  <si>
    <t>макс</t>
  </si>
  <si>
    <t>Подготовка Отчета о проведении пилота / разовой загрузки и согласование результата</t>
  </si>
  <si>
    <t>бэклог 1чд</t>
  </si>
  <si>
    <t>Оперативное обеспечение юридического основания или инициация этапа</t>
  </si>
  <si>
    <t>х2, Доработка внутренней документации и инфрмационных ресурсов группы</t>
  </si>
  <si>
    <t>Согласование пилота / разовой загрузки с ИБ и ЮБ</t>
  </si>
  <si>
    <t>Сопровождение юридического обеспечения (ЮО) отношений Банка с Источником внешних данных</t>
  </si>
  <si>
    <t>Согласование интеграции с ИБ и ЮБ</t>
  </si>
  <si>
    <t>Договор предусматривает регламентную или разовую загрузу</t>
  </si>
  <si>
    <t>Подготовка ТЗ для проведения соревновательной процедуры</t>
  </si>
  <si>
    <t>Предусмотрено ли проведение соревновательной процедуры (конкурса)</t>
  </si>
  <si>
    <t>Согласен ли Источник на стандартную форму договора Банка</t>
  </si>
  <si>
    <t>Договор предусматривает двусторонний обмен данными</t>
  </si>
  <si>
    <t>Анализ ТЗ по результатам отборочной процедуры</t>
  </si>
  <si>
    <t>Договор предусматривает обмен конфиденциальными данными</t>
  </si>
  <si>
    <t>216 Состав работ команды Внешние Данные</t>
  </si>
  <si>
    <t>Подготовка АЗ для договора, согласование содержания договора</t>
  </si>
  <si>
    <t xml:space="preserve">Сопровождение юридического обеспечения нужно в СА? </t>
  </si>
  <si>
    <t>Подготовка приложения к договору</t>
  </si>
  <si>
    <t>260 Решение по обмену данными</t>
  </si>
  <si>
    <r>
      <rPr>
        <b/>
        <sz val="8"/>
        <color theme="1"/>
        <rFont val="Montserrat"/>
      </rPr>
      <t xml:space="preserve">220 Состав работ команды "Облако данных ETL" / "Облако данных" * (ИС 1505)
</t>
    </r>
    <r>
      <rPr>
        <i/>
        <sz val="8"/>
        <color theme="1"/>
        <rFont val="Montserrat"/>
      </rPr>
      <t>* Оценка делится пополам и распределяется по обеим командам. Какая именно команда будет реализовывать решение определяется после проработки запроса командой Внешние данные</t>
    </r>
  </si>
  <si>
    <t>Новое решение или доработка существующего</t>
  </si>
  <si>
    <t>230 Состав работ команды "Мониторинг источников данных"</t>
  </si>
  <si>
    <t>Работа над артефактом АР</t>
  </si>
  <si>
    <t>Постановка источника на мониторинг</t>
  </si>
  <si>
    <t>Работа над артефактами ТПиС, ПМИ</t>
  </si>
  <si>
    <t>Известны ли все стеикхолдеры (владелец сервиса, разработчик модели / витрин, РП и тд.)</t>
  </si>
  <si>
    <t>Данные необходимы заказчику непосредственно или через витрины / модель</t>
  </si>
  <si>
    <t>Согласование артефактов и заведение заявок на доступы</t>
  </si>
  <si>
    <t>Разработка Решения</t>
  </si>
  <si>
    <t>Решение предусматривает двусторонний обмен данными</t>
  </si>
  <si>
    <t>Тестирование и отладка Решения</t>
  </si>
  <si>
    <t>Состав работ стрима "Поддержка хранилищ данных и систем отчетности" (ПХДиСО)
команды "Поддержка систем и сервисов больших данных ЛПА" (ПС и СБД ЛПА)</t>
  </si>
  <si>
    <t>Проведение ИФТ Решения</t>
  </si>
  <si>
    <t>Работы команды ПС и СБД ЛПА обязательны для реализации вывода решение в пром, а также осуществления прикладной поддержки. Перечень и оценка работ осуществляется командой ПС и СБД ЛПА по обращению.</t>
  </si>
  <si>
    <t>217 Состав работ команды Внешние Данные</t>
  </si>
  <si>
    <t>Работы команды на этапе внедрения Решения</t>
  </si>
  <si>
    <t>~ 5-10 чд</t>
  </si>
  <si>
    <t>Прикладная поддержка на время действия проекта</t>
  </si>
  <si>
    <t>~ 1 чд на каждый месяц действия проекта</t>
  </si>
  <si>
    <r>
      <rPr>
        <i/>
        <sz val="8"/>
        <color theme="1"/>
        <rFont val="Montserrat"/>
      </rPr>
      <t>Потспроектная прикладная поддержка (</t>
    </r>
    <r>
      <rPr>
        <i/>
        <sz val="8"/>
        <color rgb="FF980000"/>
        <rFont val="Montserrat"/>
      </rPr>
      <t>отдельный пункт бюджета проекта</t>
    </r>
    <r>
      <rPr>
        <i/>
        <sz val="8"/>
        <color theme="1"/>
        <rFont val="Montserrat"/>
      </rPr>
      <t>)</t>
    </r>
  </si>
  <si>
    <t>~ 1-2 чд на каждый месяц на 3 года ~ 36-72 чд</t>
  </si>
  <si>
    <t>?</t>
  </si>
  <si>
    <t>Есть ли юридические основания для реализация решения по обмену данными</t>
  </si>
  <si>
    <t>Сложность реализации. Определяется техническим лидом команды/стрима исполнителя.</t>
  </si>
  <si>
    <t>Проведение Тестирования Решения и ПСИ</t>
  </si>
  <si>
    <t>Составление модели данных s2t</t>
  </si>
  <si>
    <t>Вывод Решения в Промышленную эксплуатацию</t>
  </si>
  <si>
    <t>Составление ТР</t>
  </si>
  <si>
    <t>Решение предусматривает хэширование/шифрование</t>
  </si>
  <si>
    <t>Решение предусматривает обмен конфиденциальными данными</t>
  </si>
  <si>
    <t>Согласование АР, участие в Тестировании и ПСИ</t>
  </si>
  <si>
    <t>Данные необходимы заказчику непосредственно или через вторичные витрины / модель</t>
  </si>
  <si>
    <t>Сложность логики формирования витрины и предметной области. Оценивается лидером команды/стрима исполнителя на основании опыта и профиля команды.</t>
  </si>
  <si>
    <t>Составление БТ</t>
  </si>
  <si>
    <t>218 Состав работ команды "Внешние Данные"</t>
  </si>
  <si>
    <t>Согласование артефактов Озера данных, участие в Тестировании и ПСИ</t>
  </si>
  <si>
    <t>Создание витрин</t>
  </si>
  <si>
    <t>~ 50-100 чд</t>
  </si>
  <si>
    <t>Состав работ стрима "Витрины и сервисы озера данных" (ВиСОД)
команды "Витрины внешних данных"</t>
  </si>
  <si>
    <r>
      <rPr>
        <i/>
        <sz val="8"/>
        <color rgb="FF980000"/>
        <rFont val="Montserrat"/>
      </rPr>
      <t xml:space="preserve">Работы команды "Витрины внешних данных" обязательны для реализации витрин. Перечень и оценка работ осуществляется командой "Витрины внешних данных" по обращению (обычно это 60+ чд).
</t>
    </r>
    <r>
      <rPr>
        <i/>
        <sz val="8"/>
        <color rgb="FF980000"/>
        <rFont val="Montserrat"/>
      </rPr>
      <t xml:space="preserve">Исключением является только случай создания витрин для построяения моделей </t>
    </r>
    <r>
      <rPr>
        <b/>
        <i/>
        <sz val="8"/>
        <color rgb="FF980000"/>
        <rFont val="Montserrat"/>
      </rPr>
      <t>командами ДАДМ</t>
    </r>
    <r>
      <rPr>
        <i/>
        <sz val="8"/>
        <color rgb="FF980000"/>
        <rFont val="Montserrat"/>
      </rPr>
      <t>. В таком случае не пишутся БТ, а дорабатывается или пишется ТР. Перечень работ осуществляется 217/220/230 этопами.</t>
    </r>
  </si>
  <si>
    <t>Разработка БТ для витрин на внешних данных</t>
  </si>
  <si>
    <t>Необходимо ли изучение регламентов Банка по ведению радактируемого раздела</t>
  </si>
  <si>
    <t>Сбор и анализ требований по изменениям</t>
  </si>
  <si>
    <t>Да</t>
  </si>
  <si>
    <t>Объем изменения, вносимого в ТИС</t>
  </si>
  <si>
    <t>Необходимо ли пеерсогласование артефакта</t>
  </si>
  <si>
    <t>Системный анализ</t>
  </si>
  <si>
    <t>219 Состав работ команды Внешние Данные</t>
  </si>
  <si>
    <t>Изучение регламентов Банка по ведению редактируемого раздела/ов</t>
  </si>
  <si>
    <t>Редактирование артефакта</t>
  </si>
  <si>
    <t>Согласование артефакта</t>
  </si>
  <si>
    <t>Ведение артефактов ТИС</t>
  </si>
  <si>
    <t>Запрос выгрузок, контроль получения</t>
  </si>
  <si>
    <t>210 Состав работ команды Внутренние Данные</t>
  </si>
  <si>
    <t>Исследование и описание внутренних источников, выгрузка тестовых данных, мониторинг изменений источников</t>
  </si>
  <si>
    <r>
      <rPr>
        <sz val="8"/>
        <color theme="1"/>
        <rFont val="Montserrat"/>
      </rPr>
      <t>Инициировано предыдущим этапом (</t>
    </r>
    <r>
      <rPr>
        <i/>
        <sz val="8"/>
        <color theme="1"/>
        <rFont val="Montserrat"/>
      </rPr>
      <t>например, инициировано загрузкой, в которой уже прошла часть аналитики</t>
    </r>
    <r>
      <rPr>
        <sz val="8"/>
        <color theme="1"/>
        <rFont val="Montserrat"/>
      </rPr>
      <t>)</t>
    </r>
  </si>
  <si>
    <t>Высокая</t>
  </si>
  <si>
    <t>Масштабное</t>
  </si>
  <si>
    <t>Разработка БТ (ТР) по реализации процесса загрузки данных и по витринам на внешних/внутренних данных</t>
  </si>
  <si>
    <t>Непосредственно</t>
  </si>
  <si>
    <t>Проработка связок</t>
  </si>
  <si>
    <t>211 Состав работ команды "Внутренние Данные"</t>
  </si>
  <si>
    <t>Доработка</t>
  </si>
  <si>
    <t xml:space="preserve">Формирование прототипа </t>
  </si>
  <si>
    <t>Точечное</t>
  </si>
  <si>
    <t>Сбор Требований</t>
  </si>
  <si>
    <r>
      <rPr>
        <i/>
        <sz val="8"/>
        <color rgb="FF980000"/>
        <rFont val="Montserrat"/>
      </rPr>
      <t xml:space="preserve">Работы команды "Витрины внутренних данных" обязательны для реализации витрин для любых задач. Перечень и оценка работ осуществляется командой "Витрины внутренних данных" по обращению (обычно это 60+ чд).
</t>
    </r>
    <r>
      <rPr>
        <i/>
        <sz val="8"/>
        <color rgb="FF980000"/>
        <rFont val="Montserrat"/>
      </rPr>
      <t xml:space="preserve">Исключением является только случай создания витрин для построяения моделей </t>
    </r>
    <r>
      <rPr>
        <b/>
        <i/>
        <sz val="8"/>
        <color rgb="FF980000"/>
        <rFont val="Montserrat"/>
      </rPr>
      <t xml:space="preserve">командами ДАДМ </t>
    </r>
    <r>
      <rPr>
        <i/>
        <sz val="8"/>
        <color rgb="FF980000"/>
        <rFont val="Montserrat"/>
      </rPr>
      <t>при условии использования в них и внешних данных. В таком случае не пишутся БТ, а дорабатывается или пишется ТР. Перечень работ осуществляется 217/220/230 этопами.</t>
    </r>
  </si>
  <si>
    <t>Передача БТ в разработку</t>
  </si>
  <si>
    <t>Состав работ стрима "Витрины и сервисы озера данных" (ВиСОД)
команды "Витрины внутренних данных"</t>
  </si>
  <si>
    <t>Проверка на ПРОМ Контуре</t>
  </si>
  <si>
    <t>Организация процесса загрузки внутренних данных в Платформу данных для целей моделирования</t>
  </si>
  <si>
    <t>Корректировка/Согласование документации (АИС/Протоколы/Ролевая Модель))</t>
  </si>
  <si>
    <t>Сложность</t>
  </si>
  <si>
    <t>L1</t>
  </si>
  <si>
    <t>...</t>
  </si>
  <si>
    <t>Ведение активностей по интеграции (Лидирование/Сопровождение)</t>
  </si>
  <si>
    <t>212 Состав работ команды "Внутренние Данные"</t>
  </si>
  <si>
    <t>А кто делает загрузку? ВиСОД</t>
  </si>
  <si>
    <t>Финансовые параметры</t>
  </si>
  <si>
    <t>Ставка за день</t>
  </si>
  <si>
    <t>Коэф.сложности INN</t>
  </si>
  <si>
    <r>
      <rPr>
        <b/>
        <sz val="8"/>
        <color theme="1"/>
        <rFont val="Montserrat"/>
      </rPr>
      <t xml:space="preserve">L1
</t>
    </r>
    <r>
      <rPr>
        <sz val="8"/>
        <color theme="1"/>
        <rFont val="Montserrat"/>
      </rPr>
      <t>Например: Исследование интегрированного Источника/Ранее было похожее исследование + наличие активных контрагентов</t>
    </r>
  </si>
  <si>
    <r>
      <rPr>
        <b/>
        <sz val="8"/>
        <color theme="1"/>
        <rFont val="Montserrat"/>
      </rPr>
      <t xml:space="preserve">L2
</t>
    </r>
    <r>
      <rPr>
        <sz val="8"/>
        <color theme="1"/>
        <rFont val="Montserrat"/>
      </rPr>
      <t>Например: Значительное кол-во открытых вопросов/Ранее не исслед тематика, проблемы с качеством/Необходим поиск консультантов</t>
    </r>
  </si>
  <si>
    <t>Ставка за час</t>
  </si>
  <si>
    <r>
      <rPr>
        <b/>
        <sz val="8"/>
        <color theme="1"/>
        <rFont val="Montserrat"/>
      </rPr>
      <t xml:space="preserve">L3
</t>
    </r>
    <r>
      <rPr>
        <sz val="8"/>
        <color theme="1"/>
        <rFont val="Montserrat"/>
      </rPr>
      <t>Например: Исследование неинтегрированного источника,отсутсвие консультантов,необх получение выгрузкок (СЗ и т.д.)</t>
    </r>
  </si>
  <si>
    <t>Источники данных</t>
  </si>
  <si>
    <t>Детальная Информация</t>
  </si>
  <si>
    <t>Арх.Компонент.Система источник</t>
  </si>
  <si>
    <t>Блок</t>
  </si>
  <si>
    <t>Раздел</t>
  </si>
  <si>
    <t>Тип</t>
  </si>
  <si>
    <t>Название</t>
  </si>
  <si>
    <t>Из 16 базовых работ этапов 215 и 220, коэффициент учитывается только в 3. Какие Можно ли этот пункт вынести в чекбокс и константы 2/3/4чд?</t>
  </si>
  <si>
    <t>Вопросы</t>
  </si>
  <si>
    <t>Комментарий</t>
  </si>
  <si>
    <t>Арх.Компонент.Процессы Обработки данных</t>
  </si>
  <si>
    <t>Справочник</t>
  </si>
  <si>
    <t>Наличие реплики в DAPP (да/нет)</t>
  </si>
  <si>
    <t xml:space="preserve">Требования по Источникам не понятны </t>
  </si>
  <si>
    <t>Что имеется в виду (количество потоков, количество атрибутов и т.п.)?</t>
  </si>
  <si>
    <t>Тип источника данных (внуренний/внешний)</t>
  </si>
  <si>
    <t>Источники данных?</t>
  </si>
  <si>
    <t>Кол-во доп неопределенных на данный момент Источников/Тематик (риск привнесения новых требований)</t>
  </si>
  <si>
    <t>2 одинаковых состава работ для потока и витрины со своими отдельными наборами параметров Возможно разделение?</t>
  </si>
  <si>
    <t>Чем отличается от предыдущего пункта? Что понимается под неопределенным источником?</t>
  </si>
  <si>
    <t xml:space="preserve">Это работы внешнего стрима? </t>
  </si>
  <si>
    <t>Арх.Компонент.Объект данных</t>
  </si>
  <si>
    <t>В явном виде параметр пользователем не заполняется.</t>
  </si>
  <si>
    <t>Неопределенный на данный момент Источников/Метрик с неопредел.логикой расчета (риск привнесения новых требований)</t>
  </si>
  <si>
    <t>Чем отличается от строки 4?
Корректно ли такое различие в коэффициентах?</t>
  </si>
  <si>
    <t>Берется cостав работ команды Внешние Данные Этапов 217 (константы брать при всех коэфициентах = 1):, по умолчанию неизвестное - коэф 1, новый - 1.1, доработка  текущего- 0.75</t>
  </si>
  <si>
    <t>Неизвестно количество, логика метрик, в т.ч. источников для их расчета</t>
  </si>
  <si>
    <t>Арх.Компонент.Процесс обработки данных</t>
  </si>
  <si>
    <t>Берется cостав работ команды Внешние Данные Этапов 217 (константы брать при всех коэфициентах = 1):, по умолчанию неизвестное - коэф 1, нет - 1.1, да - 0.9</t>
  </si>
  <si>
    <t>Уточнить состав задачи.
Объединить 3 параметра в один - простая интеграция коэф 0.5, средняя коэф 0.8, сложная коэф 1.2</t>
  </si>
  <si>
    <t>Этап 214</t>
  </si>
  <si>
    <t>Берется cостав работ команды Внешние Данные Этапов 217 (константы брать при всех коэфициентах = 1):, по умолчанию неизвестное - коэф 1, непосредственно - 0.8, опосредованно - 1.2</t>
  </si>
  <si>
    <t>Либо параметр на уровне источника данных, либо отдельные параметры на уровне процесса обработки и объекта</t>
  </si>
  <si>
    <t xml:space="preserve"> источников к интеграции в ПД(Доработки ИС  (ЛМД,и т.д)+простая архитектура)</t>
  </si>
  <si>
    <t>Берется cостав работ команды Внешние Данные Этапов 217 (константы брать при всех коэфициентах = 1):, по умолчанию неизвестное - коэф 1, да - 0, нет - 1.25</t>
  </si>
  <si>
    <t>источников сложная интеграция (проработка архитектуры,доработка источника)</t>
  </si>
  <si>
    <t>Арх.Компонент. Объект данных</t>
  </si>
  <si>
    <t>Количество витрин к выводу в ПРОМ (общее)</t>
  </si>
  <si>
    <t>Берется cостав работ команды Внешние Данные Этапов 217 (константы брать при всех коэфициентах = 1):, по умолчанию среднее - коэф 1, неизв - 1.25, низкая - 0.75, высокая - 1.5</t>
  </si>
  <si>
    <t xml:space="preserve">
Реализуется через 2 параметра:
Признак промышленной витрины
Количество метрик</t>
  </si>
  <si>
    <t>Что понимается под витриной (источник или итоговый приемник)</t>
  </si>
  <si>
    <t xml:space="preserve">Почему ТИС отдельно, а не включен в другие этапы? </t>
  </si>
  <si>
    <t>20-50 метрик</t>
  </si>
  <si>
    <t>&gt;50 метрик</t>
  </si>
  <si>
    <t>Уточнить смысл пункта
Как вариант - параметр "Сложность интеграции" с 3-мя коэффициентами</t>
  </si>
  <si>
    <t>источников к выводу в ПРОМ (необходима доработка)</t>
  </si>
  <si>
    <t>Этап 215</t>
  </si>
  <si>
    <t>интеграций с промежуточными системами (например СХК,СФП, и тд)</t>
  </si>
  <si>
    <t>Количество объектов для мониторинга (таблиц/ источника/Витрины)</t>
  </si>
  <si>
    <t>Что понимается под мониторингом? 
Нужно ли дублировать параметр и в источники, и в витрины или это параметр Источников данных</t>
  </si>
  <si>
    <t>Арх.Компонент.Система источник?</t>
  </si>
  <si>
    <t>Состав работ добавляется по заполнению поля Источник для для арх.компонента система источник</t>
  </si>
  <si>
    <t>Этап 216</t>
  </si>
  <si>
    <t xml:space="preserve">Это аналог поля с СА источников данных внутренних - Кол-во доп неопределенных на данный момент Источников/Тематик (риск привнесения новых требований) ? </t>
  </si>
  <si>
    <t>Этап 217</t>
  </si>
  <si>
    <t xml:space="preserve">Этап 218 нужен только для написания БТ?
Нужен ли отдельный параметр необходимость БТ для витрины? </t>
  </si>
  <si>
    <t>Этап 218</t>
  </si>
  <si>
    <t>Состав работ добавляется по заполнению поля "Источник для" для арх.компонента процесс обработки данных</t>
  </si>
  <si>
    <t>Этап 219</t>
  </si>
  <si>
    <t>Стрим</t>
  </si>
  <si>
    <t>Арх. Компонент</t>
  </si>
  <si>
    <t>Контекст</t>
  </si>
  <si>
    <t>Тип работы</t>
  </si>
  <si>
    <t>Наличие норматива</t>
  </si>
  <si>
    <t>Параметр-триггер</t>
  </si>
  <si>
    <t>Параметры трудоемкости</t>
  </si>
  <si>
    <t>Кто может заполнить</t>
  </si>
  <si>
    <t>Этап 210</t>
  </si>
  <si>
    <t>Анализ Данных, Связок, Проверка качества</t>
  </si>
  <si>
    <t>Этап 211</t>
  </si>
  <si>
    <t>Этап 212</t>
  </si>
  <si>
    <t>Опциональная</t>
  </si>
  <si>
    <t>Этап 230</t>
  </si>
  <si>
    <t>Признак промышленной витрины, Количество метрик
Сложность интеграции, (?) Мониторинг</t>
  </si>
  <si>
    <t>Признак промышленной витрины, Количество метрик</t>
  </si>
  <si>
    <t>Наличие реплики в DAPP (количества да/нет), Требования по Источникам не понятны, Кол-во доп неопределенных на данный момент Источников/Тематик (риск привнесения новых требований)</t>
  </si>
  <si>
    <t>Кол-во источников в витрине, Неопределенный на данный момент Источников/Метрик с неопредел.логикой расчета (риск привнесения новых требований)
Сложность интеграции (+расчетное количество)</t>
  </si>
  <si>
    <t>Какие виды работ возможны (разработка с нуля, доработка, и так далее)? Будет ли различатся трудоемкость для разных видов работ?</t>
  </si>
  <si>
    <r>
      <t xml:space="preserve">1. Берем чд из списка констант стандартных задач источников этапа </t>
    </r>
    <r>
      <rPr>
        <b/>
        <sz val="10"/>
        <color rgb="FF000000"/>
        <rFont val="Calibri"/>
        <family val="2"/>
        <charset val="204"/>
      </rPr>
      <t xml:space="preserve">210
</t>
    </r>
    <r>
      <rPr>
        <sz val="10"/>
        <color rgb="FF000000"/>
        <rFont val="Calibri"/>
        <family val="2"/>
        <charset val="204"/>
      </rPr>
      <t>2а. Если да, выводится типовая работа с базовым чд
2б. Если нет, выводится типовая работа с базовым чд * на коэфициент 1.5</t>
    </r>
  </si>
  <si>
    <r>
      <t xml:space="preserve">1а. Если чекбокс не стоит, базовые чд источников из констант этапа </t>
    </r>
    <r>
      <rPr>
        <b/>
        <sz val="10"/>
        <color rgb="FF000000"/>
        <rFont val="Calibri"/>
        <family val="2"/>
        <charset val="204"/>
      </rPr>
      <t xml:space="preserve">210
</t>
    </r>
    <r>
      <rPr>
        <sz val="10"/>
        <color rgb="FF000000"/>
        <rFont val="Calibri"/>
        <family val="2"/>
        <charset val="204"/>
      </rPr>
      <t>1б. Если стоит, умножаем базовые чд на 0.3, итоговую цифру добавляем к общим чд источника</t>
    </r>
  </si>
  <si>
    <r>
      <t xml:space="preserve">Берем чд из списка констант стандартных задач источников этапа </t>
    </r>
    <r>
      <rPr>
        <b/>
        <sz val="10"/>
        <color rgb="FF000000"/>
        <rFont val="Calibri"/>
        <family val="2"/>
        <charset val="204"/>
      </rPr>
      <t xml:space="preserve">210
</t>
    </r>
    <r>
      <rPr>
        <sz val="10"/>
        <color rgb="FF000000"/>
        <rFont val="Calibri"/>
        <family val="2"/>
        <charset val="204"/>
      </rPr>
      <t>Если да, то базовые чд уножаем на х1.5
Остальные параметры не участвуют в рассчете</t>
    </r>
  </si>
  <si>
    <r>
      <t xml:space="preserve">
Если кол-во источников в витрине больше 5, то добавляется коэффциент к Базовым чд вычисляемый по формуле - кол-во текущих источников в витрине / 5 и полученный коэффициент умножаем на кол-во чд из Базовых этапа </t>
    </r>
    <r>
      <rPr>
        <b/>
        <sz val="10"/>
        <color rgb="FF000000"/>
        <rFont val="Calibri"/>
        <family val="2"/>
        <charset val="204"/>
      </rPr>
      <t>211</t>
    </r>
  </si>
  <si>
    <r>
      <t xml:space="preserve">Кол-во источников умножается на базовый коэф х10, этап </t>
    </r>
    <r>
      <rPr>
        <b/>
        <sz val="10"/>
        <color rgb="FF000000"/>
        <rFont val="Calibri"/>
        <family val="2"/>
        <charset val="204"/>
      </rPr>
      <t xml:space="preserve">211
</t>
    </r>
  </si>
  <si>
    <r>
      <rPr>
        <b/>
        <sz val="10"/>
        <color rgb="FFFF0000"/>
        <rFont val="Calibri"/>
        <family val="2"/>
        <charset val="204"/>
      </rPr>
      <t xml:space="preserve"> </t>
    </r>
    <r>
      <rPr>
        <sz val="10"/>
        <color rgb="FF000000"/>
        <rFont val="Calibri"/>
        <family val="2"/>
        <charset val="204"/>
      </rPr>
      <t>источников к интеграции в ПД(Высокая готовность (не требуются доработки)+простая архитектура)</t>
    </r>
  </si>
  <si>
    <r>
      <t xml:space="preserve">Если да, Берем итоговый чд из списка констант стандартных задач витрин, этапа </t>
    </r>
    <r>
      <rPr>
        <b/>
        <sz val="10"/>
        <color rgb="FF000000"/>
        <rFont val="Calibri"/>
        <family val="2"/>
        <charset val="204"/>
      </rPr>
      <t>211</t>
    </r>
    <r>
      <rPr>
        <sz val="10"/>
        <color rgb="FF000000"/>
        <rFont val="Calibri"/>
        <family val="2"/>
        <charset val="204"/>
      </rPr>
      <t xml:space="preserve"> и умножаем на коэф 0.5</t>
    </r>
  </si>
  <si>
    <r>
      <t xml:space="preserve">Если да, Берем итоговый чд из списка констант стандартных задач витрин, этапа </t>
    </r>
    <r>
      <rPr>
        <b/>
        <sz val="10"/>
        <color rgb="FF000000"/>
        <rFont val="Calibri"/>
        <family val="2"/>
        <charset val="204"/>
      </rPr>
      <t>211</t>
    </r>
    <r>
      <rPr>
        <sz val="10"/>
        <color rgb="FF000000"/>
        <rFont val="Calibri"/>
        <family val="2"/>
        <charset val="204"/>
      </rPr>
      <t xml:space="preserve"> и умножаем на коэф 0.8</t>
    </r>
  </si>
  <si>
    <r>
      <t xml:space="preserve">Если да, Берем итоговый чд из списка констант стандартных задач витрин, этапа </t>
    </r>
    <r>
      <rPr>
        <b/>
        <sz val="10"/>
        <color rgb="FF000000"/>
        <rFont val="Calibri"/>
        <family val="2"/>
        <charset val="204"/>
      </rPr>
      <t>211</t>
    </r>
    <r>
      <rPr>
        <sz val="10"/>
        <color rgb="FF000000"/>
        <rFont val="Calibri"/>
        <family val="2"/>
        <charset val="204"/>
      </rPr>
      <t xml:space="preserve"> и умножаем на коэф 1.2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</si>
  <si>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Calibri"/>
        <family val="2"/>
        <charset val="204"/>
      </rPr>
      <t>212</t>
    </r>
    <r>
      <rPr>
        <sz val="10"/>
        <color rgb="FF000000"/>
        <rFont val="Calibri"/>
        <family val="2"/>
        <charset val="204"/>
      </rPr>
      <t xml:space="preserve"> (до 20 метрик по умолчанию)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</si>
  <si>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Calibri"/>
        <family val="2"/>
        <charset val="204"/>
      </rPr>
      <t>212</t>
    </r>
    <r>
      <rPr>
        <sz val="10"/>
        <color rgb="FF000000"/>
        <rFont val="Calibri"/>
        <family val="2"/>
        <charset val="204"/>
      </rPr>
      <t xml:space="preserve"> + итоговый чд * 0.2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</si>
  <si>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Calibri"/>
        <family val="2"/>
        <charset val="204"/>
      </rPr>
      <t>212</t>
    </r>
    <r>
      <rPr>
        <sz val="10"/>
        <color rgb="FF000000"/>
        <rFont val="Calibri"/>
        <family val="2"/>
        <charset val="204"/>
      </rPr>
      <t xml:space="preserve"> + итоговый чд * 0.4</t>
    </r>
  </si>
  <si>
    <r>
      <rPr>
        <b/>
        <sz val="10"/>
        <color rgb="FF000000"/>
        <rFont val="Calibri"/>
        <family val="2"/>
        <charset val="204"/>
      </rPr>
      <t xml:space="preserve">Количество </t>
    </r>
    <r>
      <rPr>
        <sz val="10"/>
        <color rgb="FF000000"/>
        <rFont val="Calibri"/>
        <family val="2"/>
        <charset val="204"/>
      </rPr>
      <t>источников к выводу в ПРОМ (готовы к интеграции, доработки выполнены)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</si>
  <si>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Calibri"/>
        <family val="2"/>
        <charset val="204"/>
      </rPr>
      <t>212</t>
    </r>
    <r>
      <rPr>
        <sz val="10"/>
        <color rgb="FF000000"/>
        <rFont val="Calibri"/>
        <family val="2"/>
        <charset val="204"/>
      </rPr>
      <t xml:space="preserve"> * 0.5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</si>
  <si>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Calibri"/>
        <family val="2"/>
        <charset val="204"/>
      </rPr>
      <t>212</t>
    </r>
    <r>
      <rPr>
        <sz val="10"/>
        <color rgb="FF000000"/>
        <rFont val="Calibri"/>
        <family val="2"/>
        <charset val="204"/>
      </rPr>
      <t xml:space="preserve"> * 0.8</t>
    </r>
  </si>
  <si>
    <r>
      <t xml:space="preserve">Если да, Берем итоговый чд из списка констант стандартных задач прома, этапа </t>
    </r>
    <r>
      <rPr>
        <b/>
        <sz val="10"/>
        <color rgb="FF000000"/>
        <rFont val="Calibri"/>
        <family val="2"/>
        <charset val="204"/>
      </rPr>
      <t>212</t>
    </r>
    <r>
      <rPr>
        <sz val="10"/>
        <color rgb="FF000000"/>
        <rFont val="Calibri"/>
        <family val="2"/>
        <charset val="204"/>
      </rPr>
      <t xml:space="preserve"> * 1.5</t>
    </r>
  </si>
  <si>
    <r>
      <t xml:space="preserve">Этап </t>
    </r>
    <r>
      <rPr>
        <b/>
        <sz val="10"/>
        <color rgb="FF000000"/>
        <rFont val="Calibri"/>
        <family val="2"/>
        <charset val="204"/>
      </rPr>
      <t>230</t>
    </r>
    <r>
      <rPr>
        <sz val="10"/>
        <color rgb="FF000000"/>
        <rFont val="Calibri"/>
        <family val="2"/>
        <charset val="204"/>
      </rPr>
      <t>. Если да, то мониторинг для 1 объекта (источника/витрины) +3чд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</si>
  <si>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Calibri"/>
        <family val="2"/>
        <charset val="204"/>
      </rPr>
      <t>214</t>
    </r>
    <r>
      <rPr>
        <sz val="10"/>
        <color rgb="FF000000"/>
        <rFont val="Calibri"/>
        <family val="2"/>
        <charset val="204"/>
      </rPr>
      <t xml:space="preserve"> из справочника (#7 справочник, константы брать при всех коэфициентах = 1), и если стоит да, этот базовый состав работ * 0.75, по умолчанию 1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</si>
  <si>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Calibri"/>
        <family val="2"/>
        <charset val="204"/>
      </rPr>
      <t>214</t>
    </r>
    <r>
      <rPr>
        <sz val="10"/>
        <color rgb="FF000000"/>
        <rFont val="Calibri"/>
        <family val="2"/>
        <charset val="204"/>
      </rPr>
      <t xml:space="preserve"> из справочника (#7 справочник, константы брать при всех коэфициентах = 1):
по умолчанию средняя - коэф 1, неизвестно - коэф 1.25, высокая - коэф 1.5, низкая - коэф 0.75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</si>
  <si>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Calibri"/>
        <family val="2"/>
        <charset val="204"/>
      </rPr>
      <t>214</t>
    </r>
    <r>
      <rPr>
        <sz val="10"/>
        <color rgb="FF000000"/>
        <rFont val="Calibri"/>
        <family val="2"/>
        <charset val="204"/>
      </rPr>
      <t xml:space="preserve"> из справочника (#7 справочник, константы брать при всех коэфициентах = 1):, по умолчанию среднее - коэф 1, неизвестное и крупное - 1.25, большое - 1.5, масштабное - 1.75, точечное - 0.5, малое - 0.75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</si>
  <si>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Calibri"/>
        <family val="2"/>
        <charset val="204"/>
      </rPr>
      <t>214</t>
    </r>
    <r>
      <rPr>
        <sz val="10"/>
        <color rgb="FF000000"/>
        <rFont val="Calibri"/>
        <family val="2"/>
        <charset val="204"/>
      </rPr>
      <t xml:space="preserve"> из справочника (#7 справочник, константы брать при всех коэфициентах = 1):, по умолчанию неизвестное - коэф 1, низкая - 1.5, средняя - 1.25, высокая - 0.75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</si>
  <si>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Calibri"/>
        <family val="2"/>
        <charset val="204"/>
      </rPr>
      <t>214</t>
    </r>
    <r>
      <rPr>
        <sz val="10"/>
        <color rgb="FF000000"/>
        <rFont val="Calibri"/>
        <family val="2"/>
        <charset val="204"/>
      </rPr>
      <t xml:space="preserve"> из справочника (#7 справочник, константы брать при всех коэфициентах = 1):, по умолчанию неизвестное - коэф 1, да - 0.75, нет - 1.25</t>
    </r>
  </si>
  <si>
    <r>
      <t xml:space="preserve">Берется cостав работ команды Внешние Данные Этапа </t>
    </r>
    <r>
      <rPr>
        <b/>
        <sz val="10"/>
        <color rgb="FF000000"/>
        <rFont val="Calibri"/>
        <family val="2"/>
        <charset val="204"/>
      </rPr>
      <t>214</t>
    </r>
    <r>
      <rPr>
        <sz val="10"/>
        <color rgb="FF000000"/>
        <rFont val="Calibri"/>
        <family val="2"/>
        <charset val="204"/>
      </rPr>
      <t xml:space="preserve"> из справочника (#7 справочник, константы брать при всех коэфициентах = 1):, по умолчанию неизвестное - коэф 1, да - 1.25, нет - 0</t>
    </r>
  </si>
  <si>
    <r>
      <t xml:space="preserve">Берется cостав работ команды Внешние Данные </t>
    </r>
    <r>
      <rPr>
        <b/>
        <sz val="10"/>
        <color rgb="FF000000"/>
        <rFont val="Calibri"/>
        <family val="2"/>
        <charset val="204"/>
      </rPr>
      <t>Этапов 215 и 220</t>
    </r>
    <r>
      <rPr>
        <sz val="10"/>
        <color rgb="FF000000"/>
        <rFont val="Calibri"/>
        <family val="2"/>
        <charset val="204"/>
      </rPr>
      <t xml:space="preserve"> из справочников (</t>
    </r>
    <r>
      <rPr>
        <b/>
        <sz val="10"/>
        <color rgb="FF000000"/>
        <rFont val="Calibri"/>
        <family val="2"/>
        <charset val="204"/>
      </rPr>
      <t xml:space="preserve">#8 и #9 </t>
    </r>
    <r>
      <rPr>
        <sz val="10"/>
        <color rgb="FF000000"/>
        <rFont val="Calibri"/>
        <family val="2"/>
        <charset val="204"/>
      </rPr>
      <t>справочники, константы брать при всех коэфициентах = 1):, по умолчанию неизвестное - коэф 1, новый - 1.1, повторный - 0.75</t>
    </r>
  </si>
  <si>
    <r>
      <t xml:space="preserve">Берется cостав работ команды Внешние Данные </t>
    </r>
    <r>
      <rPr>
        <b/>
        <sz val="10"/>
        <color rgb="FF000000"/>
        <rFont val="Calibri"/>
        <family val="2"/>
        <charset val="204"/>
      </rPr>
      <t>Этапов 215 и 220</t>
    </r>
    <r>
      <rPr>
        <sz val="10"/>
        <color rgb="FF000000"/>
        <rFont val="Calibri"/>
        <family val="2"/>
        <charset val="204"/>
      </rPr>
      <t xml:space="preserve"> из справочников (</t>
    </r>
    <r>
      <rPr>
        <b/>
        <sz val="10"/>
        <color rgb="FF000000"/>
        <rFont val="Calibri"/>
        <family val="2"/>
        <charset val="204"/>
      </rPr>
      <t xml:space="preserve">#8 и #9 </t>
    </r>
    <r>
      <rPr>
        <sz val="10"/>
        <color rgb="FF000000"/>
        <rFont val="Calibri"/>
        <family val="2"/>
        <charset val="204"/>
      </rPr>
      <t>справочники, константы брать при всех коэфициентах = 1):, по умолчанию неизвестное - коэф 1, да - 1.25, нет - 0</t>
    </r>
  </si>
  <si>
    <r>
      <t xml:space="preserve">Берется cостав работ команды Внешние Данные Этапов </t>
    </r>
    <r>
      <rPr>
        <b/>
        <sz val="10"/>
        <color rgb="FF000000"/>
        <rFont val="Calibri"/>
        <family val="2"/>
        <charset val="204"/>
      </rPr>
      <t>215</t>
    </r>
    <r>
      <rPr>
        <sz val="10"/>
        <color rgb="FF000000"/>
        <rFont val="Calibri"/>
        <family val="2"/>
        <charset val="204"/>
      </rPr>
      <t xml:space="preserve"> и </t>
    </r>
    <r>
      <rPr>
        <b/>
        <sz val="10"/>
        <color rgb="FF000000"/>
        <rFont val="Calibri"/>
        <family val="2"/>
        <charset val="204"/>
      </rPr>
      <t>220</t>
    </r>
    <r>
      <rPr>
        <sz val="10"/>
        <color rgb="FF000000"/>
        <rFont val="Calibri"/>
        <family val="2"/>
        <charset val="204"/>
      </rPr>
      <t xml:space="preserve"> из справочников (#8 и #9 справочники, константы брать при всех коэфициентах = 1):, по умолчанию неизвестное - коэф 1, да - 1.25, нет - 0</t>
    </r>
  </si>
  <si>
    <r>
      <t xml:space="preserve">Берется cостав работ команды Внешние Данные Этапов </t>
    </r>
    <r>
      <rPr>
        <b/>
        <sz val="10"/>
        <color rgb="FF000000"/>
        <rFont val="Calibri"/>
        <family val="2"/>
        <charset val="204"/>
      </rPr>
      <t>215</t>
    </r>
    <r>
      <rPr>
        <sz val="10"/>
        <color rgb="FF000000"/>
        <rFont val="Calibri"/>
        <family val="2"/>
        <charset val="204"/>
      </rPr>
      <t xml:space="preserve"> и </t>
    </r>
    <r>
      <rPr>
        <b/>
        <sz val="10"/>
        <color rgb="FF000000"/>
        <rFont val="Calibri"/>
        <family val="2"/>
        <charset val="204"/>
      </rPr>
      <t>220</t>
    </r>
    <r>
      <rPr>
        <sz val="10"/>
        <color rgb="FF000000"/>
        <rFont val="Calibri"/>
        <family val="2"/>
        <charset val="204"/>
      </rPr>
      <t xml:space="preserve"> из справочников (#8 и #9 справочники, константы брать при всех коэфициентах = 1):, по умолчанию неизвестное - коэф 1, да - 1.25, нет - 0.9</t>
    </r>
  </si>
  <si>
    <t xml:space="preserve">
Дублируют ли параметры общую неопределенность?</t>
  </si>
  <si>
    <t>Учтонить про условие срабатывания по полю - Новый пилот или повторный</t>
  </si>
  <si>
    <t>Результат выбора</t>
  </si>
  <si>
    <t>ИД. Внешний</t>
  </si>
  <si>
    <t>ИД. Внутренний</t>
  </si>
  <si>
    <t>Этап 215, 220</t>
  </si>
  <si>
    <t>Дублируется на всех этапах. Выглядит как дубль параметры "Общая неопределенность"?
Аналог параметры "Требования по источниками не понятны" ИД. Внутренний?</t>
  </si>
  <si>
    <t>Название оригинальное</t>
  </si>
  <si>
    <t>NDA: 1) Нет, 2) Стандартное, 3) Нестандартное</t>
  </si>
  <si>
    <t>Объединить параметры NDA</t>
  </si>
  <si>
    <t>Наличие конфиденциальных данных</t>
  </si>
  <si>
    <t>Пилот: 1) Нет, 2) Первичный, 3) Повторный</t>
  </si>
  <si>
    <t>Дублируется на всех этапах. Выглядит как дубль параметры "Общая неопределенность"?</t>
  </si>
  <si>
    <t>Требуется хэширование/ шифрование</t>
  </si>
  <si>
    <t>Двусторонний обмен данными</t>
  </si>
  <si>
    <t>Юридическое основание для пилота: 1) Есть, 2) Нет</t>
  </si>
  <si>
    <t>Отсутствует</t>
  </si>
  <si>
    <t xml:space="preserve">
Применения параметра в структуре СА СУМ воспринимается сложно. Кроме того, для этапа 214 нет предыдущего</t>
  </si>
  <si>
    <t>Пилот. Интервьюирование заказчика, подтверждение финансирования и обработка RDS</t>
  </si>
  <si>
    <t>Пилот. Планирование и работа с бэклогом</t>
  </si>
  <si>
    <t>Пилот. Сбор и анализ требований</t>
  </si>
  <si>
    <t>Пилот. Подготовка АЗ для заключения NDA, согласование содержания NDA</t>
  </si>
  <si>
    <t>Пилот. Согласование пилота / разовой загрузки с ИБ и ЮБ</t>
  </si>
  <si>
    <t>Пилот. Организация и контроль проведения пилота / разовой загрузки</t>
  </si>
  <si>
    <t>Пилот. Прием и анализ результатов пилота / разовой загрузки</t>
  </si>
  <si>
    <t>Пилот. Подготовка Отчета о проведении пилота / разовой загрузки и согласование результата</t>
  </si>
  <si>
    <t>Пилот. Доработка внутренней документации и инфрмационных ресурсов группы</t>
  </si>
  <si>
    <t>Пилот. Оперативное обеспечение юридического основания</t>
  </si>
  <si>
    <t>Арх.Компонент. Система-источник</t>
  </si>
  <si>
    <t>Арх.Компонент.Система-источник</t>
  </si>
  <si>
    <t xml:space="preserve">Аналог параметра "Требуется пилот" в Основной информации? Может либыть пилот только по данным, но не по модели? </t>
  </si>
  <si>
    <t xml:space="preserve">Уточнить это договор для источника в целом или могут быть разные для отдельных потоков? </t>
  </si>
  <si>
    <t>Тип источника (внешний), Пилот (первичный, повторный)</t>
  </si>
  <si>
    <t>Тип источника (внешний)</t>
  </si>
  <si>
    <t>Тип загрузки данных: 1) Однократный, 2) Регламентный</t>
  </si>
  <si>
    <t>Предусмотрено проведение конкурса</t>
  </si>
  <si>
    <t>Стандартная форма договора с Банком</t>
  </si>
  <si>
    <t>Тип источника (внутренний)</t>
  </si>
  <si>
    <t>Тип системы-источника: 1) Внутренний, 2) Внешний</t>
  </si>
  <si>
    <t>Что значит непосредственно? Сырые данные?
Нужен ли данный параметр, если в случае потребности в витрине она будет явно заведена как отдельный арх. компонент?</t>
  </si>
  <si>
    <t>По сути выгдядит аналогом переметров сложности предметной области и общей неопределенности.</t>
  </si>
  <si>
    <t>Тип работ: 1) Разработка, 2) Доработка</t>
  </si>
  <si>
    <t>Тип работ (для арх. компонента)</t>
  </si>
  <si>
    <t>Аналог параметра про юр. основания для пилота. Объединить?</t>
  </si>
  <si>
    <t>Отсутствует?</t>
  </si>
  <si>
    <t>Параметр задублирован для 2-х арх. компонентов</t>
  </si>
  <si>
    <t xml:space="preserve">Параметр задублирован для 2-х арх. компонентов
На что влияет? он не участвует в рассчетах </t>
  </si>
  <si>
    <t>Сложность реализации</t>
  </si>
  <si>
    <t>Использовать единый параметр с внутренними данными</t>
  </si>
  <si>
    <t>Обсудить возможность "наследования" значени параметра от Системы-источника (если жто всегда применимо)</t>
  </si>
  <si>
    <t>Дубль параметра "Сложность реализации. Определяется техническим лидом команды/стрима исполнителя"?</t>
  </si>
  <si>
    <t>Как отражать пилот в СА (с детализацией по арх. компонентами или без)?
Если с детализацией - соотнести работы с арх. компонентами, при необходимости, продублировать.</t>
  </si>
  <si>
    <t>Некоторые названия работ дублируются на разных этапах. Как их отражать в СА: отдельными строками (с различающимися названиями), одной строкой с суммарными трудозатратами?
Необходимость такой детализации? Возможно ли ограничиться этапами?</t>
  </si>
  <si>
    <t>? Пилот (первичный, повторный)</t>
  </si>
  <si>
    <t>Новый</t>
  </si>
  <si>
    <t>Не понятно условие появления работ
Тип источника (внешний)</t>
  </si>
  <si>
    <t>Этап 220</t>
  </si>
  <si>
    <t>Контроль моделей</t>
  </si>
  <si>
    <t>Общая информация</t>
  </si>
  <si>
    <t>Ручной</t>
  </si>
  <si>
    <t>Вычисляемый</t>
  </si>
  <si>
    <t>Определение необходимости промышленной реализации</t>
  </si>
  <si>
    <t>При выборе умножать сумму общих трудозатрат по всем вида контролей - на коэффициент из констант ОСР</t>
  </si>
  <si>
    <t>Количество интеграционных решений</t>
  </si>
  <si>
    <t>Тип источника</t>
  </si>
  <si>
    <t>Необходимость подготовки документов</t>
  </si>
  <si>
    <t>Разработка интеграционного решения</t>
  </si>
  <si>
    <t>Количество интеграционных решений, Тип источника, Необходимость подготовки документов</t>
  </si>
  <si>
    <t>Арх. Компонетнт.Модельный сервис</t>
  </si>
  <si>
    <t>Выбор класса моделей</t>
  </si>
  <si>
    <t>Класс модели определяет типовые затраты из констант по каждому типу контроля</t>
  </si>
  <si>
    <t>Виды контроля</t>
  </si>
  <si>
    <t>Выбор типовых работ по контролям моделей</t>
  </si>
  <si>
    <t>Класс модели</t>
  </si>
  <si>
    <t>Вид контроля</t>
  </si>
  <si>
    <t>ПК - Рекалибровка модели</t>
  </si>
  <si>
    <t>При выборе умножать трудозатраты по видам контролей ОК, АК, КМЗ на коэффициент из констант Коэфициентов</t>
  </si>
  <si>
    <t>ПК - Использование существующей модели в другом канале</t>
  </si>
  <si>
    <t>ПК - Переработка существующей модели, которая стоит на контроле</t>
  </si>
  <si>
    <t>ПК - Модель ПВР/Регуляторная</t>
  </si>
  <si>
    <t>Вопрос: калибровка 4 р/год (соц. инженерия)?. Регулярное перестроение модели. Как задать периодичность</t>
  </si>
  <si>
    <t>Как в СУМ завести модели, внедренные в нескольких каналах?</t>
  </si>
  <si>
    <t>Тип работ (иземнение структуры с новой версией).
Оценивается сразе, привязка к другому РФД</t>
  </si>
  <si>
    <t>Тип работ: Калибровка</t>
  </si>
  <si>
    <t>Тип работ: Внедрение (в новый канал)</t>
  </si>
  <si>
    <t>Тип работ (модельный сервис)</t>
  </si>
  <si>
    <t>Тип работ: Доработка</t>
  </si>
  <si>
    <t>ПВР/Регуляторный</t>
  </si>
  <si>
    <t>Детальная информация</t>
  </si>
  <si>
    <t>Арх. Компонент.Модель</t>
  </si>
  <si>
    <t>ПК - Ансамбль / каскад моделей</t>
  </si>
  <si>
    <t>Проверяем по наличию компонента с признаком каскад/ансабмль</t>
  </si>
  <si>
    <t>Роль модели</t>
  </si>
  <si>
    <t>Роли моделей: 1) Обычная, 2) Оркестратор</t>
  </si>
  <si>
    <t>ПК - Новый тип модели по направлению моделирования</t>
  </si>
  <si>
    <t>Новый вид контроля</t>
  </si>
  <si>
    <t>Параметры</t>
  </si>
  <si>
    <t xml:space="preserve">ПК - Применение модели/сервиса в разных контурах (region и inno.local), что влечет за собой сохранение логов с результатами применения модели/сервиса в разных витринах-источниках </t>
  </si>
  <si>
    <t>ПК - Применение модели/сервиса для разных пользовательских сценариев (коэффициент применяется на каждый доп. сценарий, т.е. применяется коэффициент в степени n, где n — количество сценариев)</t>
  </si>
  <si>
    <t>ПК - Определенность структуры логов или необходимость её проработки (применяется при необходимости проработки структуры логов)</t>
  </si>
  <si>
    <t>ПК - Отсутствие необходимости контролировать работу каждой отдельной модели, требуется контролировать работу сервиса / каскада моделей</t>
  </si>
  <si>
    <t>Применение модельного сервиса в разных контурах (region и inno.local)</t>
  </si>
  <si>
    <t>Требуется проработка структуры логов</t>
  </si>
  <si>
    <t>Требуется контроль для каждой модели сервиса в отдельности</t>
  </si>
  <si>
    <t>Разнородность пользовательских сценариев  применения модельного сервиса: 1) Нет, 2) Единая структура логов, 3) Разные структуры логов</t>
  </si>
  <si>
    <t>Разнородность пользовательских сценариев  применения модельного сервиса</t>
  </si>
  <si>
    <t>Оценка влияния моделей [ОВ]</t>
  </si>
  <si>
    <t>Арх.Компонент. Модельный сервис</t>
  </si>
  <si>
    <t>Качество модельных данных [КД]</t>
  </si>
  <si>
    <t>Технический контроль [ТМ]</t>
  </si>
  <si>
    <t>Оперативный контроль [ОК]</t>
  </si>
  <si>
    <t>Аналитический контроль [АК]</t>
  </si>
  <si>
    <t>Контроль модельных значений [КМЗ]</t>
  </si>
  <si>
    <t xml:space="preserve">Реализация проверок качества модельных данных </t>
  </si>
  <si>
    <t>Реализация технического контроля</t>
  </si>
  <si>
    <t>Реализация оперативного контроля</t>
  </si>
  <si>
    <t>Реализация аналитического контроля</t>
  </si>
  <si>
    <t>Реализация контроля модельных значений</t>
  </si>
  <si>
    <t>Оценка влияния моделей</t>
  </si>
  <si>
    <t>Вид контроля: КД</t>
  </si>
  <si>
    <t>Вид контроля: ТМ</t>
  </si>
  <si>
    <t>Вид контроля: ОК</t>
  </si>
  <si>
    <t>Вид контроля: АК</t>
  </si>
  <si>
    <t>Вид контроля: КМЗ</t>
  </si>
  <si>
    <t>Вид контроля: ОВ</t>
  </si>
  <si>
    <t>При выборе влияется на трудоемкость работы "Разработка интеграционного решения"</t>
  </si>
  <si>
    <t>Определение необходимости промышленной реализации, Выбор класса моделей</t>
  </si>
  <si>
    <t>Определение необходимости промышленной реализации, Выбор класса моделей
Тип работ, ПВР/Регуляторный, Роль модели, Новый вид контроля, Применение модельного сервиса в разных контурах (region и inno.local), Разнородность пользовательских сценариев применения модельного сервиса, Требуется проработка структуры логов, Требуется контроль для каждой модели сервиса в отдельности</t>
  </si>
  <si>
    <t>Классы моделей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</si>
</sst>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[$ ₽]"/>
  </numFmts>
  <fonts count="33" x14ac:knownFonts="1">
    <font>
      <sz val="11"/>
      <name val="Calibri"/>
    </font>
    <font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sz val="8"/>
      <color theme="1"/>
      <name val="Montserrat"/>
    </font>
    <font>
      <b/>
      <sz val="8"/>
      <color theme="1"/>
      <name val="Montserrat"/>
    </font>
    <font>
      <b/>
      <sz val="9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b/>
      <sz val="10"/>
      <color theme="1"/>
      <name val="Montserrat"/>
    </font>
    <font>
      <sz val="8"/>
      <color rgb="FFC00000"/>
      <name val="Arial"/>
      <family val="2"/>
      <scheme val="minor"/>
    </font>
    <font>
      <sz val="8"/>
      <color rgb="FFB7B7B7"/>
      <name val="Montserrat"/>
    </font>
    <font>
      <sz val="8"/>
      <color rgb="FFCCCCCC"/>
      <name val="Montserrat"/>
    </font>
    <font>
      <b/>
      <sz val="8"/>
      <color rgb="FF073763"/>
      <name val="Montserrat"/>
    </font>
    <font>
      <i/>
      <sz val="8"/>
      <color theme="1"/>
      <name val="Montserrat"/>
    </font>
    <font>
      <b/>
      <sz val="8"/>
      <color rgb="FF1C4587"/>
      <name val="Montserrat"/>
    </font>
    <font>
      <sz val="8"/>
      <color rgb="FF000000"/>
      <name val="Montserrat"/>
    </font>
    <font>
      <i/>
      <sz val="8"/>
      <color rgb="FF980000"/>
      <name val="Montserrat"/>
    </font>
    <font>
      <b/>
      <sz val="8"/>
      <color rgb="FF980000"/>
      <name val="Montserrat"/>
    </font>
    <font>
      <i/>
      <sz val="8"/>
      <color rgb="FF000000"/>
      <name val="Montserrat"/>
    </font>
    <font>
      <b/>
      <sz val="8"/>
      <color rgb="FF000000"/>
      <name val="Montserrat"/>
    </font>
    <font>
      <b/>
      <u/>
      <sz val="8"/>
      <color rgb="FF000000"/>
      <name val="Arial"/>
      <family val="2"/>
      <scheme val="minor"/>
    </font>
    <font>
      <b/>
      <i/>
      <sz val="8"/>
      <color rgb="FF980000"/>
      <name val="Montserrat"/>
    </font>
    <font>
      <sz val="8"/>
      <color theme="1"/>
      <name val="Calibri"/>
      <family val="2"/>
      <charset val="204"/>
    </font>
    <font>
      <b/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theme="1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0"/>
      <color rgb="FFFF0000"/>
      <name val="Calibri"/>
      <family val="2"/>
      <charset val="204"/>
    </font>
    <font>
      <sz val="8"/>
      <name val="Calibri"/>
      <family val="2"/>
      <charset val="204"/>
    </font>
    <font>
      <sz val="11"/>
      <name val="Calibri"/>
      <family val="2"/>
      <charset val="204"/>
    </font>
  </fonts>
  <fills count="46">
    <fill>
      <patternFill patternType="none"/>
    </fill>
    <fill>
      <patternFill patternType="gray125"/>
    </fill>
    <fill>
      <patternFill patternType="solid">
        <fgColor theme="0" tint="-0.149967955565050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0.34998626667073579"/>
        <bgColor indexed="65"/>
      </patternFill>
    </fill>
    <fill>
      <patternFill patternType="solid">
        <fgColor rgb="FFFFFF00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8E7CC3"/>
      </patternFill>
    </fill>
    <fill>
      <patternFill patternType="solid">
        <fgColor rgb="FFB4A7D6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D9D2E9"/>
      </patternFill>
    </fill>
    <fill>
      <patternFill patternType="solid">
        <fgColor rgb="FFFFFF00"/>
      </patternFill>
    </fill>
    <fill>
      <patternFill patternType="solid">
        <fgColor rgb="FFFFD966"/>
      </patternFill>
    </fill>
    <fill>
      <patternFill patternType="solid">
        <fgColor rgb="FF92D050"/>
      </patternFill>
    </fill>
    <fill>
      <patternFill patternType="solid">
        <fgColor rgb="FFFFE599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6FA8DC"/>
      </patternFill>
    </fill>
    <fill>
      <patternFill patternType="solid">
        <fgColor rgb="FF92D050"/>
      </patternFill>
    </fill>
    <fill>
      <patternFill patternType="solid">
        <fgColor rgb="FFCFE2F3"/>
      </patternFill>
    </fill>
    <fill>
      <patternFill patternType="solid">
        <fgColor rgb="FF9FC5E8"/>
      </patternFill>
    </fill>
    <fill>
      <patternFill patternType="solid">
        <fgColor rgb="FF93C47D"/>
      </patternFill>
    </fill>
    <fill>
      <patternFill patternType="solid">
        <fgColor rgb="FFB6D7A8"/>
      </patternFill>
    </fill>
    <fill>
      <patternFill patternType="solid">
        <fgColor rgb="FFD9EAD3"/>
      </patternFill>
    </fill>
    <fill>
      <patternFill patternType="solid">
        <fgColor rgb="FFFFC000"/>
      </patternFill>
    </fill>
    <fill>
      <patternFill patternType="solid">
        <fgColor rgb="FFFFFF00"/>
      </patternFill>
    </fill>
    <fill>
      <patternFill patternType="solid">
        <fgColor rgb="FFCCCCCC"/>
      </patternFill>
    </fill>
    <fill>
      <patternFill patternType="solid">
        <fgColor rgb="FFD2F1DA"/>
      </patternFill>
    </fill>
    <fill>
      <patternFill patternType="solid">
        <fgColor rgb="FF8FD7DC"/>
      </patternFill>
    </fill>
    <fill>
      <patternFill patternType="solid">
        <fgColor rgb="FFA6E3B6"/>
      </patternFill>
    </fill>
    <fill>
      <patternFill patternType="solid">
        <fgColor rgb="FFF3F3F3"/>
      </patternFill>
    </fill>
    <fill>
      <patternFill patternType="solid">
        <fgColor rgb="FFFED7CE"/>
      </patternFill>
    </fill>
    <fill>
      <patternFill patternType="solid">
        <fgColor rgb="FFFFFFFF"/>
      </patternFill>
    </fill>
    <fill>
      <patternFill patternType="solid">
        <fgColor rgb="FFFDE49B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ont="0" applyFill="0" applyBorder="0"/>
  </cellStyleXfs>
  <cellXfs count="384"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3" borderId="0" xfId="0" applyFont="1" applyFill="1"/>
    <xf numFmtId="0" fontId="3" fillId="5" borderId="5" xfId="0" applyFont="1" applyFill="1" applyBorder="1" applyAlignment="1">
      <alignment horizontal="right"/>
    </xf>
    <xf numFmtId="0" fontId="4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6" borderId="8" xfId="0" applyFont="1" applyFill="1" applyBorder="1" applyAlignment="1">
      <alignment horizontal="left" vertical="center" wrapText="1"/>
    </xf>
    <xf numFmtId="0" fontId="5" fillId="7" borderId="8" xfId="0" applyFont="1" applyFill="1" applyBorder="1" applyAlignment="1">
      <alignment horizontal="left" vertical="center" wrapText="1"/>
    </xf>
    <xf numFmtId="0" fontId="6" fillId="0" borderId="8" xfId="0" applyFont="1" applyBorder="1"/>
    <xf numFmtId="0" fontId="6" fillId="2" borderId="8" xfId="0" applyFont="1" applyFill="1" applyBorder="1"/>
    <xf numFmtId="0" fontId="3" fillId="0" borderId="0" xfId="0" applyFont="1" applyAlignment="1">
      <alignment horizontal="right"/>
    </xf>
    <xf numFmtId="1" fontId="7" fillId="4" borderId="8" xfId="0" applyNumberFormat="1" applyFont="1" applyFill="1" applyBorder="1"/>
    <xf numFmtId="164" fontId="7" fillId="4" borderId="8" xfId="0" applyNumberFormat="1" applyFont="1" applyFill="1" applyBorder="1"/>
    <xf numFmtId="0" fontId="7" fillId="4" borderId="0" xfId="0" applyFont="1" applyFill="1"/>
    <xf numFmtId="0" fontId="6" fillId="0" borderId="17" xfId="0" applyFont="1" applyBorder="1" applyAlignment="1">
      <alignment horizontal="left" wrapText="1"/>
    </xf>
    <xf numFmtId="0" fontId="6" fillId="0" borderId="18" xfId="0" applyFont="1" applyBorder="1" applyAlignment="1">
      <alignment horizontal="left"/>
    </xf>
    <xf numFmtId="0" fontId="7" fillId="8" borderId="0" xfId="0" applyFont="1" applyFill="1"/>
    <xf numFmtId="1" fontId="8" fillId="8" borderId="0" xfId="0" applyNumberFormat="1" applyFont="1" applyFill="1"/>
    <xf numFmtId="0" fontId="1" fillId="9" borderId="0" xfId="0" applyFont="1" applyFill="1"/>
    <xf numFmtId="1" fontId="7" fillId="8" borderId="8" xfId="0" applyNumberFormat="1" applyFont="1" applyFill="1" applyBorder="1"/>
    <xf numFmtId="0" fontId="2" fillId="9" borderId="0" xfId="0" applyFont="1" applyFill="1"/>
    <xf numFmtId="0" fontId="4" fillId="10" borderId="5" xfId="0" applyFont="1" applyFill="1" applyBorder="1"/>
    <xf numFmtId="1" fontId="8" fillId="8" borderId="32" xfId="0" applyNumberFormat="1" applyFont="1" applyFill="1" applyBorder="1"/>
    <xf numFmtId="0" fontId="3" fillId="0" borderId="5" xfId="0" applyFont="1" applyBorder="1" applyAlignment="1">
      <alignment horizontal="right"/>
    </xf>
    <xf numFmtId="0" fontId="4" fillId="9" borderId="0" xfId="0" applyFont="1" applyFill="1" applyAlignment="1">
      <alignment horizontal="left" wrapText="1"/>
    </xf>
    <xf numFmtId="0" fontId="1" fillId="9" borderId="0" xfId="0" applyFont="1" applyFill="1" applyAlignment="1">
      <alignment horizontal="left"/>
    </xf>
    <xf numFmtId="0" fontId="7" fillId="9" borderId="0" xfId="0" applyFont="1" applyFill="1"/>
    <xf numFmtId="1" fontId="7" fillId="8" borderId="91" xfId="0" applyNumberFormat="1" applyFont="1" applyFill="1" applyBorder="1"/>
    <xf numFmtId="0" fontId="1" fillId="8" borderId="0" xfId="0" applyFont="1" applyFill="1"/>
    <xf numFmtId="0" fontId="7" fillId="3" borderId="0" xfId="0" applyFont="1" applyFill="1"/>
    <xf numFmtId="0" fontId="2" fillId="4" borderId="0" xfId="0" applyFont="1" applyFill="1"/>
    <xf numFmtId="0" fontId="11" fillId="9" borderId="0" xfId="0" applyFont="1" applyFill="1" applyAlignment="1">
      <alignment horizontal="left" wrapText="1"/>
    </xf>
    <xf numFmtId="0" fontId="6" fillId="9" borderId="0" xfId="0" applyFont="1" applyFill="1"/>
    <xf numFmtId="1" fontId="6" fillId="9" borderId="0" xfId="0" applyNumberFormat="1" applyFont="1" applyFill="1"/>
    <xf numFmtId="0" fontId="4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left"/>
    </xf>
    <xf numFmtId="0" fontId="1" fillId="5" borderId="0" xfId="0" applyFont="1" applyFill="1"/>
    <xf numFmtId="0" fontId="7" fillId="5" borderId="0" xfId="0" applyFont="1" applyFill="1"/>
    <xf numFmtId="0" fontId="8" fillId="9" borderId="153" xfId="0" applyFont="1" applyFill="1" applyBorder="1" applyAlignment="1">
      <alignment horizontal="center" wrapText="1"/>
    </xf>
    <xf numFmtId="1" fontId="8" fillId="9" borderId="8" xfId="0" applyNumberFormat="1" applyFont="1" applyFill="1" applyBorder="1"/>
    <xf numFmtId="0" fontId="6" fillId="5" borderId="8" xfId="0" applyFont="1" applyFill="1" applyBorder="1"/>
    <xf numFmtId="1" fontId="6" fillId="5" borderId="8" xfId="0" applyNumberFormat="1" applyFont="1" applyFill="1" applyBorder="1"/>
    <xf numFmtId="0" fontId="4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3" fillId="13" borderId="0" xfId="0" applyFont="1" applyFill="1" applyAlignment="1">
      <alignment vertical="center"/>
    </xf>
    <xf numFmtId="0" fontId="3" fillId="13" borderId="0" xfId="0" applyFont="1" applyFill="1" applyAlignment="1">
      <alignment vertical="center"/>
    </xf>
    <xf numFmtId="0" fontId="1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vertical="center"/>
    </xf>
    <xf numFmtId="0" fontId="14" fillId="14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15" borderId="0" xfId="0" applyFont="1" applyFill="1" applyAlignment="1">
      <alignment vertical="center"/>
    </xf>
    <xf numFmtId="0" fontId="3" fillId="16" borderId="0" xfId="0" applyFont="1" applyFill="1" applyAlignment="1">
      <alignment vertical="center" wrapText="1"/>
    </xf>
    <xf numFmtId="0" fontId="4" fillId="13" borderId="0" xfId="0" applyFont="1" applyFill="1" applyAlignment="1">
      <alignment horizontal="left" vertical="center"/>
    </xf>
    <xf numFmtId="0" fontId="12" fillId="13" borderId="0" xfId="0" applyFont="1" applyFill="1" applyAlignment="1">
      <alignment vertical="center"/>
    </xf>
    <xf numFmtId="0" fontId="15" fillId="17" borderId="0" xfId="0" applyFont="1" applyFill="1" applyAlignment="1">
      <alignment vertical="center"/>
    </xf>
    <xf numFmtId="164" fontId="4" fillId="18" borderId="0" xfId="0" applyNumberFormat="1" applyFont="1" applyFill="1" applyAlignment="1">
      <alignment vertical="center"/>
    </xf>
    <xf numFmtId="0" fontId="15" fillId="18" borderId="0" xfId="0" applyFont="1" applyFill="1" applyAlignment="1">
      <alignment vertical="center"/>
    </xf>
    <xf numFmtId="164" fontId="4" fillId="19" borderId="0" xfId="0" applyNumberFormat="1" applyFont="1" applyFill="1" applyAlignment="1">
      <alignment vertical="center"/>
    </xf>
    <xf numFmtId="1" fontId="4" fillId="13" borderId="0" xfId="0" applyNumberFormat="1" applyFont="1" applyFill="1" applyAlignment="1">
      <alignment horizontal="center" vertical="center"/>
    </xf>
    <xf numFmtId="165" fontId="4" fillId="13" borderId="0" xfId="0" applyNumberFormat="1" applyFont="1" applyFill="1" applyAlignment="1">
      <alignment horizontal="center" vertical="center"/>
    </xf>
    <xf numFmtId="0" fontId="4" fillId="20" borderId="0" xfId="0" applyFont="1" applyFill="1" applyAlignment="1">
      <alignment horizontal="center"/>
    </xf>
    <xf numFmtId="0" fontId="3" fillId="21" borderId="0" xfId="0" applyFont="1" applyFill="1"/>
    <xf numFmtId="0" fontId="12" fillId="0" borderId="0" xfId="0" applyFont="1" applyAlignment="1">
      <alignment horizontal="center"/>
    </xf>
    <xf numFmtId="0" fontId="16" fillId="22" borderId="0" xfId="0" applyFont="1" applyFill="1" applyAlignment="1">
      <alignment horizontal="center"/>
    </xf>
    <xf numFmtId="0" fontId="13" fillId="0" borderId="0" xfId="0" applyFont="1"/>
    <xf numFmtId="0" fontId="3" fillId="0" borderId="0" xfId="0" applyFont="1"/>
    <xf numFmtId="0" fontId="3" fillId="21" borderId="0" xfId="0" applyFont="1" applyFill="1" applyAlignment="1">
      <alignment wrapText="1"/>
    </xf>
    <xf numFmtId="0" fontId="12" fillId="8" borderId="0" xfId="0" applyFont="1" applyFill="1"/>
    <xf numFmtId="0" fontId="13" fillId="0" borderId="0" xfId="0" applyFont="1" applyAlignment="1">
      <alignment horizontal="center"/>
    </xf>
    <xf numFmtId="0" fontId="3" fillId="22" borderId="0" xfId="0" applyFont="1" applyFill="1"/>
    <xf numFmtId="0" fontId="12" fillId="0" borderId="0" xfId="0" applyFont="1"/>
    <xf numFmtId="0" fontId="3" fillId="23" borderId="0" xfId="0" applyFont="1" applyFill="1"/>
    <xf numFmtId="165" fontId="4" fillId="20" borderId="0" xfId="0" applyNumberFormat="1" applyFont="1" applyFill="1" applyAlignment="1">
      <alignment horizontal="center"/>
    </xf>
    <xf numFmtId="0" fontId="4" fillId="20" borderId="0" xfId="0" applyFont="1" applyFill="1" applyAlignment="1">
      <alignment horizontal="left"/>
    </xf>
    <xf numFmtId="164" fontId="4" fillId="24" borderId="0" xfId="0" applyNumberFormat="1" applyFont="1" applyFill="1"/>
    <xf numFmtId="0" fontId="3" fillId="24" borderId="0" xfId="0" applyFont="1" applyFill="1"/>
    <xf numFmtId="0" fontId="13" fillId="0" borderId="0" xfId="0" applyFont="1" applyAlignment="1">
      <alignment horizontal="right"/>
    </xf>
    <xf numFmtId="1" fontId="4" fillId="2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5" borderId="0" xfId="0" applyFont="1" applyFill="1" applyAlignment="1">
      <alignment horizontal="center"/>
    </xf>
    <xf numFmtId="0" fontId="15" fillId="26" borderId="0" xfId="0" applyFont="1" applyFill="1"/>
    <xf numFmtId="0" fontId="12" fillId="25" borderId="0" xfId="0" applyFont="1" applyFill="1" applyAlignment="1">
      <alignment horizontal="center"/>
    </xf>
    <xf numFmtId="0" fontId="13" fillId="25" borderId="0" xfId="0" applyFont="1" applyFill="1" applyAlignment="1">
      <alignment horizontal="center"/>
    </xf>
    <xf numFmtId="164" fontId="4" fillId="27" borderId="0" xfId="0" applyNumberFormat="1" applyFont="1" applyFill="1"/>
    <xf numFmtId="0" fontId="3" fillId="25" borderId="0" xfId="0" applyFont="1" applyFill="1" applyAlignment="1">
      <alignment horizontal="center"/>
    </xf>
    <xf numFmtId="0" fontId="3" fillId="25" borderId="0" xfId="0" applyFont="1" applyFill="1"/>
    <xf numFmtId="0" fontId="15" fillId="27" borderId="0" xfId="0" applyFont="1" applyFill="1"/>
    <xf numFmtId="0" fontId="16" fillId="28" borderId="0" xfId="0" applyFont="1" applyFill="1" applyAlignment="1">
      <alignment horizontal="center"/>
    </xf>
    <xf numFmtId="0" fontId="3" fillId="28" borderId="0" xfId="0" applyFont="1" applyFill="1"/>
    <xf numFmtId="0" fontId="4" fillId="25" borderId="0" xfId="0" applyFont="1" applyFill="1" applyAlignment="1">
      <alignment horizontal="left"/>
    </xf>
    <xf numFmtId="0" fontId="12" fillId="25" borderId="0" xfId="0" applyFont="1" applyFill="1"/>
    <xf numFmtId="0" fontId="13" fillId="25" borderId="0" xfId="0" applyFont="1" applyFill="1"/>
    <xf numFmtId="165" fontId="4" fillId="25" borderId="0" xfId="0" applyNumberFormat="1" applyFont="1" applyFill="1" applyAlignment="1">
      <alignment horizontal="center"/>
    </xf>
    <xf numFmtId="0" fontId="4" fillId="29" borderId="0" xfId="0" applyFont="1" applyFill="1" applyAlignment="1">
      <alignment horizontal="center"/>
    </xf>
    <xf numFmtId="165" fontId="4" fillId="29" borderId="0" xfId="0" applyNumberFormat="1" applyFont="1" applyFill="1" applyAlignment="1">
      <alignment horizontal="center"/>
    </xf>
    <xf numFmtId="0" fontId="4" fillId="29" borderId="0" xfId="0" applyFont="1" applyFill="1" applyAlignment="1">
      <alignment horizontal="left" wrapText="1"/>
    </xf>
    <xf numFmtId="0" fontId="16" fillId="30" borderId="0" xfId="0" applyFont="1" applyFill="1" applyAlignment="1">
      <alignment horizontal="center"/>
    </xf>
    <xf numFmtId="0" fontId="17" fillId="31" borderId="0" xfId="0" applyFont="1" applyFill="1"/>
    <xf numFmtId="0" fontId="4" fillId="31" borderId="0" xfId="0" applyFont="1" applyFill="1" applyAlignment="1">
      <alignment horizontal="right"/>
    </xf>
    <xf numFmtId="0" fontId="3" fillId="30" borderId="0" xfId="0" applyFont="1" applyFill="1"/>
    <xf numFmtId="0" fontId="4" fillId="29" borderId="0" xfId="0" applyFont="1" applyFill="1" applyAlignment="1">
      <alignment horizontal="left"/>
    </xf>
    <xf numFmtId="0" fontId="4" fillId="31" borderId="0" xfId="0" applyFont="1" applyFill="1"/>
    <xf numFmtId="0" fontId="15" fillId="31" borderId="0" xfId="0" applyFont="1" applyFill="1" applyAlignment="1">
      <alignment wrapText="1"/>
    </xf>
    <xf numFmtId="0" fontId="4" fillId="31" borderId="0" xfId="0" applyFont="1" applyFill="1" applyAlignment="1">
      <alignment horizontal="right" wrapText="1"/>
    </xf>
    <xf numFmtId="0" fontId="19" fillId="29" borderId="0" xfId="0" applyFont="1" applyFill="1" applyAlignment="1">
      <alignment horizontal="center"/>
    </xf>
    <xf numFmtId="165" fontId="19" fillId="29" borderId="0" xfId="0" applyNumberFormat="1" applyFont="1" applyFill="1" applyAlignment="1">
      <alignment horizontal="center"/>
    </xf>
    <xf numFmtId="0" fontId="3" fillId="31" borderId="0" xfId="0" applyFont="1" applyFill="1"/>
    <xf numFmtId="0" fontId="12" fillId="32" borderId="0" xfId="0" applyFont="1" applyFill="1"/>
    <xf numFmtId="0" fontId="4" fillId="33" borderId="0" xfId="0" applyFont="1" applyFill="1"/>
    <xf numFmtId="0" fontId="16" fillId="30" borderId="0" xfId="0" applyFont="1" applyFill="1" applyAlignment="1">
      <alignment horizontal="center" vertical="center"/>
    </xf>
    <xf numFmtId="0" fontId="15" fillId="31" borderId="0" xfId="0" applyFont="1" applyFill="1" applyAlignment="1">
      <alignment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4" fillId="31" borderId="0" xfId="0" applyFont="1" applyFill="1" applyAlignment="1">
      <alignment horizontal="right" vertical="center"/>
    </xf>
    <xf numFmtId="0" fontId="3" fillId="30" borderId="0" xfId="0" applyFont="1" applyFill="1" applyAlignment="1">
      <alignment vertical="center"/>
    </xf>
    <xf numFmtId="0" fontId="12" fillId="8" borderId="0" xfId="0" applyFont="1" applyFill="1" applyAlignment="1">
      <alignment horizontal="right" vertical="center"/>
    </xf>
    <xf numFmtId="0" fontId="4" fillId="29" borderId="0" xfId="0" applyFont="1" applyFill="1" applyAlignment="1">
      <alignment vertical="center"/>
    </xf>
    <xf numFmtId="0" fontId="4" fillId="29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4" fillId="29" borderId="0" xfId="0" applyNumberFormat="1" applyFont="1" applyFill="1" applyAlignment="1">
      <alignment horizontal="center" vertical="center"/>
    </xf>
    <xf numFmtId="0" fontId="20" fillId="31" borderId="0" xfId="0" applyFont="1" applyFill="1" applyAlignment="1">
      <alignment vertical="center" wrapText="1"/>
    </xf>
    <xf numFmtId="0" fontId="21" fillId="31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left" vertical="center" wrapText="1"/>
    </xf>
    <xf numFmtId="0" fontId="19" fillId="29" borderId="0" xfId="0" applyFont="1" applyFill="1" applyAlignment="1">
      <alignment horizontal="center" vertical="center"/>
    </xf>
    <xf numFmtId="165" fontId="19" fillId="29" borderId="0" xfId="0" applyNumberFormat="1" applyFont="1" applyFill="1" applyAlignment="1">
      <alignment horizontal="center" vertical="center"/>
    </xf>
    <xf numFmtId="0" fontId="3" fillId="14" borderId="0" xfId="0" applyFont="1" applyFill="1" applyAlignment="1">
      <alignment vertical="center" wrapText="1"/>
    </xf>
    <xf numFmtId="0" fontId="19" fillId="29" borderId="0" xfId="0" applyFont="1" applyFill="1" applyAlignment="1">
      <alignment horizontal="left" vertical="center" wrapText="1"/>
    </xf>
    <xf numFmtId="165" fontId="4" fillId="36" borderId="0" xfId="0" applyNumberFormat="1" applyFont="1" applyFill="1" applyAlignment="1">
      <alignment horizontal="left" vertical="center" wrapText="1"/>
    </xf>
    <xf numFmtId="165" fontId="4" fillId="37" borderId="0" xfId="0" applyNumberFormat="1" applyFont="1" applyFill="1" applyAlignment="1">
      <alignment horizontal="left" vertical="center" wrapText="1"/>
    </xf>
    <xf numFmtId="164" fontId="4" fillId="0" borderId="0" xfId="0" applyNumberFormat="1" applyFont="1" applyAlignment="1">
      <alignment horizontal="right" vertical="center"/>
    </xf>
    <xf numFmtId="0" fontId="4" fillId="34" borderId="0" xfId="0" applyFont="1" applyFill="1" applyAlignment="1">
      <alignment horizontal="left" vertical="center"/>
    </xf>
    <xf numFmtId="165" fontId="3" fillId="38" borderId="0" xfId="0" applyNumberFormat="1" applyFont="1" applyFill="1" applyAlignment="1">
      <alignment horizontal="right" vertical="center"/>
    </xf>
    <xf numFmtId="165" fontId="4" fillId="39" borderId="0" xfId="0" applyNumberFormat="1" applyFont="1" applyFill="1" applyAlignment="1">
      <alignment horizontal="left" vertical="center" wrapText="1"/>
    </xf>
    <xf numFmtId="0" fontId="25" fillId="42" borderId="0" xfId="0" applyFont="1" applyFill="1" applyAlignment="1">
      <alignment horizontal="center" vertical="top" wrapText="1"/>
    </xf>
    <xf numFmtId="0" fontId="25" fillId="44" borderId="0" xfId="0" applyFont="1" applyFill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26" fillId="0" borderId="0" xfId="0" applyFont="1" applyAlignment="1">
      <alignment vertical="top"/>
    </xf>
    <xf numFmtId="0" fontId="26" fillId="0" borderId="0" xfId="0" applyFont="1" applyAlignment="1">
      <alignment vertical="top" wrapText="1"/>
    </xf>
    <xf numFmtId="0" fontId="27" fillId="0" borderId="0" xfId="0" applyFont="1" applyFill="1" applyBorder="1" applyAlignment="1">
      <alignment vertical="top" wrapText="1"/>
    </xf>
    <xf numFmtId="0" fontId="27" fillId="0" borderId="0" xfId="0" applyFont="1" applyBorder="1" applyAlignment="1">
      <alignment vertical="top"/>
    </xf>
    <xf numFmtId="0" fontId="24" fillId="0" borderId="0" xfId="0" applyFont="1" applyBorder="1" applyAlignment="1">
      <alignment horizontal="center" vertical="top"/>
    </xf>
    <xf numFmtId="0" fontId="26" fillId="0" borderId="0" xfId="0" applyFont="1" applyAlignment="1">
      <alignment horizontal="justify" vertical="top"/>
    </xf>
    <xf numFmtId="0" fontId="27" fillId="41" borderId="0" xfId="0" applyFont="1" applyFill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24" fillId="0" borderId="0" xfId="0" applyFont="1" applyFill="1" applyBorder="1" applyAlignment="1">
      <alignment horizontal="center" vertical="top"/>
    </xf>
    <xf numFmtId="0" fontId="27" fillId="0" borderId="0" xfId="0" applyFont="1" applyAlignment="1">
      <alignment vertical="top" wrapText="1"/>
    </xf>
    <xf numFmtId="0" fontId="27" fillId="0" borderId="0" xfId="0" applyFont="1" applyFill="1" applyBorder="1" applyAlignment="1">
      <alignment vertical="top"/>
    </xf>
    <xf numFmtId="0" fontId="31" fillId="0" borderId="0" xfId="0" applyFont="1" applyFill="1" applyBorder="1" applyAlignment="1">
      <alignment horizontal="center" vertical="top"/>
    </xf>
    <xf numFmtId="0" fontId="26" fillId="0" borderId="0" xfId="0" applyFont="1" applyFill="1" applyAlignment="1">
      <alignment vertical="top"/>
    </xf>
    <xf numFmtId="0" fontId="27" fillId="0" borderId="0" xfId="0" applyFont="1" applyBorder="1" applyAlignment="1">
      <alignment horizontal="center" vertical="top"/>
    </xf>
    <xf numFmtId="0" fontId="26" fillId="0" borderId="0" xfId="0" applyFont="1" applyAlignment="1">
      <alignment horizontal="left" vertical="top" wrapText="1"/>
    </xf>
    <xf numFmtId="0" fontId="26" fillId="0" borderId="0" xfId="0" applyFont="1" applyFill="1" applyAlignment="1">
      <alignment vertical="top" wrapText="1"/>
    </xf>
    <xf numFmtId="0" fontId="27" fillId="0" borderId="0" xfId="0" applyFont="1" applyFill="1" applyAlignment="1">
      <alignment vertical="top" wrapText="1"/>
    </xf>
    <xf numFmtId="0" fontId="26" fillId="43" borderId="0" xfId="0" applyFont="1" applyFill="1" applyAlignment="1">
      <alignment vertical="top" wrapText="1"/>
    </xf>
    <xf numFmtId="0" fontId="28" fillId="0" borderId="0" xfId="0" applyFont="1" applyAlignment="1">
      <alignment vertical="top"/>
    </xf>
    <xf numFmtId="0" fontId="26" fillId="43" borderId="0" xfId="0" applyFont="1" applyFill="1" applyAlignment="1">
      <alignment vertical="top"/>
    </xf>
    <xf numFmtId="0" fontId="27" fillId="43" borderId="0" xfId="0" applyFont="1" applyFill="1" applyBorder="1" applyAlignment="1">
      <alignment vertical="top" wrapText="1"/>
    </xf>
    <xf numFmtId="0" fontId="27" fillId="43" borderId="0" xfId="0" applyFont="1" applyFill="1" applyBorder="1" applyAlignment="1">
      <alignment vertical="top"/>
    </xf>
    <xf numFmtId="0" fontId="26" fillId="43" borderId="0" xfId="0" applyFont="1" applyFill="1" applyAlignment="1">
      <alignment horizontal="center" vertical="top"/>
    </xf>
    <xf numFmtId="0" fontId="28" fillId="43" borderId="0" xfId="0" applyFont="1" applyFill="1" applyAlignment="1">
      <alignment vertical="top"/>
    </xf>
    <xf numFmtId="0" fontId="29" fillId="2" borderId="167" xfId="0" applyFont="1" applyFill="1" applyBorder="1" applyAlignment="1">
      <alignment horizontal="center" vertical="top"/>
    </xf>
    <xf numFmtId="0" fontId="29" fillId="2" borderId="167" xfId="0" applyFont="1" applyFill="1" applyBorder="1" applyAlignment="1">
      <alignment horizontal="center" vertical="top" wrapText="1"/>
    </xf>
    <xf numFmtId="0" fontId="26" fillId="0" borderId="167" xfId="0" applyFont="1" applyBorder="1" applyAlignment="1">
      <alignment vertical="top"/>
    </xf>
    <xf numFmtId="0" fontId="26" fillId="0" borderId="167" xfId="0" applyFont="1" applyBorder="1" applyAlignment="1">
      <alignment vertical="top" wrapText="1"/>
    </xf>
    <xf numFmtId="0" fontId="26" fillId="40" borderId="167" xfId="0" applyFont="1" applyFill="1" applyBorder="1" applyAlignment="1">
      <alignment vertical="top" wrapText="1"/>
    </xf>
    <xf numFmtId="0" fontId="26" fillId="0" borderId="167" xfId="0" applyFont="1" applyBorder="1" applyAlignment="1">
      <alignment horizontal="center" vertical="top" wrapText="1"/>
    </xf>
    <xf numFmtId="0" fontId="26" fillId="0" borderId="167" xfId="0" applyFont="1" applyFill="1" applyBorder="1" applyAlignment="1">
      <alignment vertical="top" wrapText="1"/>
    </xf>
    <xf numFmtId="0" fontId="26" fillId="43" borderId="167" xfId="0" applyFont="1" applyFill="1" applyBorder="1" applyAlignment="1">
      <alignment vertical="top"/>
    </xf>
    <xf numFmtId="0" fontId="26" fillId="43" borderId="167" xfId="0" applyFont="1" applyFill="1" applyBorder="1" applyAlignment="1">
      <alignment vertical="top" wrapText="1"/>
    </xf>
    <xf numFmtId="0" fontId="26" fillId="43" borderId="167" xfId="0" applyFont="1" applyFill="1" applyBorder="1" applyAlignment="1">
      <alignment horizontal="center" vertical="top" wrapText="1"/>
    </xf>
    <xf numFmtId="0" fontId="26" fillId="8" borderId="167" xfId="0" applyFont="1" applyFill="1" applyBorder="1" applyAlignment="1">
      <alignment vertical="top" wrapText="1"/>
    </xf>
    <xf numFmtId="0" fontId="26" fillId="45" borderId="167" xfId="0" applyFont="1" applyFill="1" applyBorder="1" applyAlignment="1">
      <alignment vertical="top"/>
    </xf>
    <xf numFmtId="0" fontId="26" fillId="45" borderId="167" xfId="0" applyFont="1" applyFill="1" applyBorder="1" applyAlignment="1">
      <alignment vertical="top" wrapText="1"/>
    </xf>
    <xf numFmtId="0" fontId="26" fillId="45" borderId="167" xfId="0" applyFont="1" applyFill="1" applyBorder="1" applyAlignment="1">
      <alignment horizontal="center" vertical="top" wrapText="1"/>
    </xf>
    <xf numFmtId="0" fontId="26" fillId="45" borderId="0" xfId="0" applyFont="1" applyFill="1" applyAlignment="1">
      <alignment vertical="top" wrapText="1"/>
    </xf>
    <xf numFmtId="0" fontId="26" fillId="45" borderId="0" xfId="0" applyFont="1" applyFill="1" applyAlignment="1">
      <alignment vertical="top"/>
    </xf>
    <xf numFmtId="0" fontId="26" fillId="43" borderId="167" xfId="0" applyFont="1" applyFill="1" applyBorder="1" applyAlignment="1">
      <alignment horizontal="center" vertical="top"/>
    </xf>
    <xf numFmtId="0" fontId="27" fillId="0" borderId="0" xfId="0" applyFont="1" applyFill="1" applyAlignment="1">
      <alignment vertical="top"/>
    </xf>
    <xf numFmtId="0" fontId="26" fillId="0" borderId="0" xfId="0" applyFont="1" applyFill="1" applyAlignment="1">
      <alignment horizontal="center" vertical="top" wrapText="1"/>
    </xf>
    <xf numFmtId="0" fontId="26" fillId="40" borderId="0" xfId="0" applyFont="1" applyFill="1" applyAlignment="1">
      <alignment vertical="top" wrapText="1"/>
    </xf>
    <xf numFmtId="0" fontId="32" fillId="0" borderId="0" xfId="0" applyFont="1" applyAlignment="1">
      <alignment vertical="center" wrapText="1"/>
    </xf>
    <xf numFmtId="0" fontId="26" fillId="43" borderId="0" xfId="0" applyFont="1" applyFill="1" applyAlignment="1">
      <alignment horizontal="left" vertical="top" wrapText="1"/>
    </xf>
    <xf numFmtId="0" fontId="27" fillId="43" borderId="0" xfId="0" applyFont="1" applyFill="1" applyBorder="1" applyAlignment="1">
      <alignment horizontal="center" vertical="top"/>
    </xf>
    <xf numFmtId="0" fontId="3" fillId="5" borderId="1" xfId="0" applyFont="1" applyFill="1" applyBorder="1"/>
    <xf numFmtId="0" fontId="3" fillId="5" borderId="68" xfId="0" applyFont="1" applyFill="1" applyBorder="1"/>
    <xf numFmtId="0" fontId="3" fillId="5" borderId="70" xfId="0" applyFont="1" applyFill="1" applyBorder="1"/>
    <xf numFmtId="0" fontId="3" fillId="5" borderId="71" xfId="0" applyFont="1" applyFill="1" applyBorder="1"/>
    <xf numFmtId="0" fontId="3" fillId="5" borderId="73" xfId="0" applyFont="1" applyFill="1" applyBorder="1"/>
    <xf numFmtId="0" fontId="3" fillId="5" borderId="74" xfId="0" applyFont="1" applyFill="1" applyBorder="1"/>
    <xf numFmtId="0" fontId="3" fillId="5" borderId="75" xfId="0" applyFont="1" applyFill="1" applyBorder="1"/>
    <xf numFmtId="0" fontId="3" fillId="5" borderId="77" xfId="0" applyFont="1" applyFill="1" applyBorder="1"/>
    <xf numFmtId="0" fontId="3" fillId="5" borderId="78" xfId="0" applyFont="1" applyFill="1" applyBorder="1"/>
    <xf numFmtId="0" fontId="3" fillId="5" borderId="79" xfId="0" applyFont="1" applyFill="1" applyBorder="1"/>
    <xf numFmtId="0" fontId="4" fillId="12" borderId="0" xfId="0" applyFont="1" applyFill="1" applyAlignment="1">
      <alignment horizontal="left" wrapText="1"/>
    </xf>
    <xf numFmtId="0" fontId="4" fillId="10" borderId="25" xfId="0" applyFont="1" applyFill="1" applyBorder="1" applyAlignment="1">
      <alignment horizontal="center"/>
    </xf>
    <xf numFmtId="0" fontId="4" fillId="10" borderId="51" xfId="0" applyFont="1" applyFill="1" applyBorder="1" applyAlignment="1">
      <alignment horizontal="center"/>
    </xf>
    <xf numFmtId="0" fontId="4" fillId="10" borderId="52" xfId="0" applyFont="1" applyFill="1" applyBorder="1" applyAlignment="1">
      <alignment horizontal="center"/>
    </xf>
    <xf numFmtId="0" fontId="4" fillId="10" borderId="53" xfId="0" applyFont="1" applyFill="1" applyBorder="1" applyAlignment="1">
      <alignment horizontal="center"/>
    </xf>
    <xf numFmtId="0" fontId="3" fillId="5" borderId="56" xfId="0" applyFont="1" applyFill="1" applyBorder="1"/>
    <xf numFmtId="0" fontId="3" fillId="5" borderId="57" xfId="0" applyFont="1" applyFill="1" applyBorder="1"/>
    <xf numFmtId="0" fontId="3" fillId="5" borderId="60" xfId="0" applyFont="1" applyFill="1" applyBorder="1"/>
    <xf numFmtId="0" fontId="6" fillId="0" borderId="8" xfId="0" applyFont="1" applyBorder="1" applyAlignment="1">
      <alignment horizontal="left" wrapText="1"/>
    </xf>
    <xf numFmtId="0" fontId="6" fillId="0" borderId="24" xfId="0" applyFont="1" applyBorder="1" applyAlignment="1">
      <alignment horizontal="left" wrapText="1"/>
    </xf>
    <xf numFmtId="0" fontId="6" fillId="0" borderId="8" xfId="0" applyFont="1" applyBorder="1" applyAlignment="1">
      <alignment horizontal="right" wrapText="1"/>
    </xf>
    <xf numFmtId="0" fontId="6" fillId="0" borderId="110" xfId="0" applyFont="1" applyBorder="1" applyAlignment="1">
      <alignment horizontal="right" wrapText="1"/>
    </xf>
    <xf numFmtId="0" fontId="3" fillId="5" borderId="63" xfId="0" applyFont="1" applyFill="1" applyBorder="1"/>
    <xf numFmtId="0" fontId="3" fillId="5" borderId="64" xfId="0" applyFont="1" applyFill="1" applyBorder="1"/>
    <xf numFmtId="0" fontId="3" fillId="5" borderId="65" xfId="0" applyFont="1" applyFill="1" applyBorder="1"/>
    <xf numFmtId="0" fontId="6" fillId="0" borderId="108" xfId="0" applyFont="1" applyBorder="1" applyAlignment="1">
      <alignment horizontal="left" wrapText="1"/>
    </xf>
    <xf numFmtId="0" fontId="8" fillId="9" borderId="45" xfId="0" applyFont="1" applyFill="1" applyBorder="1" applyAlignment="1">
      <alignment horizontal="center" wrapText="1"/>
    </xf>
    <xf numFmtId="0" fontId="8" fillId="9" borderId="47" xfId="0" applyFont="1" applyFill="1" applyBorder="1" applyAlignment="1">
      <alignment horizontal="center" wrapText="1"/>
    </xf>
    <xf numFmtId="0" fontId="8" fillId="9" borderId="48" xfId="0" applyFont="1" applyFill="1" applyBorder="1" applyAlignment="1">
      <alignment horizontal="center" wrapText="1"/>
    </xf>
    <xf numFmtId="0" fontId="8" fillId="9" borderId="49" xfId="0" applyFont="1" applyFill="1" applyBorder="1" applyAlignment="1">
      <alignment horizontal="center" wrapText="1"/>
    </xf>
    <xf numFmtId="0" fontId="8" fillId="9" borderId="50" xfId="0" applyFont="1" applyFill="1" applyBorder="1" applyAlignment="1">
      <alignment horizontal="center" wrapText="1"/>
    </xf>
    <xf numFmtId="0" fontId="9" fillId="9" borderId="0" xfId="0" applyFont="1" applyFill="1" applyAlignment="1">
      <alignment horizontal="left" wrapText="1"/>
    </xf>
    <xf numFmtId="0" fontId="6" fillId="11" borderId="37" xfId="0" applyFont="1" applyFill="1" applyBorder="1" applyAlignment="1">
      <alignment horizontal="left" vertical="top" wrapText="1"/>
    </xf>
    <xf numFmtId="0" fontId="6" fillId="11" borderId="38" xfId="0" applyFont="1" applyFill="1" applyBorder="1" applyAlignment="1">
      <alignment horizontal="left" vertical="top" wrapText="1"/>
    </xf>
    <xf numFmtId="0" fontId="6" fillId="11" borderId="39" xfId="0" applyFont="1" applyFill="1" applyBorder="1" applyAlignment="1">
      <alignment horizontal="left" vertical="top" wrapText="1"/>
    </xf>
    <xf numFmtId="0" fontId="6" fillId="11" borderId="40" xfId="0" applyFont="1" applyFill="1" applyBorder="1" applyAlignment="1">
      <alignment horizontal="left" vertical="top" wrapText="1"/>
    </xf>
    <xf numFmtId="0" fontId="6" fillId="11" borderId="41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right" wrapText="1"/>
    </xf>
    <xf numFmtId="0" fontId="8" fillId="3" borderId="29" xfId="0" applyFont="1" applyFill="1" applyBorder="1" applyAlignment="1">
      <alignment horizontal="right" wrapText="1"/>
    </xf>
    <xf numFmtId="0" fontId="8" fillId="3" borderId="30" xfId="0" applyFont="1" applyFill="1" applyBorder="1" applyAlignment="1">
      <alignment horizontal="right" wrapText="1"/>
    </xf>
    <xf numFmtId="0" fontId="8" fillId="3" borderId="31" xfId="0" applyFont="1" applyFill="1" applyBorder="1" applyAlignment="1">
      <alignment horizontal="right" wrapText="1"/>
    </xf>
    <xf numFmtId="0" fontId="8" fillId="9" borderId="150" xfId="0" applyFont="1" applyFill="1" applyBorder="1" applyAlignment="1">
      <alignment horizontal="center" wrapText="1"/>
    </xf>
    <xf numFmtId="0" fontId="8" fillId="9" borderId="151" xfId="0" applyFont="1" applyFill="1" applyBorder="1" applyAlignment="1">
      <alignment horizontal="center" wrapText="1"/>
    </xf>
    <xf numFmtId="0" fontId="8" fillId="9" borderId="152" xfId="0" applyFont="1" applyFill="1" applyBorder="1" applyAlignment="1">
      <alignment horizontal="center" wrapText="1"/>
    </xf>
    <xf numFmtId="0" fontId="6" fillId="5" borderId="165" xfId="0" applyFont="1" applyFill="1" applyBorder="1" applyAlignment="1">
      <alignment horizontal="center" wrapText="1"/>
    </xf>
    <xf numFmtId="0" fontId="6" fillId="5" borderId="166" xfId="0" applyFont="1" applyFill="1" applyBorder="1" applyAlignment="1">
      <alignment horizontal="center" wrapText="1"/>
    </xf>
    <xf numFmtId="0" fontId="6" fillId="5" borderId="163" xfId="0" applyFont="1" applyFill="1" applyBorder="1" applyAlignment="1">
      <alignment horizontal="left" wrapText="1"/>
    </xf>
    <xf numFmtId="0" fontId="6" fillId="5" borderId="164" xfId="0" applyFont="1" applyFill="1" applyBorder="1" applyAlignment="1">
      <alignment horizontal="left" wrapText="1"/>
    </xf>
    <xf numFmtId="0" fontId="5" fillId="6" borderId="6" xfId="0" applyFont="1" applyFill="1" applyBorder="1" applyAlignment="1">
      <alignment horizontal="center" vertical="center"/>
    </xf>
    <xf numFmtId="0" fontId="5" fillId="6" borderId="162" xfId="0" applyFont="1" applyFill="1" applyBorder="1" applyAlignment="1">
      <alignment horizontal="center" vertical="center"/>
    </xf>
    <xf numFmtId="0" fontId="10" fillId="6" borderId="0" xfId="0" applyFont="1" applyFill="1" applyAlignment="1">
      <alignment vertical="top" wrapText="1"/>
    </xf>
    <xf numFmtId="0" fontId="5" fillId="6" borderId="46" xfId="0" applyFont="1" applyFill="1" applyBorder="1" applyAlignment="1">
      <alignment horizontal="center" vertical="center"/>
    </xf>
    <xf numFmtId="0" fontId="7" fillId="6" borderId="54" xfId="0" applyFont="1" applyFill="1" applyBorder="1" applyAlignment="1">
      <alignment horizontal="left" vertical="top" wrapText="1"/>
    </xf>
    <xf numFmtId="0" fontId="7" fillId="6" borderId="0" xfId="0" applyFont="1" applyFill="1" applyAlignment="1">
      <alignment horizontal="left" vertical="top" wrapText="1"/>
    </xf>
    <xf numFmtId="0" fontId="7" fillId="6" borderId="59" xfId="0" applyFont="1" applyFill="1" applyBorder="1" applyAlignment="1">
      <alignment horizontal="left" vertical="top" wrapText="1"/>
    </xf>
    <xf numFmtId="0" fontId="6" fillId="0" borderId="62" xfId="0" applyFont="1" applyBorder="1" applyAlignment="1">
      <alignment horizontal="left" wrapText="1"/>
    </xf>
    <xf numFmtId="0" fontId="6" fillId="0" borderId="72" xfId="0" applyFont="1" applyBorder="1" applyAlignment="1">
      <alignment horizontal="right" wrapText="1"/>
    </xf>
    <xf numFmtId="0" fontId="6" fillId="0" borderId="76" xfId="0" applyFont="1" applyBorder="1" applyAlignment="1">
      <alignment horizontal="right" wrapText="1"/>
    </xf>
    <xf numFmtId="0" fontId="6" fillId="0" borderId="80" xfId="0" applyFont="1" applyBorder="1" applyAlignment="1">
      <alignment horizontal="right" wrapText="1"/>
    </xf>
    <xf numFmtId="0" fontId="6" fillId="0" borderId="81" xfId="0" applyFont="1" applyBorder="1" applyAlignment="1">
      <alignment horizontal="left" wrapText="1"/>
    </xf>
    <xf numFmtId="0" fontId="8" fillId="3" borderId="85" xfId="0" applyFont="1" applyFill="1" applyBorder="1" applyAlignment="1">
      <alignment horizontal="right" wrapText="1"/>
    </xf>
    <xf numFmtId="0" fontId="8" fillId="3" borderId="86" xfId="0" applyFont="1" applyFill="1" applyBorder="1" applyAlignment="1">
      <alignment horizontal="right" wrapText="1"/>
    </xf>
    <xf numFmtId="0" fontId="8" fillId="3" borderId="87" xfId="0" applyFont="1" applyFill="1" applyBorder="1" applyAlignment="1">
      <alignment horizontal="right" wrapText="1"/>
    </xf>
    <xf numFmtId="0" fontId="6" fillId="11" borderId="95" xfId="0" applyFont="1" applyFill="1" applyBorder="1" applyAlignment="1">
      <alignment horizontal="left" wrapText="1"/>
    </xf>
    <xf numFmtId="0" fontId="6" fillId="11" borderId="96" xfId="0" applyFont="1" applyFill="1" applyBorder="1" applyAlignment="1">
      <alignment horizontal="left" wrapText="1"/>
    </xf>
    <xf numFmtId="0" fontId="6" fillId="11" borderId="97" xfId="0" applyFont="1" applyFill="1" applyBorder="1" applyAlignment="1">
      <alignment horizontal="left" wrapText="1"/>
    </xf>
    <xf numFmtId="0" fontId="6" fillId="11" borderId="98" xfId="0" applyFont="1" applyFill="1" applyBorder="1" applyAlignment="1">
      <alignment horizontal="left" wrapText="1"/>
    </xf>
    <xf numFmtId="0" fontId="6" fillId="11" borderId="99" xfId="0" applyFont="1" applyFill="1" applyBorder="1" applyAlignment="1">
      <alignment horizontal="left" wrapText="1"/>
    </xf>
    <xf numFmtId="0" fontId="6" fillId="11" borderId="100" xfId="0" applyFont="1" applyFill="1" applyBorder="1" applyAlignment="1">
      <alignment horizontal="left" wrapText="1"/>
    </xf>
    <xf numFmtId="0" fontId="6" fillId="11" borderId="101" xfId="0" applyFont="1" applyFill="1" applyBorder="1" applyAlignment="1">
      <alignment horizontal="left" wrapText="1"/>
    </xf>
    <xf numFmtId="0" fontId="6" fillId="11" borderId="102" xfId="0" applyFont="1" applyFill="1" applyBorder="1" applyAlignment="1">
      <alignment horizontal="left" wrapText="1"/>
    </xf>
    <xf numFmtId="0" fontId="6" fillId="11" borderId="103" xfId="0" applyFont="1" applyFill="1" applyBorder="1" applyAlignment="1">
      <alignment horizontal="left" wrapText="1"/>
    </xf>
    <xf numFmtId="0" fontId="6" fillId="11" borderId="104" xfId="0" applyFont="1" applyFill="1" applyBorder="1" applyAlignment="1">
      <alignment horizontal="left" wrapText="1"/>
    </xf>
    <xf numFmtId="0" fontId="7" fillId="6" borderId="105" xfId="0" applyFont="1" applyFill="1" applyBorder="1" applyAlignment="1">
      <alignment horizontal="left" vertical="top" wrapText="1"/>
    </xf>
    <xf numFmtId="0" fontId="6" fillId="0" borderId="106" xfId="0" applyFont="1" applyBorder="1" applyAlignment="1">
      <alignment horizontal="left" wrapText="1"/>
    </xf>
    <xf numFmtId="0" fontId="3" fillId="5" borderId="156" xfId="0" applyFont="1" applyFill="1" applyBorder="1"/>
    <xf numFmtId="0" fontId="3" fillId="5" borderId="158" xfId="0" applyFont="1" applyFill="1" applyBorder="1"/>
    <xf numFmtId="0" fontId="3" fillId="5" borderId="161" xfId="0" applyFont="1" applyFill="1" applyBorder="1"/>
    <xf numFmtId="0" fontId="3" fillId="5" borderId="157" xfId="0" applyFont="1" applyFill="1" applyBorder="1"/>
    <xf numFmtId="0" fontId="3" fillId="5" borderId="159" xfId="0" applyFont="1" applyFill="1" applyBorder="1"/>
    <xf numFmtId="0" fontId="3" fillId="5" borderId="160" xfId="0" applyFont="1" applyFill="1" applyBorder="1"/>
    <xf numFmtId="0" fontId="3" fillId="5" borderId="2" xfId="0" applyFont="1" applyFill="1" applyBorder="1"/>
    <xf numFmtId="0" fontId="3" fillId="5" borderId="3" xfId="0" applyFont="1" applyFill="1" applyBorder="1"/>
    <xf numFmtId="0" fontId="3" fillId="5" borderId="4" xfId="0" applyFont="1" applyFill="1" applyBorder="1"/>
    <xf numFmtId="0" fontId="3" fillId="5" borderId="9" xfId="0" applyFont="1" applyFill="1" applyBorder="1"/>
    <xf numFmtId="0" fontId="3" fillId="5" borderId="10" xfId="0" applyFont="1" applyFill="1" applyBorder="1"/>
    <xf numFmtId="0" fontId="3" fillId="5" borderId="12" xfId="0" applyFont="1" applyFill="1" applyBorder="1"/>
    <xf numFmtId="0" fontId="3" fillId="5" borderId="13" xfId="0" applyFont="1" applyFill="1" applyBorder="1"/>
    <xf numFmtId="0" fontId="3" fillId="5" borderId="14" xfId="0" applyFont="1" applyFill="1" applyBorder="1"/>
    <xf numFmtId="0" fontId="3" fillId="5" borderId="15" xfId="0" applyFont="1" applyFill="1" applyBorder="1"/>
    <xf numFmtId="0" fontId="8" fillId="4" borderId="45" xfId="0" applyFont="1" applyFill="1" applyBorder="1" applyAlignment="1">
      <alignment horizontal="center" wrapText="1"/>
    </xf>
    <xf numFmtId="0" fontId="8" fillId="4" borderId="122" xfId="0" applyFont="1" applyFill="1" applyBorder="1" applyAlignment="1">
      <alignment horizontal="center" wrapText="1"/>
    </xf>
    <xf numFmtId="0" fontId="8" fillId="4" borderId="123" xfId="0" applyFont="1" applyFill="1" applyBorder="1" applyAlignment="1">
      <alignment horizontal="center" wrapText="1"/>
    </xf>
    <xf numFmtId="0" fontId="8" fillId="4" borderId="124" xfId="0" applyFont="1" applyFill="1" applyBorder="1" applyAlignment="1">
      <alignment horizontal="center" wrapText="1"/>
    </xf>
    <xf numFmtId="0" fontId="8" fillId="4" borderId="125" xfId="0" applyFont="1" applyFill="1" applyBorder="1" applyAlignment="1">
      <alignment horizontal="center" wrapText="1"/>
    </xf>
    <xf numFmtId="0" fontId="4" fillId="10" borderId="135" xfId="0" applyFont="1" applyFill="1" applyBorder="1" applyAlignment="1">
      <alignment horizontal="center"/>
    </xf>
    <xf numFmtId="0" fontId="4" fillId="10" borderId="136" xfId="0" applyFont="1" applyFill="1" applyBorder="1" applyAlignment="1">
      <alignment horizontal="center"/>
    </xf>
    <xf numFmtId="0" fontId="4" fillId="10" borderId="137" xfId="0" applyFont="1" applyFill="1" applyBorder="1" applyAlignment="1">
      <alignment horizontal="center"/>
    </xf>
    <xf numFmtId="0" fontId="3" fillId="5" borderId="140" xfId="0" applyFont="1" applyFill="1" applyBorder="1"/>
    <xf numFmtId="0" fontId="3" fillId="5" borderId="141" xfId="0" applyFont="1" applyFill="1" applyBorder="1"/>
    <xf numFmtId="0" fontId="3" fillId="5" borderId="142" xfId="0" applyFont="1" applyFill="1" applyBorder="1"/>
    <xf numFmtId="0" fontId="3" fillId="5" borderId="145" xfId="0" applyFont="1" applyFill="1" applyBorder="1"/>
    <xf numFmtId="0" fontId="3" fillId="5" borderId="147" xfId="0" applyFont="1" applyFill="1" applyBorder="1"/>
    <xf numFmtId="0" fontId="3" fillId="5" borderId="148" xfId="0" applyFont="1" applyFill="1" applyBorder="1"/>
    <xf numFmtId="0" fontId="3" fillId="5" borderId="143" xfId="0" applyFont="1" applyFill="1" applyBorder="1"/>
    <xf numFmtId="0" fontId="3" fillId="5" borderId="144" xfId="0" applyFont="1" applyFill="1" applyBorder="1"/>
    <xf numFmtId="0" fontId="3" fillId="5" borderId="146" xfId="0" applyFont="1" applyFill="1" applyBorder="1"/>
    <xf numFmtId="0" fontId="6" fillId="0" borderId="107" xfId="0" applyFont="1" applyBorder="1" applyAlignment="1">
      <alignment horizontal="left" wrapText="1"/>
    </xf>
    <xf numFmtId="0" fontId="6" fillId="0" borderId="8" xfId="0" applyFont="1" applyBorder="1" applyAlignment="1">
      <alignment horizontal="left"/>
    </xf>
    <xf numFmtId="0" fontId="6" fillId="0" borderId="109" xfId="0" applyFont="1" applyBorder="1" applyAlignment="1">
      <alignment horizontal="left"/>
    </xf>
    <xf numFmtId="0" fontId="6" fillId="11" borderId="115" xfId="0" applyFont="1" applyFill="1" applyBorder="1" applyAlignment="1">
      <alignment horizontal="left" wrapText="1"/>
    </xf>
    <xf numFmtId="0" fontId="6" fillId="11" borderId="116" xfId="0" applyFont="1" applyFill="1" applyBorder="1" applyAlignment="1">
      <alignment horizontal="left" wrapText="1"/>
    </xf>
    <xf numFmtId="0" fontId="6" fillId="11" borderId="117" xfId="0" applyFont="1" applyFill="1" applyBorder="1" applyAlignment="1">
      <alignment horizontal="left" wrapText="1"/>
    </xf>
    <xf numFmtId="0" fontId="6" fillId="11" borderId="118" xfId="0" applyFont="1" applyFill="1" applyBorder="1" applyAlignment="1">
      <alignment horizontal="left" wrapText="1"/>
    </xf>
    <xf numFmtId="0" fontId="9" fillId="4" borderId="0" xfId="0" applyFont="1" applyFill="1" applyAlignment="1">
      <alignment horizontal="left" wrapText="1"/>
    </xf>
    <xf numFmtId="0" fontId="8" fillId="3" borderId="111" xfId="0" applyFont="1" applyFill="1" applyBorder="1" applyAlignment="1">
      <alignment horizontal="right" wrapText="1"/>
    </xf>
    <xf numFmtId="0" fontId="8" fillId="3" borderId="112" xfId="0" applyFont="1" applyFill="1" applyBorder="1" applyAlignment="1">
      <alignment horizontal="right" wrapText="1"/>
    </xf>
    <xf numFmtId="0" fontId="8" fillId="3" borderId="113" xfId="0" applyFont="1" applyFill="1" applyBorder="1" applyAlignment="1">
      <alignment horizontal="right" wrapText="1"/>
    </xf>
    <xf numFmtId="0" fontId="6" fillId="0" borderId="114" xfId="0" applyFont="1" applyBorder="1" applyAlignment="1">
      <alignment horizontal="left" wrapText="1"/>
    </xf>
    <xf numFmtId="0" fontId="8" fillId="3" borderId="119" xfId="0" applyFont="1" applyFill="1" applyBorder="1" applyAlignment="1">
      <alignment horizontal="right" wrapText="1"/>
    </xf>
    <xf numFmtId="0" fontId="8" fillId="3" borderId="120" xfId="0" applyFont="1" applyFill="1" applyBorder="1" applyAlignment="1">
      <alignment horizontal="right" wrapText="1"/>
    </xf>
    <xf numFmtId="0" fontId="8" fillId="3" borderId="121" xfId="0" applyFont="1" applyFill="1" applyBorder="1" applyAlignment="1">
      <alignment horizontal="right" wrapText="1"/>
    </xf>
    <xf numFmtId="0" fontId="6" fillId="11" borderId="126" xfId="0" applyFont="1" applyFill="1" applyBorder="1" applyAlignment="1">
      <alignment horizontal="left" wrapText="1"/>
    </xf>
    <xf numFmtId="0" fontId="6" fillId="11" borderId="127" xfId="0" applyFont="1" applyFill="1" applyBorder="1" applyAlignment="1">
      <alignment horizontal="left" wrapText="1"/>
    </xf>
    <xf numFmtId="0" fontId="6" fillId="11" borderId="128" xfId="0" applyFont="1" applyFill="1" applyBorder="1" applyAlignment="1">
      <alignment horizontal="left" wrapText="1"/>
    </xf>
    <xf numFmtId="0" fontId="6" fillId="11" borderId="129" xfId="0" applyFont="1" applyFill="1" applyBorder="1" applyAlignment="1">
      <alignment horizontal="left" wrapText="1"/>
    </xf>
    <xf numFmtId="0" fontId="6" fillId="11" borderId="130" xfId="0" applyFont="1" applyFill="1" applyBorder="1" applyAlignment="1">
      <alignment horizontal="left" wrapText="1"/>
    </xf>
    <xf numFmtId="0" fontId="6" fillId="11" borderId="131" xfId="0" applyFont="1" applyFill="1" applyBorder="1" applyAlignment="1">
      <alignment horizontal="left" wrapText="1"/>
    </xf>
    <xf numFmtId="0" fontId="6" fillId="11" borderId="132" xfId="0" applyFont="1" applyFill="1" applyBorder="1" applyAlignment="1">
      <alignment horizontal="left" wrapText="1"/>
    </xf>
    <xf numFmtId="0" fontId="6" fillId="11" borderId="133" xfId="0" applyFont="1" applyFill="1" applyBorder="1" applyAlignment="1">
      <alignment horizontal="left" wrapText="1"/>
    </xf>
    <xf numFmtId="0" fontId="6" fillId="11" borderId="134" xfId="0" applyFont="1" applyFill="1" applyBorder="1" applyAlignment="1">
      <alignment horizontal="left" wrapText="1"/>
    </xf>
    <xf numFmtId="0" fontId="7" fillId="6" borderId="138" xfId="0" applyFont="1" applyFill="1" applyBorder="1" applyAlignment="1">
      <alignment horizontal="left" vertical="top" wrapText="1"/>
    </xf>
    <xf numFmtId="0" fontId="6" fillId="0" borderId="139" xfId="0" applyFont="1" applyBorder="1" applyAlignment="1">
      <alignment horizontal="left" wrapText="1"/>
    </xf>
    <xf numFmtId="0" fontId="3" fillId="0" borderId="33" xfId="0" applyFont="1" applyBorder="1" applyAlignment="1">
      <alignment horizontal="left"/>
    </xf>
    <xf numFmtId="0" fontId="3" fillId="0" borderId="92" xfId="0" applyFont="1" applyBorder="1" applyAlignment="1">
      <alignment horizontal="left"/>
    </xf>
    <xf numFmtId="0" fontId="3" fillId="0" borderId="93" xfId="0" applyFont="1" applyBorder="1" applyAlignment="1">
      <alignment horizontal="left"/>
    </xf>
    <xf numFmtId="0" fontId="3" fillId="0" borderId="94" xfId="0" applyFont="1" applyBorder="1" applyAlignment="1">
      <alignment horizontal="left"/>
    </xf>
    <xf numFmtId="0" fontId="7" fillId="6" borderId="154" xfId="0" applyFont="1" applyFill="1" applyBorder="1" applyAlignment="1">
      <alignment horizontal="left" vertical="top" wrapText="1"/>
    </xf>
    <xf numFmtId="0" fontId="5" fillId="6" borderId="149" xfId="0" applyFont="1" applyFill="1" applyBorder="1" applyAlignment="1">
      <alignment horizontal="center" vertical="center"/>
    </xf>
    <xf numFmtId="0" fontId="6" fillId="0" borderId="155" xfId="0" applyFont="1" applyBorder="1" applyAlignment="1">
      <alignment horizontal="left" wrapText="1"/>
    </xf>
    <xf numFmtId="0" fontId="3" fillId="0" borderId="42" xfId="0" applyFont="1" applyBorder="1" applyAlignment="1">
      <alignment horizontal="left"/>
    </xf>
    <xf numFmtId="0" fontId="3" fillId="0" borderId="43" xfId="0" applyFont="1" applyBorder="1" applyAlignment="1">
      <alignment horizontal="left"/>
    </xf>
    <xf numFmtId="0" fontId="3" fillId="0" borderId="44" xfId="0" applyFont="1" applyBorder="1" applyAlignment="1">
      <alignment horizontal="left"/>
    </xf>
    <xf numFmtId="0" fontId="3" fillId="0" borderId="55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0" fontId="3" fillId="0" borderId="66" xfId="0" applyFont="1" applyBorder="1" applyAlignment="1">
      <alignment horizontal="left"/>
    </xf>
    <xf numFmtId="0" fontId="3" fillId="0" borderId="67" xfId="0" applyFont="1" applyBorder="1" applyAlignment="1">
      <alignment horizontal="left"/>
    </xf>
    <xf numFmtId="0" fontId="3" fillId="0" borderId="69" xfId="0" applyFont="1" applyBorder="1" applyAlignment="1">
      <alignment horizontal="left"/>
    </xf>
    <xf numFmtId="0" fontId="3" fillId="0" borderId="82" xfId="0" applyFont="1" applyBorder="1" applyAlignment="1">
      <alignment horizontal="left"/>
    </xf>
    <xf numFmtId="0" fontId="3" fillId="0" borderId="83" xfId="0" applyFont="1" applyBorder="1" applyAlignment="1">
      <alignment horizontal="left"/>
    </xf>
    <xf numFmtId="0" fontId="3" fillId="0" borderId="84" xfId="0" applyFont="1" applyBorder="1" applyAlignment="1">
      <alignment horizontal="left"/>
    </xf>
    <xf numFmtId="0" fontId="3" fillId="0" borderId="88" xfId="0" applyFont="1" applyBorder="1" applyAlignment="1">
      <alignment horizontal="left"/>
    </xf>
    <xf numFmtId="0" fontId="3" fillId="0" borderId="89" xfId="0" applyFont="1" applyBorder="1" applyAlignment="1">
      <alignment horizontal="left"/>
    </xf>
    <xf numFmtId="0" fontId="3" fillId="0" borderId="90" xfId="0" applyFont="1" applyBorder="1" applyAlignment="1">
      <alignment horizontal="left"/>
    </xf>
    <xf numFmtId="0" fontId="8" fillId="3" borderId="20" xfId="0" applyFont="1" applyFill="1" applyBorder="1" applyAlignment="1">
      <alignment horizontal="right" wrapText="1"/>
    </xf>
    <xf numFmtId="0" fontId="8" fillId="3" borderId="21" xfId="0" applyFont="1" applyFill="1" applyBorder="1" applyAlignment="1">
      <alignment horizontal="right" wrapText="1"/>
    </xf>
    <xf numFmtId="0" fontId="8" fillId="3" borderId="22" xfId="0" applyFont="1" applyFill="1" applyBorder="1" applyAlignment="1">
      <alignment horizontal="right" wrapText="1"/>
    </xf>
    <xf numFmtId="0" fontId="8" fillId="3" borderId="23" xfId="0" applyFont="1" applyFill="1" applyBorder="1" applyAlignment="1">
      <alignment horizontal="right" wrapText="1"/>
    </xf>
    <xf numFmtId="0" fontId="9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center" wrapText="1"/>
    </xf>
    <xf numFmtId="0" fontId="4" fillId="10" borderId="26" xfId="0" applyFont="1" applyFill="1" applyBorder="1" applyAlignment="1">
      <alignment horizontal="center"/>
    </xf>
    <xf numFmtId="0" fontId="4" fillId="10" borderId="27" xfId="0" applyFont="1" applyFill="1" applyBorder="1" applyAlignment="1">
      <alignment horizontal="center"/>
    </xf>
    <xf numFmtId="0" fontId="4" fillId="10" borderId="28" xfId="0" applyFont="1" applyFill="1" applyBorder="1" applyAlignment="1">
      <alignment horizontal="center"/>
    </xf>
    <xf numFmtId="0" fontId="3" fillId="0" borderId="34" xfId="0" applyFont="1" applyBorder="1" applyAlignment="1">
      <alignment horizontal="left"/>
    </xf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4" fillId="6" borderId="0" xfId="0" applyFont="1" applyFill="1" applyAlignment="1">
      <alignment horizontal="left" wrapText="1"/>
    </xf>
    <xf numFmtId="0" fontId="5" fillId="6" borderId="7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wrapText="1"/>
    </xf>
    <xf numFmtId="0" fontId="6" fillId="0" borderId="16" xfId="0" applyFont="1" applyBorder="1" applyAlignment="1">
      <alignment horizontal="left"/>
    </xf>
    <xf numFmtId="0" fontId="6" fillId="0" borderId="19" xfId="0" applyFont="1" applyBorder="1" applyAlignment="1">
      <alignment horizontal="left" wrapText="1"/>
    </xf>
    <xf numFmtId="0" fontId="4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right" vertical="center"/>
    </xf>
    <xf numFmtId="0" fontId="4" fillId="20" borderId="0" xfId="0" applyFont="1" applyFill="1" applyAlignment="1">
      <alignment horizontal="center"/>
    </xf>
    <xf numFmtId="0" fontId="1" fillId="20" borderId="0" xfId="0" applyFont="1" applyFill="1"/>
    <xf numFmtId="0" fontId="4" fillId="20" borderId="0" xfId="0" applyFont="1" applyFill="1" applyAlignment="1">
      <alignment horizontal="right" vertical="center"/>
    </xf>
    <xf numFmtId="0" fontId="4" fillId="25" borderId="0" xfId="0" applyFont="1" applyFill="1" applyAlignment="1">
      <alignment horizontal="center"/>
    </xf>
    <xf numFmtId="0" fontId="1" fillId="25" borderId="0" xfId="0" applyFont="1" applyFill="1"/>
    <xf numFmtId="0" fontId="4" fillId="25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right"/>
    </xf>
    <xf numFmtId="0" fontId="4" fillId="29" borderId="0" xfId="0" applyFont="1" applyFill="1" applyAlignment="1">
      <alignment horizontal="center"/>
    </xf>
    <xf numFmtId="0" fontId="1" fillId="29" borderId="0" xfId="0" applyFont="1" applyFill="1"/>
    <xf numFmtId="0" fontId="1" fillId="29" borderId="0" xfId="0" applyFont="1" applyFill="1" applyAlignment="1">
      <alignment vertical="center"/>
    </xf>
    <xf numFmtId="0" fontId="18" fillId="31" borderId="0" xfId="0" applyFont="1" applyFill="1" applyAlignment="1">
      <alignment wrapText="1"/>
    </xf>
    <xf numFmtId="0" fontId="3" fillId="29" borderId="0" xfId="0" applyFont="1" applyFill="1" applyAlignment="1">
      <alignment vertical="center"/>
    </xf>
    <xf numFmtId="0" fontId="4" fillId="29" borderId="0" xfId="0" applyFont="1" applyFill="1" applyAlignment="1">
      <alignment horizontal="center" vertical="center"/>
    </xf>
    <xf numFmtId="0" fontId="18" fillId="31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0" fontId="4" fillId="29" borderId="0" xfId="0" applyFont="1" applyFill="1" applyAlignment="1">
      <alignment horizontal="center" vertical="center" wrapText="1"/>
    </xf>
    <xf numFmtId="0" fontId="4" fillId="34" borderId="0" xfId="0" applyFont="1" applyFill="1" applyAlignment="1">
      <alignment horizontal="center" vertical="center"/>
    </xf>
    <xf numFmtId="0" fontId="4" fillId="35" borderId="0" xfId="0" applyFont="1" applyFill="1" applyAlignment="1">
      <alignment horizontal="center" vertical="center" wrapText="1"/>
    </xf>
    <xf numFmtId="0" fontId="26" fillId="0" borderId="16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opLeftCell="A22" workbookViewId="0">
      <selection activeCell="C37" sqref="C37:D37"/>
    </sheetView>
  </sheetViews>
  <sheetFormatPr baseColWidth="10" defaultColWidth="8.83203125" defaultRowHeight="13" outlineLevelRow="1" x14ac:dyDescent="0.15"/>
  <cols>
    <col min="1" max="1" width="5" customWidth="1"/>
    <col min="2" max="2" width="2.83203125" customWidth="1"/>
    <col min="3" max="3" width="56.1640625" customWidth="1"/>
    <col min="4" max="4" width="7.1640625" customWidth="1"/>
    <col min="5" max="5" width="7.6640625" customWidth="1"/>
    <col min="6" max="6" width="9.1640625" customWidth="1"/>
    <col min="7" max="7" width="9.83203125" bestFit="1" customWidth="1"/>
    <col min="8" max="8" width="2.1640625" customWidth="1"/>
    <col min="9" max="9" width="8.83203125" bestFit="1" customWidth="1"/>
  </cols>
  <sheetData>
    <row r="1" spans="1:8" x14ac:dyDescent="0.15">
      <c r="A1" s="1"/>
      <c r="B1" s="1"/>
      <c r="C1" s="1"/>
      <c r="D1" s="1"/>
      <c r="E1" s="1"/>
      <c r="F1" s="1"/>
      <c r="G1" s="1"/>
      <c r="H1" s="1"/>
    </row>
    <row r="2" spans="1:8" x14ac:dyDescent="0.15">
      <c r="B2" s="2"/>
      <c r="C2" s="2"/>
      <c r="D2" s="2"/>
      <c r="E2" s="2"/>
      <c r="F2" s="2"/>
      <c r="G2" s="2"/>
      <c r="H2" s="2"/>
    </row>
    <row r="3" spans="1:8" ht="36.5" customHeight="1" x14ac:dyDescent="0.2">
      <c r="B3" s="4">
        <v>1</v>
      </c>
      <c r="C3" s="357" t="s">
        <v>1</v>
      </c>
      <c r="D3" s="357"/>
      <c r="E3" s="357"/>
      <c r="F3" s="357"/>
      <c r="G3" s="357"/>
      <c r="H3" s="2"/>
    </row>
    <row r="4" spans="1:8" ht="12.5" customHeight="1" x14ac:dyDescent="0.15">
      <c r="B4" s="2"/>
      <c r="C4" s="6"/>
      <c r="D4" s="6"/>
      <c r="E4" s="7"/>
      <c r="F4" s="7"/>
      <c r="G4" s="2"/>
      <c r="H4" s="2"/>
    </row>
    <row r="5" spans="1:8" ht="36.5" customHeight="1" outlineLevel="1" x14ac:dyDescent="0.15">
      <c r="B5" s="2"/>
      <c r="C5" s="238" t="s">
        <v>2</v>
      </c>
      <c r="D5" s="358"/>
      <c r="E5" s="10" t="s">
        <v>3</v>
      </c>
      <c r="F5" s="11" t="s">
        <v>4</v>
      </c>
      <c r="G5" s="10" t="s">
        <v>5</v>
      </c>
      <c r="H5" s="2"/>
    </row>
    <row r="6" spans="1:8" ht="24.5" customHeight="1" outlineLevel="1" x14ac:dyDescent="0.15">
      <c r="B6" s="2"/>
      <c r="C6" s="208" t="s">
        <v>7</v>
      </c>
      <c r="D6" s="359"/>
      <c r="E6" s="12">
        <v>1</v>
      </c>
      <c r="F6" s="13">
        <v>1</v>
      </c>
      <c r="G6" s="15">
        <f>G$21*E6*F6</f>
        <v>14</v>
      </c>
      <c r="H6" s="2"/>
    </row>
    <row r="7" spans="1:8" ht="19.25" customHeight="1" outlineLevel="1" x14ac:dyDescent="0.15">
      <c r="B7" s="2"/>
      <c r="C7" s="298" t="s">
        <v>9</v>
      </c>
      <c r="D7" s="360"/>
      <c r="E7" s="12"/>
      <c r="F7" s="13">
        <v>1.5</v>
      </c>
      <c r="G7" s="16">
        <f>G$21*E7*F7</f>
        <v>0</v>
      </c>
      <c r="H7" s="2"/>
    </row>
    <row r="8" spans="1:8" ht="40.75" customHeight="1" outlineLevel="1" x14ac:dyDescent="0.15">
      <c r="B8" s="2"/>
      <c r="C8" s="18" t="s">
        <v>11</v>
      </c>
      <c r="D8" s="19"/>
      <c r="E8" s="12">
        <v>1</v>
      </c>
      <c r="F8" s="13">
        <v>0.3</v>
      </c>
      <c r="G8" s="16">
        <f>G$21*E8*F8</f>
        <v>4.2</v>
      </c>
      <c r="H8" s="2"/>
    </row>
    <row r="9" spans="1:8" ht="21.5" customHeight="1" outlineLevel="1" x14ac:dyDescent="0.15">
      <c r="B9" s="2"/>
      <c r="C9" s="208" t="s">
        <v>12</v>
      </c>
      <c r="D9" s="361"/>
      <c r="E9" s="12">
        <v>0</v>
      </c>
      <c r="F9" s="13">
        <v>1.5</v>
      </c>
      <c r="G9" s="16">
        <f>G$21*E9*F9</f>
        <v>0</v>
      </c>
      <c r="H9" s="2"/>
    </row>
    <row r="10" spans="1:8" outlineLevel="1" x14ac:dyDescent="0.15">
      <c r="B10" s="2"/>
      <c r="C10" s="345" t="s">
        <v>13</v>
      </c>
      <c r="D10" s="346"/>
      <c r="E10" s="347"/>
      <c r="F10" s="348"/>
      <c r="G10" s="21">
        <f>SUM(G6:G9)</f>
        <v>18.2</v>
      </c>
      <c r="H10" s="2"/>
    </row>
    <row r="11" spans="1:8" ht="16.25" customHeight="1" outlineLevel="1" x14ac:dyDescent="0.15">
      <c r="B11" s="2"/>
      <c r="C11" s="349" t="s">
        <v>14</v>
      </c>
      <c r="D11" s="349"/>
      <c r="E11" s="349"/>
      <c r="F11" s="349"/>
      <c r="G11" s="349"/>
      <c r="H11" s="2"/>
    </row>
    <row r="12" spans="1:8" ht="25.25" customHeight="1" outlineLevel="1" x14ac:dyDescent="0.15">
      <c r="B12" s="2"/>
      <c r="C12" s="350" t="s">
        <v>15</v>
      </c>
      <c r="D12" s="350"/>
      <c r="E12" s="350"/>
      <c r="F12" s="350"/>
      <c r="G12" s="350"/>
      <c r="H12" s="2"/>
    </row>
    <row r="13" spans="1:8" outlineLevel="1" x14ac:dyDescent="0.15">
      <c r="B13" s="2"/>
      <c r="C13" s="201" t="s">
        <v>17</v>
      </c>
      <c r="D13" s="351"/>
      <c r="E13" s="352"/>
      <c r="F13" s="353"/>
      <c r="G13" s="25" t="s">
        <v>20</v>
      </c>
      <c r="H13" s="2"/>
    </row>
    <row r="14" spans="1:8" outlineLevel="1" x14ac:dyDescent="0.15">
      <c r="B14" s="2"/>
      <c r="C14" s="323" t="s">
        <v>22</v>
      </c>
      <c r="D14" s="354"/>
      <c r="E14" s="355"/>
      <c r="F14" s="356"/>
      <c r="G14" s="27">
        <v>1</v>
      </c>
      <c r="H14" s="2"/>
    </row>
    <row r="15" spans="1:8" outlineLevel="1" x14ac:dyDescent="0.15">
      <c r="B15" s="2"/>
      <c r="C15" s="323" t="s">
        <v>24</v>
      </c>
      <c r="D15" s="330"/>
      <c r="E15" s="331"/>
      <c r="F15" s="332"/>
      <c r="G15" s="27">
        <v>2</v>
      </c>
      <c r="H15" s="2"/>
    </row>
    <row r="16" spans="1:8" outlineLevel="1" x14ac:dyDescent="0.15">
      <c r="B16" s="2"/>
      <c r="C16" s="323" t="s">
        <v>26</v>
      </c>
      <c r="D16" s="333"/>
      <c r="E16" s="334"/>
      <c r="F16" s="335"/>
      <c r="G16" s="27">
        <v>3</v>
      </c>
      <c r="H16" s="2"/>
    </row>
    <row r="17" spans="1:9" outlineLevel="1" x14ac:dyDescent="0.15">
      <c r="B17" s="2"/>
      <c r="C17" s="323" t="s">
        <v>33</v>
      </c>
      <c r="D17" s="336"/>
      <c r="E17" s="337"/>
      <c r="F17" s="338"/>
      <c r="G17" s="27">
        <v>3</v>
      </c>
      <c r="H17" s="2"/>
    </row>
    <row r="18" spans="1:9" outlineLevel="1" x14ac:dyDescent="0.15">
      <c r="B18" s="2"/>
      <c r="C18" s="323" t="s">
        <v>38</v>
      </c>
      <c r="D18" s="339"/>
      <c r="E18" s="340"/>
      <c r="F18" s="341"/>
      <c r="G18" s="27">
        <v>2</v>
      </c>
      <c r="H18" s="2"/>
    </row>
    <row r="19" spans="1:9" outlineLevel="1" x14ac:dyDescent="0.15">
      <c r="B19" s="2"/>
      <c r="C19" s="323" t="s">
        <v>42</v>
      </c>
      <c r="D19" s="342"/>
      <c r="E19" s="343"/>
      <c r="F19" s="344"/>
      <c r="G19" s="27">
        <v>1</v>
      </c>
      <c r="H19" s="2"/>
    </row>
    <row r="20" spans="1:9" outlineLevel="1" x14ac:dyDescent="0.15">
      <c r="B20" s="2"/>
      <c r="C20" s="323" t="s">
        <v>43</v>
      </c>
      <c r="D20" s="324"/>
      <c r="E20" s="325"/>
      <c r="F20" s="326"/>
      <c r="G20" s="27">
        <v>2</v>
      </c>
      <c r="H20" s="2"/>
    </row>
    <row r="21" spans="1:9" outlineLevel="1" x14ac:dyDescent="0.15">
      <c r="B21" s="2"/>
      <c r="C21" s="2"/>
      <c r="D21" s="2"/>
      <c r="E21" s="33" t="s">
        <v>10</v>
      </c>
      <c r="F21" s="33"/>
      <c r="G21" s="20">
        <f>SUM(G14:G20)</f>
        <v>14</v>
      </c>
      <c r="H21" s="2"/>
    </row>
    <row r="22" spans="1:9" x14ac:dyDescent="0.15">
      <c r="A22" s="1"/>
      <c r="B22" s="1"/>
      <c r="C22" s="1"/>
      <c r="D22" s="1"/>
      <c r="E22" s="1"/>
      <c r="F22" s="1"/>
      <c r="G22" s="1"/>
      <c r="H22" s="1"/>
    </row>
    <row r="24" spans="1:9" x14ac:dyDescent="0.15">
      <c r="B24" s="3"/>
      <c r="C24" s="3"/>
      <c r="D24" s="3"/>
      <c r="E24" s="3"/>
      <c r="F24" s="3"/>
      <c r="G24" s="3"/>
      <c r="H24" s="3"/>
    </row>
    <row r="25" spans="1:9" ht="30.5" customHeight="1" x14ac:dyDescent="0.2">
      <c r="B25" s="34">
        <v>2</v>
      </c>
      <c r="C25" s="240" t="s">
        <v>63</v>
      </c>
      <c r="D25" s="240"/>
      <c r="E25" s="240"/>
      <c r="F25" s="240"/>
      <c r="G25" s="240"/>
      <c r="H25" s="3"/>
    </row>
    <row r="26" spans="1:9" x14ac:dyDescent="0.15">
      <c r="B26" s="3"/>
      <c r="C26" s="38"/>
      <c r="D26" s="38"/>
      <c r="E26" s="39"/>
      <c r="F26" s="39"/>
      <c r="G26" s="3"/>
      <c r="H26" s="3"/>
    </row>
    <row r="27" spans="1:9" ht="38" outlineLevel="1" x14ac:dyDescent="0.15">
      <c r="B27" s="3"/>
      <c r="C27" s="238" t="s">
        <v>2</v>
      </c>
      <c r="D27" s="328"/>
      <c r="E27" s="10" t="s">
        <v>64</v>
      </c>
      <c r="F27" s="11" t="s">
        <v>66</v>
      </c>
      <c r="G27" s="10" t="s">
        <v>5</v>
      </c>
      <c r="H27" s="3"/>
    </row>
    <row r="28" spans="1:9" ht="24" customHeight="1" outlineLevel="1" x14ac:dyDescent="0.15">
      <c r="B28" s="3"/>
      <c r="C28" s="242" t="s">
        <v>68</v>
      </c>
      <c r="D28" s="243"/>
      <c r="E28" s="243"/>
      <c r="F28" s="243"/>
      <c r="G28" s="327"/>
      <c r="H28" s="3"/>
    </row>
    <row r="29" spans="1:9" outlineLevel="1" x14ac:dyDescent="0.15">
      <c r="B29" s="3"/>
      <c r="C29" s="208" t="s">
        <v>69</v>
      </c>
      <c r="D29" s="329"/>
      <c r="E29" s="12">
        <v>1</v>
      </c>
      <c r="F29" s="13" t="s">
        <v>70</v>
      </c>
      <c r="G29" s="23">
        <f>ROUND(IF(E29&lt;6, G51, E29/5*G51), 0)</f>
        <v>22</v>
      </c>
      <c r="H29" s="3"/>
      <c r="I29" t="s">
        <v>71</v>
      </c>
    </row>
    <row r="30" spans="1:9" ht="21" customHeight="1" outlineLevel="1" x14ac:dyDescent="0.15">
      <c r="B30" s="3"/>
      <c r="C30" s="208" t="s">
        <v>53</v>
      </c>
      <c r="D30" s="308"/>
      <c r="E30" s="12">
        <v>0</v>
      </c>
      <c r="F30" s="13">
        <v>10</v>
      </c>
      <c r="G30" s="15">
        <f>E30*F30</f>
        <v>0</v>
      </c>
      <c r="H30" s="3"/>
    </row>
    <row r="31" spans="1:9" outlineLevel="1" x14ac:dyDescent="0.15">
      <c r="B31" s="3"/>
      <c r="C31" s="227" t="s">
        <v>55</v>
      </c>
      <c r="D31" s="309"/>
      <c r="E31" s="310"/>
      <c r="F31" s="311"/>
      <c r="G31" s="31">
        <f>SUM(G29:G30)</f>
        <v>22</v>
      </c>
      <c r="H31" s="3"/>
    </row>
    <row r="32" spans="1:9" outlineLevel="1" x14ac:dyDescent="0.15">
      <c r="B32" s="3"/>
      <c r="C32" s="253" t="s">
        <v>57</v>
      </c>
      <c r="D32" s="312"/>
      <c r="E32" s="313"/>
      <c r="F32" s="314"/>
      <c r="G32" s="315"/>
      <c r="H32" s="3"/>
    </row>
    <row r="33" spans="2:13" ht="34.25" customHeight="1" outlineLevel="1" x14ac:dyDescent="0.15">
      <c r="B33" s="3"/>
      <c r="C33" s="316"/>
      <c r="D33" s="317"/>
      <c r="E33" s="318"/>
      <c r="F33" s="319"/>
      <c r="G33" s="320"/>
      <c r="H33" s="3"/>
    </row>
    <row r="34" spans="2:13" ht="21" customHeight="1" outlineLevel="1" x14ac:dyDescent="0.15">
      <c r="B34" s="3"/>
      <c r="C34" s="242" t="s">
        <v>58</v>
      </c>
      <c r="D34" s="243"/>
      <c r="E34" s="243"/>
      <c r="F34" s="243"/>
      <c r="G34" s="321"/>
      <c r="H34" s="3"/>
    </row>
    <row r="35" spans="2:13" ht="28.25" customHeight="1" outlineLevel="1" x14ac:dyDescent="0.15">
      <c r="B35" s="3"/>
      <c r="C35" s="208" t="s">
        <v>59</v>
      </c>
      <c r="D35" s="322"/>
      <c r="E35" s="12">
        <v>1</v>
      </c>
      <c r="F35" s="13">
        <v>0.5</v>
      </c>
      <c r="G35" s="15">
        <f>G$51*E35*F35</f>
        <v>11</v>
      </c>
      <c r="H35" s="3"/>
    </row>
    <row r="36" spans="2:13" ht="31.25" customHeight="1" outlineLevel="1" x14ac:dyDescent="0.15">
      <c r="B36" s="3"/>
      <c r="C36" s="208" t="s">
        <v>48</v>
      </c>
      <c r="D36" s="297"/>
      <c r="E36" s="12">
        <v>0</v>
      </c>
      <c r="F36" s="13">
        <v>0.8</v>
      </c>
      <c r="G36" s="15">
        <f>G$51*E36*F36</f>
        <v>0</v>
      </c>
      <c r="H36" s="3"/>
    </row>
    <row r="37" spans="2:13" outlineLevel="1" x14ac:dyDescent="0.15">
      <c r="B37" s="3"/>
      <c r="C37" s="298" t="s">
        <v>50</v>
      </c>
      <c r="D37" s="299"/>
      <c r="E37" s="12">
        <v>0</v>
      </c>
      <c r="F37" s="13">
        <v>1.2</v>
      </c>
      <c r="G37" s="15">
        <f>G$51*E37*F37</f>
        <v>0</v>
      </c>
      <c r="H37" s="3"/>
    </row>
    <row r="38" spans="2:13" outlineLevel="1" x14ac:dyDescent="0.15">
      <c r="B38" s="3"/>
      <c r="C38" s="227" t="s">
        <v>52</v>
      </c>
      <c r="D38" s="305"/>
      <c r="E38" s="306"/>
      <c r="F38" s="307"/>
      <c r="G38" s="26">
        <f>SUM(G35:G37)</f>
        <v>11</v>
      </c>
      <c r="H38" s="3"/>
    </row>
    <row r="39" spans="2:13" ht="47.5" customHeight="1" outlineLevel="1" x14ac:dyDescent="0.15">
      <c r="B39" s="3"/>
      <c r="C39" s="253" t="s">
        <v>54</v>
      </c>
      <c r="D39" s="300"/>
      <c r="E39" s="301"/>
      <c r="F39" s="302"/>
      <c r="G39" s="303"/>
      <c r="H39" s="3"/>
    </row>
    <row r="40" spans="2:13" outlineLevel="1" x14ac:dyDescent="0.15">
      <c r="B40" s="3"/>
      <c r="C40" s="304" t="s">
        <v>14</v>
      </c>
      <c r="D40" s="304"/>
      <c r="E40" s="304"/>
      <c r="F40" s="304"/>
      <c r="G40" s="304"/>
      <c r="H40" s="3"/>
    </row>
    <row r="41" spans="2:13" ht="28.25" customHeight="1" outlineLevel="1" x14ac:dyDescent="0.15">
      <c r="B41" s="3"/>
      <c r="C41" s="280" t="s">
        <v>56</v>
      </c>
      <c r="D41" s="281"/>
      <c r="E41" s="282"/>
      <c r="F41" s="283"/>
      <c r="G41" s="284"/>
      <c r="H41" s="3"/>
    </row>
    <row r="42" spans="2:13" outlineLevel="1" x14ac:dyDescent="0.15">
      <c r="B42" s="3"/>
      <c r="C42" s="201" t="s">
        <v>17</v>
      </c>
      <c r="D42" s="285"/>
      <c r="E42" s="286"/>
      <c r="F42" s="287"/>
      <c r="G42" s="25" t="s">
        <v>20</v>
      </c>
      <c r="H42" s="3"/>
    </row>
    <row r="43" spans="2:13" outlineLevel="1" x14ac:dyDescent="0.15">
      <c r="B43" s="3"/>
      <c r="C43" s="190" t="s">
        <v>60</v>
      </c>
      <c r="D43" s="288"/>
      <c r="E43" s="289"/>
      <c r="F43" s="290"/>
      <c r="G43" s="5">
        <v>2</v>
      </c>
      <c r="H43" s="3"/>
      <c r="J43" s="8"/>
      <c r="K43" s="8"/>
      <c r="L43" s="8"/>
      <c r="M43" s="9"/>
    </row>
    <row r="44" spans="2:13" outlineLevel="1" x14ac:dyDescent="0.15">
      <c r="B44" s="3"/>
      <c r="C44" s="190" t="s">
        <v>62</v>
      </c>
      <c r="D44" s="291"/>
      <c r="E44" s="292"/>
      <c r="F44" s="293"/>
      <c r="G44" s="5">
        <v>4</v>
      </c>
      <c r="H44" s="3"/>
      <c r="J44" s="8"/>
      <c r="K44" s="8"/>
      <c r="L44" s="8"/>
      <c r="M44" s="9"/>
    </row>
    <row r="45" spans="2:13" outlineLevel="1" x14ac:dyDescent="0.15">
      <c r="B45" s="3"/>
      <c r="C45" s="190" t="s">
        <v>61</v>
      </c>
      <c r="D45" s="294"/>
      <c r="E45" s="295"/>
      <c r="F45" s="296"/>
      <c r="G45" s="5">
        <v>3</v>
      </c>
      <c r="H45" s="3"/>
      <c r="J45" s="8"/>
      <c r="K45" s="8"/>
      <c r="L45" s="8"/>
      <c r="M45" s="9"/>
    </row>
    <row r="46" spans="2:13" outlineLevel="1" x14ac:dyDescent="0.15">
      <c r="B46" s="3"/>
      <c r="C46" s="190" t="s">
        <v>72</v>
      </c>
      <c r="D46" s="265"/>
      <c r="E46" s="266"/>
      <c r="F46" s="267"/>
      <c r="G46" s="5">
        <v>1</v>
      </c>
      <c r="H46" s="3"/>
      <c r="J46" s="8"/>
      <c r="K46" s="8"/>
      <c r="L46" s="8"/>
      <c r="M46" s="9"/>
    </row>
    <row r="47" spans="2:13" outlineLevel="1" x14ac:dyDescent="0.15">
      <c r="B47" s="3"/>
      <c r="C47" s="190" t="s">
        <v>73</v>
      </c>
      <c r="D47" s="268"/>
      <c r="E47" s="269"/>
      <c r="F47" s="270"/>
      <c r="G47" s="5">
        <v>4</v>
      </c>
      <c r="H47" s="3"/>
      <c r="J47" s="8"/>
      <c r="K47" s="8"/>
      <c r="L47" s="8"/>
      <c r="M47" s="9"/>
    </row>
    <row r="48" spans="2:13" outlineLevel="1" x14ac:dyDescent="0.15">
      <c r="B48" s="3"/>
      <c r="C48" s="190" t="s">
        <v>0</v>
      </c>
      <c r="D48" s="271"/>
      <c r="E48" s="272"/>
      <c r="F48" s="273"/>
      <c r="G48" s="5">
        <v>5</v>
      </c>
      <c r="H48" s="3"/>
      <c r="J48" s="8"/>
      <c r="K48" s="8"/>
      <c r="L48" s="8"/>
      <c r="M48" s="9"/>
    </row>
    <row r="49" spans="1:13" outlineLevel="1" x14ac:dyDescent="0.15">
      <c r="B49" s="3"/>
      <c r="C49" s="190" t="s">
        <v>6</v>
      </c>
      <c r="D49" s="274"/>
      <c r="E49" s="275"/>
      <c r="F49" s="276"/>
      <c r="G49" s="5">
        <v>2</v>
      </c>
      <c r="H49" s="3"/>
      <c r="M49" s="14"/>
    </row>
    <row r="50" spans="1:13" outlineLevel="1" x14ac:dyDescent="0.15">
      <c r="B50" s="3"/>
      <c r="C50" s="190" t="s">
        <v>8</v>
      </c>
      <c r="D50" s="277"/>
      <c r="E50" s="278"/>
      <c r="F50" s="279"/>
      <c r="G50" s="5">
        <v>1</v>
      </c>
      <c r="H50" s="3"/>
      <c r="M50" s="14"/>
    </row>
    <row r="51" spans="1:13" outlineLevel="1" x14ac:dyDescent="0.15">
      <c r="B51" s="3"/>
      <c r="C51" s="3"/>
      <c r="D51" s="3"/>
      <c r="E51" s="17" t="s">
        <v>10</v>
      </c>
      <c r="F51" s="17"/>
      <c r="G51" s="20">
        <f>SUM(G43:G50)</f>
        <v>22</v>
      </c>
      <c r="H51" s="3"/>
      <c r="M51" s="14"/>
    </row>
    <row r="52" spans="1:13" x14ac:dyDescent="0.15">
      <c r="A52" s="1"/>
      <c r="B52" s="1"/>
      <c r="C52" s="1"/>
      <c r="D52" s="1"/>
      <c r="E52" s="1"/>
      <c r="F52" s="1"/>
      <c r="G52" s="1"/>
      <c r="H52" s="1"/>
      <c r="M52" s="14"/>
    </row>
    <row r="54" spans="1:13" x14ac:dyDescent="0.15">
      <c r="B54" s="22"/>
      <c r="C54" s="22"/>
      <c r="D54" s="22"/>
      <c r="E54" s="22"/>
      <c r="F54" s="22"/>
      <c r="G54" s="22"/>
      <c r="H54" s="22"/>
    </row>
    <row r="55" spans="1:13" ht="41.5" customHeight="1" x14ac:dyDescent="0.2">
      <c r="B55" s="24">
        <v>3</v>
      </c>
      <c r="C55" s="240" t="s">
        <v>21</v>
      </c>
      <c r="D55" s="240"/>
      <c r="E55" s="240"/>
      <c r="F55" s="240"/>
      <c r="G55" s="240"/>
      <c r="H55" s="22"/>
    </row>
    <row r="56" spans="1:13" x14ac:dyDescent="0.15">
      <c r="B56" s="22"/>
      <c r="C56" s="28"/>
      <c r="D56" s="28"/>
      <c r="E56" s="29"/>
      <c r="F56" s="29"/>
      <c r="G56" s="22"/>
      <c r="H56" s="22"/>
    </row>
    <row r="57" spans="1:13" ht="38" outlineLevel="1" x14ac:dyDescent="0.15">
      <c r="B57" s="22"/>
      <c r="C57" s="238" t="s">
        <v>2</v>
      </c>
      <c r="D57" s="241"/>
      <c r="E57" s="10" t="s">
        <v>27</v>
      </c>
      <c r="F57" s="11" t="s">
        <v>28</v>
      </c>
      <c r="G57" s="10" t="s">
        <v>5</v>
      </c>
      <c r="H57" s="22"/>
    </row>
    <row r="58" spans="1:13" ht="40.25" customHeight="1" outlineLevel="1" x14ac:dyDescent="0.15">
      <c r="B58" s="22"/>
      <c r="C58" s="242" t="s">
        <v>29</v>
      </c>
      <c r="D58" s="243"/>
      <c r="E58" s="243"/>
      <c r="F58" s="243"/>
      <c r="G58" s="244"/>
      <c r="H58" s="22"/>
    </row>
    <row r="59" spans="1:13" outlineLevel="1" x14ac:dyDescent="0.15">
      <c r="B59" s="22"/>
      <c r="C59" s="208" t="s">
        <v>31</v>
      </c>
      <c r="D59" s="245"/>
      <c r="E59" s="12">
        <v>1</v>
      </c>
      <c r="F59" s="13">
        <v>1</v>
      </c>
      <c r="G59" s="15">
        <f>E59*F59*G$82</f>
        <v>22</v>
      </c>
      <c r="H59" s="22"/>
    </row>
    <row r="60" spans="1:13" outlineLevel="1" x14ac:dyDescent="0.15">
      <c r="B60" s="22"/>
      <c r="C60" s="210" t="s">
        <v>35</v>
      </c>
      <c r="D60" s="246"/>
      <c r="E60" s="12">
        <v>0</v>
      </c>
      <c r="F60" s="13">
        <v>0</v>
      </c>
      <c r="G60" s="15">
        <f>E60*F60*G$82</f>
        <v>0</v>
      </c>
      <c r="H60" s="22"/>
    </row>
    <row r="61" spans="1:13" outlineLevel="1" x14ac:dyDescent="0.15">
      <c r="B61" s="22"/>
      <c r="C61" s="210" t="s">
        <v>37</v>
      </c>
      <c r="D61" s="247"/>
      <c r="E61" s="12">
        <v>1</v>
      </c>
      <c r="F61" s="13">
        <v>0.2</v>
      </c>
      <c r="G61" s="15">
        <f>E61*F61*G$82</f>
        <v>4.4000000000000004</v>
      </c>
      <c r="H61" s="22"/>
    </row>
    <row r="62" spans="1:13" outlineLevel="1" x14ac:dyDescent="0.15">
      <c r="B62" s="22"/>
      <c r="C62" s="210" t="s">
        <v>40</v>
      </c>
      <c r="D62" s="248"/>
      <c r="E62" s="12">
        <v>0</v>
      </c>
      <c r="F62" s="13">
        <v>0.4</v>
      </c>
      <c r="G62" s="15">
        <f>E62*F62*G$82</f>
        <v>0</v>
      </c>
      <c r="H62" s="22"/>
    </row>
    <row r="63" spans="1:13" ht="11.5" customHeight="1" outlineLevel="1" x14ac:dyDescent="0.15">
      <c r="B63" s="22"/>
      <c r="C63" s="208"/>
      <c r="D63" s="249"/>
      <c r="E63" s="12"/>
      <c r="F63" s="13"/>
      <c r="G63" s="15"/>
      <c r="H63" s="22"/>
    </row>
    <row r="64" spans="1:13" ht="18.5" customHeight="1" outlineLevel="1" x14ac:dyDescent="0.15">
      <c r="B64" s="22"/>
      <c r="C64" s="227" t="s">
        <v>41</v>
      </c>
      <c r="D64" s="250"/>
      <c r="E64" s="251"/>
      <c r="F64" s="252"/>
      <c r="G64" s="31">
        <f>SUM(G59:G63)</f>
        <v>26.4</v>
      </c>
      <c r="H64" s="22"/>
      <c r="I64" s="32" t="s">
        <v>44</v>
      </c>
    </row>
    <row r="65" spans="2:9" outlineLevel="1" x14ac:dyDescent="0.15">
      <c r="B65" s="22"/>
      <c r="C65" s="253" t="s">
        <v>45</v>
      </c>
      <c r="D65" s="254"/>
      <c r="E65" s="255"/>
      <c r="F65" s="256"/>
      <c r="G65" s="257"/>
      <c r="H65" s="22"/>
    </row>
    <row r="66" spans="2:9" ht="32.5" customHeight="1" outlineLevel="1" x14ac:dyDescent="0.15">
      <c r="B66" s="22"/>
      <c r="C66" s="258"/>
      <c r="D66" s="259"/>
      <c r="E66" s="260"/>
      <c r="F66" s="261"/>
      <c r="G66" s="262"/>
      <c r="H66" s="22"/>
    </row>
    <row r="67" spans="2:9" ht="34.75" customHeight="1" outlineLevel="1" x14ac:dyDescent="0.15">
      <c r="B67" s="22"/>
      <c r="C67" s="242" t="s">
        <v>46</v>
      </c>
      <c r="D67" s="243"/>
      <c r="E67" s="243"/>
      <c r="F67" s="243"/>
      <c r="G67" s="263"/>
      <c r="H67" s="22"/>
    </row>
    <row r="68" spans="2:9" ht="24" customHeight="1" outlineLevel="1" x14ac:dyDescent="0.15">
      <c r="B68" s="22"/>
      <c r="C68" s="208" t="s">
        <v>47</v>
      </c>
      <c r="D68" s="264"/>
      <c r="E68" s="12">
        <v>1</v>
      </c>
      <c r="F68" s="13">
        <v>0.5</v>
      </c>
      <c r="G68" s="15">
        <f>G$82*E68*F68</f>
        <v>11</v>
      </c>
      <c r="H68" s="22"/>
    </row>
    <row r="69" spans="2:9" ht="16.75" customHeight="1" outlineLevel="1" x14ac:dyDescent="0.15">
      <c r="B69" s="22"/>
      <c r="C69" s="208" t="s">
        <v>49</v>
      </c>
      <c r="D69" s="215"/>
      <c r="E69" s="12">
        <v>1</v>
      </c>
      <c r="F69" s="13">
        <v>0.8</v>
      </c>
      <c r="G69" s="15">
        <f>G$82*E69*F69</f>
        <v>17.600000000000001</v>
      </c>
      <c r="H69" s="22"/>
    </row>
    <row r="70" spans="2:9" ht="39.5" customHeight="1" outlineLevel="1" x14ac:dyDescent="0.15">
      <c r="B70" s="22"/>
      <c r="C70" s="210" t="s">
        <v>51</v>
      </c>
      <c r="D70" s="211"/>
      <c r="E70" s="12">
        <v>1</v>
      </c>
      <c r="F70" s="13">
        <v>1.5</v>
      </c>
      <c r="G70" s="15">
        <f>G$82*E70*F70</f>
        <v>33</v>
      </c>
      <c r="H70" s="22"/>
    </row>
    <row r="71" spans="2:9" outlineLevel="1" x14ac:dyDescent="0.15">
      <c r="B71" s="22"/>
      <c r="C71" s="208" t="s">
        <v>16</v>
      </c>
      <c r="D71" s="209"/>
      <c r="E71" s="12"/>
      <c r="F71" s="13"/>
      <c r="G71" s="23">
        <f>G87</f>
        <v>3</v>
      </c>
      <c r="H71" s="22"/>
      <c r="I71" t="s">
        <v>18</v>
      </c>
    </row>
    <row r="72" spans="2:9" outlineLevel="1" x14ac:dyDescent="0.15">
      <c r="B72" s="22"/>
      <c r="C72" s="227" t="s">
        <v>19</v>
      </c>
      <c r="D72" s="228"/>
      <c r="E72" s="229"/>
      <c r="F72" s="230"/>
      <c r="G72" s="26">
        <f>SUM(G68:G71)</f>
        <v>64.599999999999994</v>
      </c>
      <c r="H72" s="22"/>
    </row>
    <row r="73" spans="2:9" ht="47.5" customHeight="1" outlineLevel="1" x14ac:dyDescent="0.15">
      <c r="B73" s="22"/>
      <c r="C73" s="222" t="s">
        <v>23</v>
      </c>
      <c r="D73" s="223"/>
      <c r="E73" s="224"/>
      <c r="F73" s="225"/>
      <c r="G73" s="226"/>
      <c r="H73" s="22"/>
    </row>
    <row r="74" spans="2:9" ht="41.5" customHeight="1" outlineLevel="1" x14ac:dyDescent="0.15">
      <c r="B74" s="22"/>
      <c r="C74" s="221" t="s">
        <v>14</v>
      </c>
      <c r="D74" s="221"/>
      <c r="E74" s="221"/>
      <c r="F74" s="221"/>
      <c r="G74" s="221"/>
      <c r="H74" s="22"/>
    </row>
    <row r="75" spans="2:9" outlineLevel="1" x14ac:dyDescent="0.15">
      <c r="B75" s="22"/>
      <c r="C75" s="216" t="s">
        <v>25</v>
      </c>
      <c r="D75" s="217"/>
      <c r="E75" s="218"/>
      <c r="F75" s="219"/>
      <c r="G75" s="220"/>
      <c r="H75" s="22"/>
    </row>
    <row r="76" spans="2:9" outlineLevel="1" x14ac:dyDescent="0.15">
      <c r="B76" s="22"/>
      <c r="C76" s="201" t="s">
        <v>17</v>
      </c>
      <c r="D76" s="202"/>
      <c r="E76" s="203"/>
      <c r="F76" s="204"/>
      <c r="G76" s="25" t="s">
        <v>20</v>
      </c>
      <c r="H76" s="22"/>
    </row>
    <row r="77" spans="2:9" outlineLevel="1" x14ac:dyDescent="0.15">
      <c r="B77" s="22"/>
      <c r="C77" s="190" t="s">
        <v>30</v>
      </c>
      <c r="D77" s="205"/>
      <c r="E77" s="206"/>
      <c r="F77" s="207"/>
      <c r="G77" s="5">
        <v>3</v>
      </c>
      <c r="H77" s="22"/>
    </row>
    <row r="78" spans="2:9" outlineLevel="1" x14ac:dyDescent="0.15">
      <c r="B78" s="22"/>
      <c r="C78" s="190" t="s">
        <v>32</v>
      </c>
      <c r="D78" s="212"/>
      <c r="E78" s="213"/>
      <c r="F78" s="214"/>
      <c r="G78" s="5">
        <v>5</v>
      </c>
      <c r="H78" s="22"/>
    </row>
    <row r="79" spans="2:9" outlineLevel="1" x14ac:dyDescent="0.15">
      <c r="B79" s="22"/>
      <c r="C79" s="190" t="s">
        <v>34</v>
      </c>
      <c r="D79" s="191"/>
      <c r="E79" s="192"/>
      <c r="F79" s="193"/>
      <c r="G79" s="5">
        <v>5</v>
      </c>
      <c r="H79" s="22"/>
    </row>
    <row r="80" spans="2:9" outlineLevel="1" x14ac:dyDescent="0.15">
      <c r="B80" s="22"/>
      <c r="C80" s="190" t="s">
        <v>36</v>
      </c>
      <c r="D80" s="194"/>
      <c r="E80" s="195"/>
      <c r="F80" s="196"/>
      <c r="G80" s="5">
        <v>5</v>
      </c>
      <c r="H80" s="22"/>
    </row>
    <row r="81" spans="1:8" outlineLevel="1" x14ac:dyDescent="0.15">
      <c r="B81" s="22"/>
      <c r="C81" s="190" t="s">
        <v>39</v>
      </c>
      <c r="D81" s="197"/>
      <c r="E81" s="198"/>
      <c r="F81" s="199"/>
      <c r="G81" s="5">
        <v>4</v>
      </c>
      <c r="H81" s="22"/>
    </row>
    <row r="82" spans="1:8" ht="16.25" customHeight="1" outlineLevel="1" x14ac:dyDescent="0.15">
      <c r="B82" s="22"/>
      <c r="C82" s="22"/>
      <c r="D82" s="22"/>
      <c r="E82" s="30" t="s">
        <v>10</v>
      </c>
      <c r="F82" s="30"/>
      <c r="G82" s="20">
        <f>SUM(G77:G81)</f>
        <v>22</v>
      </c>
      <c r="H82" s="22"/>
    </row>
    <row r="83" spans="1:8" s="40" customFormat="1" ht="18.5" customHeight="1" outlineLevel="1" x14ac:dyDescent="0.15">
      <c r="E83" s="41"/>
      <c r="F83" s="41"/>
      <c r="G83" s="41"/>
    </row>
    <row r="84" spans="1:8" ht="27" customHeight="1" outlineLevel="1" x14ac:dyDescent="0.15">
      <c r="B84" s="22"/>
      <c r="C84" s="200" t="s">
        <v>67</v>
      </c>
      <c r="D84" s="200"/>
      <c r="E84" s="200"/>
      <c r="F84" s="200"/>
      <c r="G84" s="200"/>
      <c r="H84" s="22"/>
    </row>
    <row r="85" spans="1:8" outlineLevel="1" x14ac:dyDescent="0.15">
      <c r="B85" s="22"/>
      <c r="C85" s="22"/>
      <c r="D85" s="22"/>
      <c r="E85" s="22"/>
      <c r="F85" s="22"/>
      <c r="G85" s="22"/>
      <c r="H85" s="22"/>
    </row>
    <row r="86" spans="1:8" ht="25" outlineLevel="1" x14ac:dyDescent="0.15">
      <c r="B86" s="22"/>
      <c r="C86" s="238" t="s">
        <v>2</v>
      </c>
      <c r="D86" s="239"/>
      <c r="E86" s="10" t="s">
        <v>75</v>
      </c>
      <c r="F86" s="11" t="s">
        <v>76</v>
      </c>
      <c r="G86" s="10" t="s">
        <v>5</v>
      </c>
      <c r="H86" s="22"/>
    </row>
    <row r="87" spans="1:8" ht="21.5" customHeight="1" outlineLevel="1" x14ac:dyDescent="0.15">
      <c r="B87" s="22"/>
      <c r="C87" s="236" t="s">
        <v>74</v>
      </c>
      <c r="D87" s="237"/>
      <c r="E87" s="44">
        <v>1</v>
      </c>
      <c r="F87" s="44">
        <v>3</v>
      </c>
      <c r="G87" s="45">
        <f>E87*F87</f>
        <v>3</v>
      </c>
      <c r="H87" s="22"/>
    </row>
    <row r="88" spans="1:8" outlineLevel="1" x14ac:dyDescent="0.15">
      <c r="B88" s="22"/>
      <c r="C88" s="234"/>
      <c r="D88" s="235"/>
      <c r="E88" s="44"/>
      <c r="F88" s="44"/>
      <c r="G88" s="45"/>
      <c r="H88" s="22"/>
    </row>
    <row r="89" spans="1:8" outlineLevel="1" x14ac:dyDescent="0.15">
      <c r="B89" s="22"/>
      <c r="C89" s="35"/>
      <c r="D89" s="35"/>
      <c r="E89" s="36"/>
      <c r="F89" s="36"/>
      <c r="G89" s="37"/>
      <c r="H89" s="22"/>
    </row>
    <row r="90" spans="1:8" outlineLevel="1" x14ac:dyDescent="0.15">
      <c r="B90" s="22"/>
      <c r="C90" s="22"/>
      <c r="D90" s="22"/>
      <c r="E90" s="22"/>
      <c r="F90" s="22"/>
      <c r="G90" s="22"/>
      <c r="H90" s="22"/>
    </row>
    <row r="91" spans="1:8" outlineLevel="1" x14ac:dyDescent="0.15">
      <c r="B91" s="22"/>
      <c r="C91" s="231" t="s">
        <v>65</v>
      </c>
      <c r="D91" s="232"/>
      <c r="E91" s="233"/>
      <c r="F91" s="42"/>
      <c r="G91" s="43">
        <f>G72</f>
        <v>64.599999999999994</v>
      </c>
      <c r="H91" s="22"/>
    </row>
    <row r="92" spans="1:8" outlineLevel="1" x14ac:dyDescent="0.15">
      <c r="B92" s="22"/>
      <c r="C92" s="22"/>
      <c r="D92" s="22"/>
      <c r="E92" s="22"/>
      <c r="F92" s="22"/>
      <c r="G92" s="22"/>
      <c r="H92" s="22"/>
    </row>
    <row r="93" spans="1:8" outlineLevel="1" x14ac:dyDescent="0.15">
      <c r="B93" s="22"/>
      <c r="C93" s="22"/>
      <c r="D93" s="22"/>
      <c r="E93" s="22"/>
      <c r="F93" s="22"/>
      <c r="G93" s="22"/>
      <c r="H93" s="22"/>
    </row>
    <row r="94" spans="1:8" x14ac:dyDescent="0.15">
      <c r="A94" s="1"/>
      <c r="B94" s="1"/>
      <c r="C94" s="1"/>
      <c r="D94" s="1"/>
      <c r="E94" s="1"/>
      <c r="F94" s="1"/>
      <c r="G94" s="1"/>
      <c r="H94" s="1"/>
    </row>
  </sheetData>
  <mergeCells count="70">
    <mergeCell ref="C3:G3"/>
    <mergeCell ref="C5:D5"/>
    <mergeCell ref="C6:D6"/>
    <mergeCell ref="C7:D7"/>
    <mergeCell ref="C9:D9"/>
    <mergeCell ref="C10:F10"/>
    <mergeCell ref="C11:G11"/>
    <mergeCell ref="C12:G12"/>
    <mergeCell ref="C13:F13"/>
    <mergeCell ref="C14:F14"/>
    <mergeCell ref="C15:F15"/>
    <mergeCell ref="C16:F16"/>
    <mergeCell ref="C17:F17"/>
    <mergeCell ref="C18:F18"/>
    <mergeCell ref="C19:F19"/>
    <mergeCell ref="C20:F20"/>
    <mergeCell ref="C25:G25"/>
    <mergeCell ref="C28:G28"/>
    <mergeCell ref="C27:D27"/>
    <mergeCell ref="C29:D29"/>
    <mergeCell ref="C30:D30"/>
    <mergeCell ref="C31:F31"/>
    <mergeCell ref="C32:G33"/>
    <mergeCell ref="C34:G34"/>
    <mergeCell ref="C35:D35"/>
    <mergeCell ref="C36:D36"/>
    <mergeCell ref="C37:D37"/>
    <mergeCell ref="C39:G39"/>
    <mergeCell ref="C40:G40"/>
    <mergeCell ref="C38:F38"/>
    <mergeCell ref="C41:G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91:E91"/>
    <mergeCell ref="C88:D88"/>
    <mergeCell ref="C87:D87"/>
    <mergeCell ref="C86:D86"/>
    <mergeCell ref="C55:G55"/>
    <mergeCell ref="C57:D57"/>
    <mergeCell ref="C58:G58"/>
    <mergeCell ref="C59:D59"/>
    <mergeCell ref="C60:D60"/>
    <mergeCell ref="C61:D61"/>
    <mergeCell ref="C62:D62"/>
    <mergeCell ref="C63:D63"/>
    <mergeCell ref="C64:F64"/>
    <mergeCell ref="C65:G66"/>
    <mergeCell ref="C67:G67"/>
    <mergeCell ref="C68:D68"/>
    <mergeCell ref="C71:D71"/>
    <mergeCell ref="C70:D70"/>
    <mergeCell ref="C78:F78"/>
    <mergeCell ref="C69:D69"/>
    <mergeCell ref="C75:G75"/>
    <mergeCell ref="C74:G74"/>
    <mergeCell ref="C73:G73"/>
    <mergeCell ref="C72:F72"/>
    <mergeCell ref="C79:F79"/>
    <mergeCell ref="C80:F80"/>
    <mergeCell ref="C81:F81"/>
    <mergeCell ref="C84:G84"/>
    <mergeCell ref="C76:F76"/>
    <mergeCell ref="C77:F77"/>
  </mergeCells>
  <pageMargins left="0.70000004768371582" right="0.70000004768371582" top="0.75" bottom="0.75" header="0.30000001192092896" footer="0.30000001192092896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L22"/>
  <sheetViews>
    <sheetView workbookViewId="0">
      <selection activeCell="B6" sqref="B6"/>
    </sheetView>
  </sheetViews>
  <sheetFormatPr baseColWidth="10" defaultColWidth="12.5" defaultRowHeight="15.75" customHeight="1" outlineLevelCol="1" x14ac:dyDescent="0.15"/>
  <cols>
    <col min="1" max="1" width="3.33203125" customWidth="1"/>
    <col min="2" max="2" width="75.1640625" customWidth="1"/>
    <col min="3" max="3" width="16" customWidth="1"/>
    <col min="4" max="4" width="3.1640625" customWidth="1"/>
    <col min="5" max="6" width="12.5" customWidth="1" outlineLevel="1"/>
    <col min="7" max="7" width="11.6640625" customWidth="1" outlineLevel="1"/>
    <col min="8" max="8" width="9" customWidth="1" outlineLevel="1"/>
    <col min="9" max="12" width="12.5" bestFit="1" customWidth="1" outlineLevel="1"/>
  </cols>
  <sheetData>
    <row r="1" spans="1:12" ht="13" x14ac:dyDescent="0.15">
      <c r="A1" s="362"/>
      <c r="B1" s="362" t="s">
        <v>77</v>
      </c>
      <c r="C1" s="362"/>
      <c r="D1" s="362"/>
      <c r="E1" s="47"/>
      <c r="F1" s="48"/>
      <c r="G1" s="49"/>
      <c r="H1" s="49"/>
      <c r="I1" s="49"/>
      <c r="J1" s="49"/>
      <c r="K1" s="49"/>
      <c r="L1" s="49"/>
    </row>
    <row r="2" spans="1:12" ht="13" x14ac:dyDescent="0.15">
      <c r="A2" s="362"/>
      <c r="B2" s="46" t="s">
        <v>78</v>
      </c>
      <c r="C2" s="46" t="s">
        <v>79</v>
      </c>
      <c r="D2" s="362"/>
      <c r="E2" s="47" t="s">
        <v>80</v>
      </c>
      <c r="F2" s="50" t="s">
        <v>81</v>
      </c>
      <c r="G2" s="50" t="s">
        <v>82</v>
      </c>
      <c r="H2" s="50" t="s">
        <v>83</v>
      </c>
      <c r="I2" s="50" t="s">
        <v>84</v>
      </c>
      <c r="J2" s="50" t="s">
        <v>85</v>
      </c>
      <c r="K2" s="50" t="s">
        <v>86</v>
      </c>
      <c r="L2" s="50" t="s">
        <v>87</v>
      </c>
    </row>
    <row r="3" spans="1:12" ht="13" x14ac:dyDescent="0.15">
      <c r="A3" s="362"/>
      <c r="B3" s="51" t="s">
        <v>88</v>
      </c>
      <c r="C3" s="52" t="s">
        <v>89</v>
      </c>
      <c r="D3" s="362"/>
      <c r="E3" s="53">
        <f>IF(C3="Нет", G3, IF(C3="Да", H3, ""))</f>
        <v>1</v>
      </c>
      <c r="F3" s="54"/>
      <c r="G3" s="54">
        <v>1</v>
      </c>
      <c r="H3" s="54">
        <v>0.75</v>
      </c>
      <c r="I3" s="55"/>
      <c r="J3" s="55"/>
      <c r="K3" s="55"/>
      <c r="L3" s="55"/>
    </row>
    <row r="4" spans="1:12" ht="13" x14ac:dyDescent="0.15">
      <c r="A4" s="362"/>
      <c r="B4" s="56" t="s">
        <v>90</v>
      </c>
      <c r="C4" s="52" t="s">
        <v>91</v>
      </c>
      <c r="D4" s="362"/>
      <c r="E4" s="53">
        <f>IF(C4="Неизвестно", F4, IF(C4="Низкая", G4, IF(C4="Средняя", H4, IF(C4="Высокая", I4, ""))))</f>
        <v>1</v>
      </c>
      <c r="F4" s="54">
        <v>1.25</v>
      </c>
      <c r="G4" s="54">
        <v>0.75</v>
      </c>
      <c r="H4" s="54">
        <v>1</v>
      </c>
      <c r="I4" s="54">
        <v>1.5</v>
      </c>
      <c r="J4" s="55"/>
      <c r="K4" s="55"/>
      <c r="L4" s="55"/>
    </row>
    <row r="5" spans="1:12" ht="50.5" customHeight="1" x14ac:dyDescent="0.15">
      <c r="A5" s="362"/>
      <c r="B5" s="57" t="s">
        <v>92</v>
      </c>
      <c r="C5" s="52" t="s">
        <v>93</v>
      </c>
      <c r="D5" s="362"/>
      <c r="E5" s="53">
        <f>IF(C5="Неизвестно", F5, IF(C5="Точечное", G5, IF(C5="Малое", H5, IF(C5="Среднее", I5, IF(C5="Крупное", J5, IF(C5="Большое", K5, IF(C5="Масштабное", L5, "")))))))</f>
        <v>1</v>
      </c>
      <c r="F5" s="54">
        <v>1.25</v>
      </c>
      <c r="G5" s="54">
        <v>0.5</v>
      </c>
      <c r="H5" s="54">
        <v>0.75</v>
      </c>
      <c r="I5" s="54">
        <v>1</v>
      </c>
      <c r="J5" s="54">
        <v>1.25</v>
      </c>
      <c r="K5" s="54">
        <v>1.5</v>
      </c>
      <c r="L5" s="54">
        <v>1.75</v>
      </c>
    </row>
    <row r="6" spans="1:12" ht="13" x14ac:dyDescent="0.15">
      <c r="A6" s="362"/>
      <c r="B6" s="56" t="s">
        <v>94</v>
      </c>
      <c r="C6" s="52" t="s">
        <v>95</v>
      </c>
      <c r="D6" s="362"/>
      <c r="E6" s="53">
        <f>IF(C6="Неизвестно", F6, IF(C6="Низкая", G6, IF(C6="Средняя", H6, IF(C6="Высокая", I6, ""))))</f>
        <v>1</v>
      </c>
      <c r="F6" s="54">
        <v>1</v>
      </c>
      <c r="G6" s="54">
        <v>1.5</v>
      </c>
      <c r="H6" s="54">
        <v>1.25</v>
      </c>
      <c r="I6" s="54">
        <v>0.75</v>
      </c>
      <c r="J6" s="55"/>
      <c r="K6" s="55"/>
      <c r="L6" s="55"/>
    </row>
    <row r="7" spans="1:12" ht="13" x14ac:dyDescent="0.15">
      <c r="A7" s="362"/>
      <c r="B7" s="51" t="s">
        <v>96</v>
      </c>
      <c r="C7" s="52" t="s">
        <v>95</v>
      </c>
      <c r="D7" s="362"/>
      <c r="E7" s="53">
        <f>IF(C7="Неизвестно", F7, IF(C7="Да", G7, IF(C7="Нет", H7, "")))</f>
        <v>1</v>
      </c>
      <c r="F7" s="54">
        <v>1</v>
      </c>
      <c r="G7" s="54">
        <v>0.75</v>
      </c>
      <c r="H7" s="54">
        <v>1.25</v>
      </c>
      <c r="I7" s="54"/>
      <c r="J7" s="55"/>
      <c r="K7" s="55"/>
      <c r="L7" s="55"/>
    </row>
    <row r="8" spans="1:12" ht="13" x14ac:dyDescent="0.15">
      <c r="A8" s="362"/>
      <c r="B8" s="51" t="s">
        <v>102</v>
      </c>
      <c r="C8" s="52" t="s">
        <v>95</v>
      </c>
      <c r="D8" s="362"/>
      <c r="E8" s="53">
        <f>IF(C8="Неизвестно", F8, IF(C8="Да", G8, IF(C8="Нет", H8, "")))</f>
        <v>1</v>
      </c>
      <c r="F8" s="54">
        <v>1</v>
      </c>
      <c r="G8" s="54">
        <v>0.75</v>
      </c>
      <c r="H8" s="54">
        <v>1.25</v>
      </c>
      <c r="I8" s="55"/>
      <c r="J8" s="55"/>
      <c r="K8" s="55"/>
      <c r="L8" s="55"/>
    </row>
    <row r="9" spans="1:12" ht="13" x14ac:dyDescent="0.15">
      <c r="A9" s="362"/>
      <c r="B9" s="56" t="s">
        <v>104</v>
      </c>
      <c r="C9" s="52" t="s">
        <v>95</v>
      </c>
      <c r="D9" s="362"/>
      <c r="E9" s="53">
        <f>IF(C9="Неизвестно", F9, IF(C9="Да", G9, IF(C9="Нет", H9, "")))</f>
        <v>1</v>
      </c>
      <c r="F9" s="54">
        <v>1</v>
      </c>
      <c r="G9" s="54">
        <v>1.25</v>
      </c>
      <c r="H9" s="54">
        <v>0</v>
      </c>
      <c r="I9" s="55"/>
      <c r="J9" s="55"/>
      <c r="K9" s="55"/>
      <c r="L9" s="55"/>
    </row>
    <row r="10" spans="1:12" ht="13" x14ac:dyDescent="0.15">
      <c r="A10" s="362"/>
      <c r="B10" s="56" t="s">
        <v>108</v>
      </c>
      <c r="C10" s="52" t="s">
        <v>95</v>
      </c>
      <c r="D10" s="362"/>
      <c r="E10" s="53">
        <f>IF(C10="Неизвестно", F10, IF(C10="Да", G10, IF(C10="Нет", H10, "")))</f>
        <v>1</v>
      </c>
      <c r="F10" s="54">
        <v>1</v>
      </c>
      <c r="G10" s="54">
        <v>0.75</v>
      </c>
      <c r="H10" s="54">
        <v>1.25</v>
      </c>
      <c r="I10" s="55"/>
      <c r="J10" s="55"/>
      <c r="K10" s="55"/>
      <c r="L10" s="55"/>
    </row>
    <row r="11" spans="1:12" ht="13" x14ac:dyDescent="0.15">
      <c r="A11" s="362"/>
      <c r="B11" s="56" t="s">
        <v>110</v>
      </c>
      <c r="C11" s="52" t="s">
        <v>95</v>
      </c>
      <c r="D11" s="362"/>
      <c r="E11" s="53">
        <f>IF(C11="Неизвестно", F11, IF(C11="Да", G11, IF(C11="Нет", H11, "")))</f>
        <v>1</v>
      </c>
      <c r="F11" s="54">
        <v>1</v>
      </c>
      <c r="G11" s="54">
        <v>1.25</v>
      </c>
      <c r="H11" s="54">
        <v>0</v>
      </c>
      <c r="I11" s="55"/>
      <c r="J11" s="55"/>
      <c r="K11" s="55"/>
      <c r="L11" s="55"/>
    </row>
    <row r="12" spans="1:12" ht="13" x14ac:dyDescent="0.15">
      <c r="A12" s="362"/>
      <c r="B12" s="58" t="s">
        <v>97</v>
      </c>
      <c r="C12" s="46" t="s">
        <v>98</v>
      </c>
      <c r="D12" s="362"/>
      <c r="E12" s="59"/>
      <c r="F12" s="50" t="s">
        <v>99</v>
      </c>
      <c r="G12" s="50" t="s">
        <v>100</v>
      </c>
      <c r="H12" s="48"/>
      <c r="I12" s="49"/>
      <c r="J12" s="49"/>
      <c r="K12" s="49"/>
      <c r="L12" s="49"/>
    </row>
    <row r="13" spans="1:12" ht="13" x14ac:dyDescent="0.15">
      <c r="A13" s="362"/>
      <c r="B13" s="60" t="s">
        <v>101</v>
      </c>
      <c r="C13" s="61">
        <f>CEILING(F13*(1+G13*E$4*E$5*E$6*E$7*E$8)*E$3, 0.1)</f>
        <v>0.70000000000000007</v>
      </c>
      <c r="D13" s="362"/>
      <c r="E13" s="53"/>
      <c r="F13" s="54">
        <v>0.5</v>
      </c>
      <c r="G13" s="54">
        <v>0.31</v>
      </c>
      <c r="H13" s="54"/>
      <c r="I13" s="55"/>
      <c r="J13" s="55"/>
      <c r="K13" s="55"/>
      <c r="L13" s="55"/>
    </row>
    <row r="14" spans="1:12" ht="13" x14ac:dyDescent="0.15">
      <c r="A14" s="362"/>
      <c r="B14" s="60" t="s">
        <v>103</v>
      </c>
      <c r="C14" s="61">
        <f>CEILING(F14*(1+G14*(E$3*E$4*E$5*E$6*E$7*E$8+E$9*E$10+E$11)), 0.1)</f>
        <v>1</v>
      </c>
      <c r="D14" s="362"/>
      <c r="E14" s="53"/>
      <c r="F14" s="54">
        <v>0.5</v>
      </c>
      <c r="G14" s="54">
        <v>0.33</v>
      </c>
      <c r="H14" s="54"/>
      <c r="I14" s="55"/>
      <c r="J14" s="55"/>
      <c r="K14" s="55"/>
      <c r="L14" s="55"/>
    </row>
    <row r="15" spans="1:12" ht="13" x14ac:dyDescent="0.15">
      <c r="A15" s="362"/>
      <c r="B15" s="62" t="s">
        <v>105</v>
      </c>
      <c r="C15" s="61">
        <f>CEILING(F15*(1+G15*(E$4*E$5*E$6*E$7*E$8+E$11))*E$3, 0.1)</f>
        <v>0.9</v>
      </c>
      <c r="D15" s="362"/>
      <c r="E15" s="53"/>
      <c r="F15" s="54">
        <v>0.5</v>
      </c>
      <c r="G15" s="54">
        <v>0.4</v>
      </c>
      <c r="H15" s="54"/>
      <c r="I15" s="55"/>
      <c r="J15" s="55"/>
      <c r="K15" s="55"/>
      <c r="L15" s="55"/>
    </row>
    <row r="16" spans="1:12" ht="13" x14ac:dyDescent="0.15">
      <c r="A16" s="362"/>
      <c r="B16" s="62" t="s">
        <v>106</v>
      </c>
      <c r="C16" s="61">
        <f>CEILING(F16*(1+G16*(E$3*E$4*E$6*E$8+E$9*E$10+E$11))*(E5*E7), 0.1)</f>
        <v>2.7</v>
      </c>
      <c r="D16" s="362"/>
      <c r="E16" s="53"/>
      <c r="F16" s="54">
        <v>1</v>
      </c>
      <c r="G16" s="54">
        <v>0.55000000000000004</v>
      </c>
      <c r="H16" s="54"/>
      <c r="I16" s="55"/>
      <c r="J16" s="55"/>
      <c r="K16" s="55"/>
      <c r="L16" s="55"/>
    </row>
    <row r="17" spans="1:12" ht="13" x14ac:dyDescent="0.15">
      <c r="A17" s="362"/>
      <c r="B17" s="62" t="s">
        <v>107</v>
      </c>
      <c r="C17" s="61">
        <f>CEILING(F17*(1+G17*(E$3*E$4*E$5+E$11))*(E$9*E$10), 0.1)</f>
        <v>0.60000000000000009</v>
      </c>
      <c r="D17" s="362"/>
      <c r="E17" s="53"/>
      <c r="F17" s="54">
        <v>0.5</v>
      </c>
      <c r="G17" s="54">
        <v>7.0000000000000007E-2</v>
      </c>
      <c r="H17" s="54"/>
      <c r="I17" s="55"/>
      <c r="J17" s="55"/>
      <c r="K17" s="55"/>
      <c r="L17" s="55"/>
    </row>
    <row r="18" spans="1:12" ht="13" x14ac:dyDescent="0.15">
      <c r="A18" s="362"/>
      <c r="B18" s="62" t="s">
        <v>109</v>
      </c>
      <c r="C18" s="63">
        <f>CEILING(F18*(1+G18*(E$3*E$4*E$5))*E$11, 0.1)</f>
        <v>0.70000000000000007</v>
      </c>
      <c r="D18" s="362"/>
      <c r="E18" s="53"/>
      <c r="F18" s="54">
        <v>0.5</v>
      </c>
      <c r="G18" s="54">
        <v>0.25</v>
      </c>
      <c r="H18" s="54"/>
      <c r="I18" s="55"/>
      <c r="J18" s="55"/>
      <c r="K18" s="55"/>
      <c r="L18" s="55"/>
    </row>
    <row r="19" spans="1:12" ht="13" x14ac:dyDescent="0.15">
      <c r="A19" s="362"/>
      <c r="B19" s="62" t="s">
        <v>111</v>
      </c>
      <c r="C19" s="61">
        <f>CEILING(F19*(1+G19*(E$3+E$11))*(E$4*E$5), 0.1)</f>
        <v>0.8</v>
      </c>
      <c r="D19" s="362"/>
      <c r="E19" s="53"/>
      <c r="F19" s="54">
        <v>0.5</v>
      </c>
      <c r="G19" s="54">
        <v>0.22</v>
      </c>
      <c r="H19" s="54"/>
      <c r="I19" s="55"/>
      <c r="J19" s="55"/>
      <c r="K19" s="55"/>
      <c r="L19" s="55"/>
    </row>
    <row r="20" spans="1:12" ht="13" x14ac:dyDescent="0.15">
      <c r="A20" s="362"/>
      <c r="B20" s="62" t="s">
        <v>112</v>
      </c>
      <c r="C20" s="61">
        <f>CEILING(F20*(1+G20*(E$5+E$9))*E$3, 0.1)</f>
        <v>1</v>
      </c>
      <c r="D20" s="362"/>
      <c r="E20" s="53"/>
      <c r="F20" s="54">
        <v>0.5</v>
      </c>
      <c r="G20" s="54">
        <v>0.45</v>
      </c>
      <c r="H20" s="54"/>
      <c r="I20" s="55"/>
      <c r="J20" s="55"/>
      <c r="K20" s="55"/>
      <c r="L20" s="55"/>
    </row>
    <row r="21" spans="1:12" ht="13" x14ac:dyDescent="0.15">
      <c r="A21" s="362"/>
      <c r="B21" s="363" t="s">
        <v>113</v>
      </c>
      <c r="C21" s="64">
        <f>ROUND(SUM(C13:C20), 0)</f>
        <v>8</v>
      </c>
      <c r="D21" s="362"/>
      <c r="E21" s="59"/>
      <c r="F21" s="48"/>
      <c r="G21" s="48"/>
      <c r="H21" s="48"/>
      <c r="I21" s="49"/>
      <c r="J21" s="49"/>
      <c r="K21" s="49"/>
      <c r="L21" s="49"/>
    </row>
    <row r="22" spans="1:12" ht="13" x14ac:dyDescent="0.15">
      <c r="A22" s="362"/>
      <c r="B22" s="363"/>
      <c r="C22" s="65">
        <f>C21*Параметры!$B$2</f>
        <v>243200</v>
      </c>
      <c r="D22" s="362"/>
      <c r="E22" s="47"/>
      <c r="F22" s="48"/>
      <c r="G22" s="48"/>
      <c r="H22" s="48"/>
      <c r="I22" s="49"/>
      <c r="J22" s="49"/>
      <c r="K22" s="49"/>
      <c r="L22" s="49"/>
    </row>
  </sheetData>
  <mergeCells count="4">
    <mergeCell ref="A1:A22"/>
    <mergeCell ref="B1:C1"/>
    <mergeCell ref="D1:D22"/>
    <mergeCell ref="B21:B22"/>
  </mergeCells>
  <dataValidations count="6">
    <dataValidation type="list" allowBlank="1" showErrorMessage="1" sqref="C9 C11" xr:uid="{00000000-0002-0000-0100-000000000000}">
      <formula1>"Неизвестно,Нет,Да"</formula1>
    </dataValidation>
    <dataValidation type="list" allowBlank="1" showErrorMessage="1" sqref="C6" xr:uid="{00000000-0002-0000-0100-000001000000}">
      <formula1>"Неизвестно,Высокая,Средняя,Низкая"</formula1>
    </dataValidation>
    <dataValidation type="list" allowBlank="1" showErrorMessage="1" sqref="C4" xr:uid="{00000000-0002-0000-0100-000002000000}">
      <formula1>"Неизвестно,Низкая,Средняя,Высокая"</formula1>
    </dataValidation>
    <dataValidation type="list" allowBlank="1" showErrorMessage="1" sqref="C5" xr:uid="{00000000-0002-0000-0100-000003000000}">
      <formula1>"Неизвестно,Точечное,Малое,Среднее,Крупное,Большое,Масштабное"</formula1>
    </dataValidation>
    <dataValidation type="list" allowBlank="1" showErrorMessage="1" sqref="C3" xr:uid="{00000000-0002-0000-0100-000004000000}">
      <formula1>"Нет,Да"</formula1>
    </dataValidation>
    <dataValidation type="list" allowBlank="1" showErrorMessage="1" sqref="C7:C8 C10" xr:uid="{00000000-0002-0000-0100-000005000000}">
      <formula1>"Неизвестно,Да,Нет"</formula1>
    </dataValidation>
  </dataValidations>
  <pageMargins left="0.70000004768371582" right="0.70000004768371582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42"/>
  <sheetViews>
    <sheetView workbookViewId="0">
      <selection activeCell="B4" sqref="A4:XFD4"/>
    </sheetView>
  </sheetViews>
  <sheetFormatPr baseColWidth="10" defaultColWidth="12.5" defaultRowHeight="15.75" customHeight="1" outlineLevelCol="1" x14ac:dyDescent="0.15"/>
  <cols>
    <col min="1" max="1" width="3.1640625" customWidth="1"/>
    <col min="2" max="2" width="71.83203125" customWidth="1"/>
    <col min="3" max="3" width="16" customWidth="1"/>
    <col min="4" max="4" width="3.1640625" customWidth="1"/>
    <col min="5" max="12" width="12.5" bestFit="1" customWidth="1" outlineLevel="1"/>
  </cols>
  <sheetData>
    <row r="1" spans="1:12" ht="13" x14ac:dyDescent="0.15">
      <c r="A1" s="364"/>
      <c r="B1" s="364" t="s">
        <v>114</v>
      </c>
      <c r="C1" s="364"/>
      <c r="D1" s="364"/>
      <c r="E1" s="68"/>
      <c r="F1" s="70"/>
      <c r="G1" s="70"/>
      <c r="H1" s="70"/>
      <c r="I1" s="71"/>
      <c r="J1" s="71"/>
      <c r="K1" s="71"/>
      <c r="L1" s="71"/>
    </row>
    <row r="2" spans="1:12" ht="13" x14ac:dyDescent="0.15">
      <c r="A2" s="364"/>
      <c r="B2" s="66" t="s">
        <v>78</v>
      </c>
      <c r="C2" s="66" t="s">
        <v>79</v>
      </c>
      <c r="D2" s="364"/>
      <c r="E2" s="68" t="s">
        <v>80</v>
      </c>
      <c r="F2" s="74" t="s">
        <v>81</v>
      </c>
      <c r="G2" s="74" t="s">
        <v>82</v>
      </c>
      <c r="H2" s="74" t="s">
        <v>83</v>
      </c>
      <c r="I2" s="74" t="s">
        <v>84</v>
      </c>
      <c r="J2" s="74" t="s">
        <v>85</v>
      </c>
      <c r="K2" s="74" t="s">
        <v>86</v>
      </c>
      <c r="L2" s="74" t="s">
        <v>87</v>
      </c>
    </row>
    <row r="3" spans="1:12" ht="13" x14ac:dyDescent="0.15">
      <c r="A3" s="364"/>
      <c r="B3" s="77" t="s">
        <v>118</v>
      </c>
      <c r="C3" s="69" t="s">
        <v>89</v>
      </c>
      <c r="D3" s="364"/>
      <c r="E3" s="76">
        <f>IF(C3="Нет", G3, IF(C3="Да", H3, ""))</f>
        <v>1</v>
      </c>
      <c r="F3" s="70"/>
      <c r="G3" s="70">
        <v>1</v>
      </c>
      <c r="H3" s="70">
        <v>0.75</v>
      </c>
      <c r="I3" s="71"/>
      <c r="J3" s="71"/>
      <c r="K3" s="71"/>
      <c r="L3" s="71"/>
    </row>
    <row r="4" spans="1:12" ht="13" x14ac:dyDescent="0.15">
      <c r="A4" s="364"/>
      <c r="B4" s="75" t="s">
        <v>124</v>
      </c>
      <c r="C4" s="69" t="s">
        <v>398</v>
      </c>
      <c r="D4" s="364"/>
      <c r="E4" s="76">
        <f>IF(C4="Неизвестно", F4, IF(C4="Новый", G4, IF(C4="Повторный", H4, "")))</f>
        <v>1.1000000000000001</v>
      </c>
      <c r="F4" s="70">
        <v>1</v>
      </c>
      <c r="G4" s="70">
        <v>1.1000000000000001</v>
      </c>
      <c r="H4" s="70">
        <v>0.75</v>
      </c>
      <c r="I4" s="71"/>
      <c r="J4" s="71"/>
      <c r="K4" s="71"/>
      <c r="L4" s="71"/>
    </row>
    <row r="5" spans="1:12" ht="13" x14ac:dyDescent="0.15">
      <c r="A5" s="364"/>
      <c r="B5" s="67" t="s">
        <v>90</v>
      </c>
      <c r="C5" s="69" t="s">
        <v>91</v>
      </c>
      <c r="D5" s="364"/>
      <c r="E5" s="76">
        <f>IF(C5="Неизвестно", F5, IF(C5="Низкая", G5, IF(C5="Средняя", H5, IF(C5="Высокая", I5, ""))))</f>
        <v>1</v>
      </c>
      <c r="F5" s="70">
        <v>1.25</v>
      </c>
      <c r="G5" s="70">
        <v>0.75</v>
      </c>
      <c r="H5" s="70">
        <v>1</v>
      </c>
      <c r="I5" s="70">
        <v>1.5</v>
      </c>
      <c r="J5" s="71"/>
      <c r="K5" s="71"/>
      <c r="L5" s="70"/>
    </row>
    <row r="6" spans="1:12" ht="48" customHeight="1" x14ac:dyDescent="0.15">
      <c r="A6" s="364"/>
      <c r="B6" s="72" t="s">
        <v>116</v>
      </c>
      <c r="C6" s="69" t="s">
        <v>93</v>
      </c>
      <c r="D6" s="364"/>
      <c r="E6" s="76">
        <f>IF(C6="Неизвестно", F6, IF(C6="Точечное", G6, IF(C6="Малое", H6, IF(C6="Среднее", I6, IF(C6="Крупное", J6, IF(C6="Большое", K6, IF(C6="Масштабное", L6, "")))))))</f>
        <v>1</v>
      </c>
      <c r="F6" s="70">
        <v>1.25</v>
      </c>
      <c r="G6" s="70">
        <v>0.5</v>
      </c>
      <c r="H6" s="70">
        <v>0.75</v>
      </c>
      <c r="I6" s="70">
        <v>1</v>
      </c>
      <c r="J6" s="70">
        <v>1.25</v>
      </c>
      <c r="K6" s="70">
        <v>1.5</v>
      </c>
      <c r="L6" s="70">
        <v>1.75</v>
      </c>
    </row>
    <row r="7" spans="1:12" ht="13" x14ac:dyDescent="0.15">
      <c r="A7" s="364"/>
      <c r="B7" s="67" t="s">
        <v>94</v>
      </c>
      <c r="C7" s="69" t="s">
        <v>95</v>
      </c>
      <c r="D7" s="364"/>
      <c r="E7" s="76">
        <f>IF(C7="Неизвестно", F7, IF(C7="Низкая", G7, IF(C7="Средняя", H7, IF(C7="Высокая", I7, ""))))</f>
        <v>1</v>
      </c>
      <c r="F7" s="70">
        <v>1</v>
      </c>
      <c r="G7" s="70">
        <v>1.5</v>
      </c>
      <c r="H7" s="70">
        <v>1.25</v>
      </c>
      <c r="I7" s="70">
        <v>0.75</v>
      </c>
      <c r="J7" s="71"/>
      <c r="K7" s="71"/>
      <c r="L7" s="71"/>
    </row>
    <row r="8" spans="1:12" ht="13" x14ac:dyDescent="0.15">
      <c r="A8" s="364"/>
      <c r="B8" s="67" t="s">
        <v>104</v>
      </c>
      <c r="C8" s="69" t="s">
        <v>95</v>
      </c>
      <c r="D8" s="364"/>
      <c r="E8" s="76">
        <f t="shared" ref="E8:E14" si="0">IF(C8="Неизвестно", F8, IF(C8="Да", G8, IF(C8="Нет", H8, "")))</f>
        <v>1</v>
      </c>
      <c r="F8" s="70">
        <v>1</v>
      </c>
      <c r="G8" s="70">
        <v>1.25</v>
      </c>
      <c r="H8" s="70">
        <v>0</v>
      </c>
      <c r="I8" s="71"/>
      <c r="J8" s="71"/>
      <c r="K8" s="71"/>
      <c r="L8" s="71"/>
    </row>
    <row r="9" spans="1:12" ht="13" x14ac:dyDescent="0.15">
      <c r="A9" s="364"/>
      <c r="B9" s="67" t="s">
        <v>108</v>
      </c>
      <c r="C9" s="69" t="s">
        <v>95</v>
      </c>
      <c r="D9" s="364"/>
      <c r="E9" s="76">
        <f t="shared" si="0"/>
        <v>1</v>
      </c>
      <c r="F9" s="70">
        <v>1</v>
      </c>
      <c r="G9" s="70">
        <v>0.75</v>
      </c>
      <c r="H9" s="70">
        <v>1.25</v>
      </c>
      <c r="I9" s="71"/>
      <c r="J9" s="71"/>
      <c r="K9" s="71"/>
      <c r="L9" s="71"/>
    </row>
    <row r="10" spans="1:12" ht="13" x14ac:dyDescent="0.15">
      <c r="A10" s="364"/>
      <c r="B10" s="75" t="s">
        <v>123</v>
      </c>
      <c r="C10" s="69" t="s">
        <v>95</v>
      </c>
      <c r="D10" s="364"/>
      <c r="E10" s="76">
        <f t="shared" si="0"/>
        <v>1</v>
      </c>
      <c r="F10" s="70">
        <v>1</v>
      </c>
      <c r="G10" s="70">
        <v>0</v>
      </c>
      <c r="H10" s="70">
        <v>1.25</v>
      </c>
      <c r="I10" s="71"/>
      <c r="J10" s="71"/>
      <c r="K10" s="71"/>
      <c r="L10" s="71"/>
    </row>
    <row r="11" spans="1:12" ht="13" x14ac:dyDescent="0.15">
      <c r="A11" s="365"/>
      <c r="B11" s="67" t="s">
        <v>115</v>
      </c>
      <c r="C11" s="69" t="s">
        <v>95</v>
      </c>
      <c r="D11" s="364"/>
      <c r="E11" s="73">
        <f t="shared" si="0"/>
        <v>1</v>
      </c>
      <c r="F11" s="70">
        <v>1</v>
      </c>
      <c r="G11" s="70">
        <v>1.25</v>
      </c>
      <c r="H11" s="70">
        <v>0</v>
      </c>
      <c r="I11" s="71"/>
      <c r="J11" s="71"/>
      <c r="K11" s="71"/>
      <c r="L11" s="71"/>
    </row>
    <row r="12" spans="1:12" ht="13" x14ac:dyDescent="0.15">
      <c r="A12" s="364"/>
      <c r="B12" s="75" t="s">
        <v>117</v>
      </c>
      <c r="C12" s="69" t="s">
        <v>95</v>
      </c>
      <c r="D12" s="364"/>
      <c r="E12" s="76">
        <f t="shared" si="0"/>
        <v>1</v>
      </c>
      <c r="F12" s="70">
        <v>1</v>
      </c>
      <c r="G12" s="70">
        <v>1.25</v>
      </c>
      <c r="H12" s="70">
        <v>0.9</v>
      </c>
      <c r="I12" s="71"/>
      <c r="J12" s="71"/>
      <c r="K12" s="71"/>
      <c r="L12" s="71"/>
    </row>
    <row r="13" spans="1:12" ht="13" x14ac:dyDescent="0.15">
      <c r="A13" s="364"/>
      <c r="B13" s="67" t="s">
        <v>119</v>
      </c>
      <c r="C13" s="69" t="s">
        <v>95</v>
      </c>
      <c r="D13" s="364"/>
      <c r="E13" s="76">
        <f t="shared" si="0"/>
        <v>1</v>
      </c>
      <c r="F13" s="70">
        <v>1</v>
      </c>
      <c r="G13" s="70">
        <v>1.25</v>
      </c>
      <c r="H13" s="70">
        <v>0.9</v>
      </c>
      <c r="I13" s="71"/>
      <c r="J13" s="71"/>
      <c r="K13" s="71"/>
      <c r="L13" s="71"/>
    </row>
    <row r="14" spans="1:12" ht="13" x14ac:dyDescent="0.15">
      <c r="A14" s="364"/>
      <c r="B14" s="75" t="s">
        <v>120</v>
      </c>
      <c r="C14" s="69" t="s">
        <v>95</v>
      </c>
      <c r="D14" s="364"/>
      <c r="E14" s="76">
        <f t="shared" si="0"/>
        <v>1</v>
      </c>
      <c r="F14" s="70">
        <v>1</v>
      </c>
      <c r="G14" s="70">
        <v>1.25</v>
      </c>
      <c r="H14" s="70">
        <v>0</v>
      </c>
      <c r="I14" s="71"/>
      <c r="J14" s="71"/>
      <c r="K14" s="71"/>
      <c r="L14" s="71"/>
    </row>
    <row r="15" spans="1:12" ht="13" x14ac:dyDescent="0.15">
      <c r="A15" s="364"/>
      <c r="B15" s="366" t="s">
        <v>121</v>
      </c>
      <c r="C15" s="66">
        <f>CEILING(SUM(C28, C37), 1)</f>
        <v>12</v>
      </c>
      <c r="D15" s="364"/>
      <c r="E15" s="76"/>
      <c r="F15" s="74"/>
      <c r="G15" s="74"/>
      <c r="H15" s="70"/>
      <c r="I15" s="71"/>
      <c r="J15" s="71"/>
      <c r="K15" s="71"/>
      <c r="L15" s="71"/>
    </row>
    <row r="16" spans="1:12" ht="13" x14ac:dyDescent="0.15">
      <c r="A16" s="364"/>
      <c r="B16" s="366"/>
      <c r="C16" s="78">
        <f>C15*Параметры!$B$2</f>
        <v>364800</v>
      </c>
      <c r="D16" s="364"/>
      <c r="E16" s="76"/>
      <c r="F16" s="74"/>
      <c r="G16" s="74"/>
      <c r="H16" s="70"/>
      <c r="I16" s="71"/>
      <c r="J16" s="71"/>
      <c r="K16" s="71"/>
      <c r="L16" s="71"/>
    </row>
    <row r="17" spans="1:12" ht="13" x14ac:dyDescent="0.15">
      <c r="A17" s="364"/>
      <c r="B17" s="79" t="s">
        <v>122</v>
      </c>
      <c r="C17" s="66" t="s">
        <v>98</v>
      </c>
      <c r="D17" s="364"/>
      <c r="E17" s="76"/>
      <c r="F17" s="74" t="s">
        <v>99</v>
      </c>
      <c r="G17" s="74" t="s">
        <v>100</v>
      </c>
      <c r="H17" s="70"/>
      <c r="I17" s="71"/>
      <c r="J17" s="71"/>
      <c r="K17" s="71"/>
      <c r="L17" s="71"/>
    </row>
    <row r="18" spans="1:12" ht="13" x14ac:dyDescent="0.15">
      <c r="A18" s="364"/>
      <c r="B18" s="67" t="s">
        <v>101</v>
      </c>
      <c r="C18" s="80">
        <f>CEILING(F18*(1+G18*(E$4*E$5*E$6*E$7*E$13*E$12))*E$3, 0.1)</f>
        <v>0.70000000000000007</v>
      </c>
      <c r="D18" s="364"/>
      <c r="E18" s="76"/>
      <c r="F18" s="70">
        <v>0.5</v>
      </c>
      <c r="G18" s="70">
        <v>0.3</v>
      </c>
      <c r="H18" s="70"/>
      <c r="I18" s="71"/>
      <c r="J18" s="71"/>
      <c r="K18" s="71"/>
      <c r="L18" s="71"/>
    </row>
    <row r="19" spans="1:12" ht="13" x14ac:dyDescent="0.15">
      <c r="A19" s="364"/>
      <c r="B19" s="67" t="s">
        <v>103</v>
      </c>
      <c r="C19" s="80">
        <f>CEILING(F19*(1+G19*(E$3*E$4*E$5*E$6*E$7*E$12*E$13+E$8*E$9+E$10+E$11)), 0.1)</f>
        <v>0.9</v>
      </c>
      <c r="D19" s="364"/>
      <c r="E19" s="76"/>
      <c r="F19" s="70">
        <v>0.5</v>
      </c>
      <c r="G19" s="70">
        <v>0.19</v>
      </c>
      <c r="H19" s="70"/>
      <c r="I19" s="71"/>
      <c r="J19" s="71"/>
      <c r="K19" s="71"/>
      <c r="L19" s="71"/>
    </row>
    <row r="20" spans="1:12" ht="13" x14ac:dyDescent="0.15">
      <c r="A20" s="364"/>
      <c r="B20" s="81" t="s">
        <v>105</v>
      </c>
      <c r="C20" s="80">
        <f>CEILING(F20*(1+G20*(E$4*E$5*E$6*E$7*E$12*E$13+E$11))*E$3, 0.1)</f>
        <v>0.9</v>
      </c>
      <c r="D20" s="364"/>
      <c r="E20" s="76"/>
      <c r="F20" s="70">
        <v>0.5</v>
      </c>
      <c r="G20" s="70">
        <v>0.36</v>
      </c>
      <c r="H20" s="70"/>
      <c r="I20" s="71"/>
      <c r="J20" s="71"/>
      <c r="K20" s="71"/>
      <c r="L20" s="71"/>
    </row>
    <row r="21" spans="1:12" ht="13" x14ac:dyDescent="0.15">
      <c r="A21" s="364"/>
      <c r="B21" s="81" t="s">
        <v>107</v>
      </c>
      <c r="C21" s="80">
        <f>CEILING(F21*(1+G21*(E$3*E$4*E$5*E$6+E$13+E$11))*(E$8*E$9), 0.1)</f>
        <v>0.60000000000000009</v>
      </c>
      <c r="D21" s="364"/>
      <c r="E21" s="76"/>
      <c r="F21" s="70">
        <v>0.5</v>
      </c>
      <c r="G21" s="70">
        <v>0.05</v>
      </c>
      <c r="H21" s="70"/>
      <c r="I21" s="71"/>
      <c r="J21" s="71"/>
      <c r="K21" s="71"/>
      <c r="L21" s="71"/>
    </row>
    <row r="22" spans="1:12" ht="13" x14ac:dyDescent="0.15">
      <c r="A22" s="365"/>
      <c r="B22" s="81" t="s">
        <v>138</v>
      </c>
      <c r="C22" s="80">
        <f>CEILING(F22*(1+G22*(E$3*E$4*E$5*E$6+E$13))*E$11, 0.1)</f>
        <v>0.70000000000000007</v>
      </c>
      <c r="D22" s="364"/>
      <c r="E22" s="76"/>
      <c r="F22" s="70">
        <v>0.5</v>
      </c>
      <c r="G22" s="70">
        <v>0.14000000000000001</v>
      </c>
      <c r="H22" s="70"/>
      <c r="I22" s="71"/>
      <c r="J22" s="71"/>
      <c r="K22" s="71"/>
      <c r="L22" s="71"/>
    </row>
    <row r="23" spans="1:12" ht="13" x14ac:dyDescent="0.15">
      <c r="A23" s="364"/>
      <c r="B23" s="77" t="s">
        <v>136</v>
      </c>
      <c r="C23" s="80">
        <f>CEILING(F23*(1+G23*(E$3*E$4*E$5*E$6+E$11+E$13))*E10, 0.1)</f>
        <v>0.70000000000000007</v>
      </c>
      <c r="D23" s="364"/>
      <c r="E23" s="76"/>
      <c r="F23" s="70">
        <v>0.5</v>
      </c>
      <c r="G23" s="70">
        <v>0.11</v>
      </c>
      <c r="H23" s="70"/>
      <c r="I23" s="71"/>
      <c r="J23" s="71"/>
      <c r="K23" s="71"/>
      <c r="L23" s="71"/>
    </row>
    <row r="24" spans="1:12" ht="13" x14ac:dyDescent="0.15">
      <c r="A24" s="364"/>
      <c r="B24" s="81" t="s">
        <v>129</v>
      </c>
      <c r="C24" s="80">
        <f>CEILING(F24*(1+G24*(E$3*E$5*E$7+E$11))*(E$4*E$6*E$13*E$12), 0.1)</f>
        <v>1.8</v>
      </c>
      <c r="D24" s="364"/>
      <c r="E24" s="76"/>
      <c r="F24" s="70">
        <v>1</v>
      </c>
      <c r="G24" s="70">
        <v>0.28999999999999998</v>
      </c>
      <c r="H24" s="70"/>
      <c r="I24" s="71"/>
      <c r="J24" s="71"/>
      <c r="K24" s="71"/>
      <c r="L24" s="71"/>
    </row>
    <row r="25" spans="1:12" ht="13" x14ac:dyDescent="0.15">
      <c r="A25" s="364"/>
      <c r="B25" s="81" t="s">
        <v>131</v>
      </c>
      <c r="C25" s="80">
        <f>CEILING(F25*(1+G25*(E$12*E$13+E$11))*(E$5*E$6), 0.1)</f>
        <v>0.70000000000000007</v>
      </c>
      <c r="D25" s="364"/>
      <c r="E25" s="76"/>
      <c r="F25" s="70">
        <v>0.5</v>
      </c>
      <c r="G25" s="70">
        <v>0.2</v>
      </c>
      <c r="H25" s="70"/>
      <c r="I25" s="71"/>
      <c r="J25" s="71"/>
      <c r="K25" s="71"/>
      <c r="L25" s="71"/>
    </row>
    <row r="26" spans="1:12" ht="13" x14ac:dyDescent="0.15">
      <c r="A26" s="364"/>
      <c r="B26" s="81" t="s">
        <v>134</v>
      </c>
      <c r="C26" s="80">
        <f>CEILING(F26*(1+G26*(E$3*E$4*E$12*E$13+E$11))*(E$5*E$6), 0.1)</f>
        <v>0.70000000000000007</v>
      </c>
      <c r="D26" s="364"/>
      <c r="E26" s="76"/>
      <c r="F26" s="70">
        <v>0.5</v>
      </c>
      <c r="G26" s="70">
        <v>0.18</v>
      </c>
      <c r="H26" s="70"/>
      <c r="I26" s="71"/>
      <c r="J26" s="71"/>
      <c r="K26" s="71"/>
      <c r="L26" s="71"/>
    </row>
    <row r="27" spans="1:12" ht="13" x14ac:dyDescent="0.15">
      <c r="A27" s="364"/>
      <c r="B27" s="77" t="s">
        <v>126</v>
      </c>
      <c r="C27" s="80">
        <f>CEILING(F27*(1+G27*(E$6+E$8+E$10))*(E$3*E$4), 0.1)</f>
        <v>0.9</v>
      </c>
      <c r="D27" s="364"/>
      <c r="E27" s="76"/>
      <c r="F27" s="70">
        <v>0.5</v>
      </c>
      <c r="G27" s="70">
        <v>0.2</v>
      </c>
      <c r="H27" s="70"/>
      <c r="I27" s="71"/>
      <c r="J27" s="71"/>
      <c r="K27" s="71"/>
      <c r="L27" s="71"/>
    </row>
    <row r="28" spans="1:12" ht="13" x14ac:dyDescent="0.15">
      <c r="A28" s="364"/>
      <c r="B28" s="366" t="s">
        <v>113</v>
      </c>
      <c r="C28" s="83">
        <f>CEILING(SUM(C18:C27), 1)</f>
        <v>9</v>
      </c>
      <c r="D28" s="364"/>
      <c r="E28" s="76"/>
      <c r="F28" s="70"/>
      <c r="G28" s="70"/>
      <c r="H28" s="70"/>
      <c r="I28" s="71"/>
      <c r="J28" s="71"/>
      <c r="K28" s="71"/>
      <c r="L28" s="71"/>
    </row>
    <row r="29" spans="1:12" ht="13" x14ac:dyDescent="0.15">
      <c r="A29" s="364"/>
      <c r="B29" s="366"/>
      <c r="C29" s="78">
        <f>C28*Параметры!$B$2</f>
        <v>273600</v>
      </c>
      <c r="D29" s="364"/>
      <c r="E29" s="68"/>
      <c r="F29" s="74"/>
      <c r="G29" s="74"/>
      <c r="H29" s="74"/>
      <c r="I29" s="84"/>
      <c r="J29" s="84"/>
      <c r="K29" s="71"/>
      <c r="L29" s="71"/>
    </row>
    <row r="30" spans="1:12" ht="13" x14ac:dyDescent="0.15">
      <c r="A30" s="364"/>
      <c r="B30" s="79" t="s">
        <v>132</v>
      </c>
      <c r="C30" s="66" t="s">
        <v>98</v>
      </c>
      <c r="D30" s="364"/>
      <c r="E30" s="71"/>
      <c r="F30" s="74" t="s">
        <v>99</v>
      </c>
      <c r="G30" s="74" t="s">
        <v>100</v>
      </c>
      <c r="H30" s="74" t="s">
        <v>133</v>
      </c>
      <c r="I30" s="71"/>
      <c r="J30" s="71"/>
      <c r="K30" s="71"/>
      <c r="L30" s="71"/>
    </row>
    <row r="31" spans="1:12" ht="13" x14ac:dyDescent="0.15">
      <c r="A31" s="364"/>
      <c r="B31" s="81" t="s">
        <v>103</v>
      </c>
      <c r="C31" s="80">
        <f t="shared" ref="C31:C36" si="1">CEILING(F31*(1+G31*(E$4*E$5*E$6*E$13*E$12))*(E$3*E$14), 0.1)</f>
        <v>0.60000000000000009</v>
      </c>
      <c r="D31" s="364"/>
      <c r="E31" s="71"/>
      <c r="F31" s="70">
        <v>0.5</v>
      </c>
      <c r="G31" s="70">
        <v>0.13</v>
      </c>
      <c r="H31" s="70">
        <v>1</v>
      </c>
      <c r="I31" s="71"/>
      <c r="J31" s="71"/>
      <c r="K31" s="71"/>
      <c r="L31" s="71"/>
    </row>
    <row r="32" spans="1:12" ht="13" x14ac:dyDescent="0.15">
      <c r="A32" s="364"/>
      <c r="B32" s="81" t="s">
        <v>125</v>
      </c>
      <c r="C32" s="80">
        <f t="shared" si="1"/>
        <v>0.8</v>
      </c>
      <c r="D32" s="364"/>
      <c r="E32" s="71"/>
      <c r="F32" s="70">
        <v>0.5</v>
      </c>
      <c r="G32" s="70">
        <v>0.46</v>
      </c>
      <c r="H32" s="82">
        <v>2</v>
      </c>
      <c r="I32" s="71"/>
      <c r="J32" s="71"/>
      <c r="K32" s="71"/>
      <c r="L32" s="71"/>
    </row>
    <row r="33" spans="1:12" ht="13" x14ac:dyDescent="0.15">
      <c r="A33" s="364"/>
      <c r="B33" s="81" t="s">
        <v>127</v>
      </c>
      <c r="C33" s="80">
        <f t="shared" si="1"/>
        <v>0.60000000000000009</v>
      </c>
      <c r="D33" s="364"/>
      <c r="E33" s="71"/>
      <c r="F33" s="70">
        <v>0.5</v>
      </c>
      <c r="G33" s="70">
        <v>0.13</v>
      </c>
      <c r="H33" s="82">
        <v>1</v>
      </c>
      <c r="I33" s="71"/>
      <c r="J33" s="71"/>
      <c r="K33" s="71"/>
      <c r="L33" s="71"/>
    </row>
    <row r="34" spans="1:12" ht="13" x14ac:dyDescent="0.15">
      <c r="A34" s="364"/>
      <c r="B34" s="81" t="s">
        <v>128</v>
      </c>
      <c r="C34" s="80">
        <f t="shared" si="1"/>
        <v>0.8</v>
      </c>
      <c r="D34" s="364"/>
      <c r="E34" s="71"/>
      <c r="F34" s="70">
        <v>0.5</v>
      </c>
      <c r="G34" s="70">
        <v>0.46</v>
      </c>
      <c r="H34" s="82">
        <v>2</v>
      </c>
      <c r="I34" s="71"/>
      <c r="J34" s="71"/>
      <c r="K34" s="71"/>
      <c r="L34" s="71"/>
    </row>
    <row r="35" spans="1:12" ht="13" x14ac:dyDescent="0.15">
      <c r="A35" s="364"/>
      <c r="B35" s="81" t="s">
        <v>130</v>
      </c>
      <c r="C35" s="80">
        <f t="shared" si="1"/>
        <v>0.8</v>
      </c>
      <c r="D35" s="364"/>
      <c r="E35" s="71"/>
      <c r="F35" s="70">
        <v>0.5</v>
      </c>
      <c r="G35" s="70">
        <v>0.46</v>
      </c>
      <c r="H35" s="82">
        <v>2</v>
      </c>
      <c r="I35" s="71"/>
      <c r="J35" s="71"/>
      <c r="K35" s="71"/>
      <c r="L35" s="71"/>
    </row>
    <row r="36" spans="1:12" ht="13" x14ac:dyDescent="0.15">
      <c r="A36" s="364"/>
      <c r="B36" s="77" t="s">
        <v>126</v>
      </c>
      <c r="C36" s="80">
        <f t="shared" si="1"/>
        <v>0.60000000000000009</v>
      </c>
      <c r="D36" s="364"/>
      <c r="E36" s="71"/>
      <c r="F36" s="70">
        <v>0.5</v>
      </c>
      <c r="G36" s="70">
        <v>0.13</v>
      </c>
      <c r="H36" s="82">
        <v>1</v>
      </c>
      <c r="I36" s="71"/>
      <c r="J36" s="71"/>
      <c r="K36" s="71"/>
      <c r="L36" s="71"/>
    </row>
    <row r="37" spans="1:12" ht="13" x14ac:dyDescent="0.15">
      <c r="A37" s="364"/>
      <c r="B37" s="366" t="s">
        <v>113</v>
      </c>
      <c r="C37" s="66">
        <f>CEILING(SUM(C34:C36), 1)</f>
        <v>3</v>
      </c>
      <c r="D37" s="364"/>
      <c r="E37" s="71"/>
      <c r="F37" s="71"/>
      <c r="G37" s="71"/>
      <c r="H37" s="71"/>
      <c r="I37" s="71"/>
      <c r="J37" s="71"/>
      <c r="K37" s="71"/>
      <c r="L37" s="71"/>
    </row>
    <row r="38" spans="1:12" ht="13" x14ac:dyDescent="0.15">
      <c r="A38" s="364"/>
      <c r="B38" s="366"/>
      <c r="C38" s="78">
        <f>C37*Параметры!$B$2</f>
        <v>91200</v>
      </c>
      <c r="D38" s="364"/>
      <c r="E38" s="71"/>
      <c r="F38" s="71"/>
      <c r="G38" s="71"/>
      <c r="H38" s="71"/>
      <c r="I38" s="71"/>
      <c r="J38" s="71"/>
      <c r="K38" s="71"/>
      <c r="L38" s="71"/>
    </row>
    <row r="40" spans="1:12" ht="13" x14ac:dyDescent="0.15">
      <c r="B40" t="s">
        <v>135</v>
      </c>
    </row>
    <row r="41" spans="1:12" ht="13" x14ac:dyDescent="0.15">
      <c r="B41" t="s">
        <v>136</v>
      </c>
    </row>
    <row r="42" spans="1:12" ht="13" x14ac:dyDescent="0.15">
      <c r="B42" t="s">
        <v>137</v>
      </c>
    </row>
  </sheetData>
  <mergeCells count="6">
    <mergeCell ref="A1:A38"/>
    <mergeCell ref="B1:C1"/>
    <mergeCell ref="D1:D38"/>
    <mergeCell ref="B15:B16"/>
    <mergeCell ref="B28:B29"/>
    <mergeCell ref="B37:B38"/>
  </mergeCells>
  <dataValidations count="7">
    <dataValidation type="list" allowBlank="1" showErrorMessage="1" sqref="C7" xr:uid="{00000000-0002-0000-0200-000000000000}">
      <formula1>"Неизвестно,Высокая,Средняя,Низкая"</formula1>
    </dataValidation>
    <dataValidation type="list" allowBlank="1" showErrorMessage="1" sqref="C9:C10" xr:uid="{00000000-0002-0000-0200-000001000000}">
      <formula1>"Неизвестно,Да,Нет"</formula1>
    </dataValidation>
    <dataValidation type="list" allowBlank="1" showErrorMessage="1" sqref="C8 C11:C14" xr:uid="{00000000-0002-0000-0200-000002000000}">
      <formula1>"Неизвестно,Нет,Да"</formula1>
    </dataValidation>
    <dataValidation type="list" allowBlank="1" showErrorMessage="1" sqref="C5" xr:uid="{00000000-0002-0000-0200-000003000000}">
      <formula1>"Неизвестно,Низкая,Средняя,Высокая"</formula1>
    </dataValidation>
    <dataValidation type="list" allowBlank="1" showErrorMessage="1" sqref="C6" xr:uid="{00000000-0002-0000-0200-000004000000}">
      <formula1>"Неизвестно,Точечное,Малое,Среднее,Крупное,Большое,Масштабное"</formula1>
    </dataValidation>
    <dataValidation type="list" allowBlank="1" showErrorMessage="1" sqref="C3" xr:uid="{00000000-0002-0000-0200-000005000000}">
      <formula1>"Нет,Да"</formula1>
    </dataValidation>
    <dataValidation type="list" allowBlank="1" showErrorMessage="1" sqref="C4" xr:uid="{00000000-0002-0000-0200-000006000000}">
      <formula1>"Неизвестно,Повторный,Новый"</formula1>
    </dataValidation>
  </dataValidations>
  <pageMargins left="0.70000004768371582" right="0.70000004768371582" top="0.75" bottom="0.75" header="0.30000001192092896" footer="0.300000011920928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8"/>
  <sheetViews>
    <sheetView workbookViewId="0">
      <selection activeCell="C19" sqref="C19"/>
    </sheetView>
  </sheetViews>
  <sheetFormatPr baseColWidth="10" defaultColWidth="12.5" defaultRowHeight="15.75" customHeight="1" outlineLevelCol="1" x14ac:dyDescent="0.15"/>
  <cols>
    <col min="1" max="1" width="3.33203125" customWidth="1"/>
    <col min="2" max="2" width="65.5" customWidth="1"/>
    <col min="3" max="3" width="16" customWidth="1"/>
    <col min="4" max="4" width="3.1640625" customWidth="1"/>
    <col min="5" max="12" width="12.5" bestFit="1" customWidth="1" outlineLevel="1"/>
  </cols>
  <sheetData>
    <row r="1" spans="1:12" ht="13" x14ac:dyDescent="0.15">
      <c r="A1" s="367"/>
      <c r="B1" s="367" t="s">
        <v>139</v>
      </c>
      <c r="C1" s="367"/>
      <c r="D1" s="367"/>
      <c r="E1" s="87"/>
      <c r="F1" s="88"/>
      <c r="G1" s="88"/>
      <c r="H1" s="88"/>
      <c r="I1" s="90"/>
      <c r="J1" s="90"/>
      <c r="K1" s="91"/>
      <c r="L1" s="91"/>
    </row>
    <row r="2" spans="1:12" ht="13" x14ac:dyDescent="0.15">
      <c r="A2" s="367"/>
      <c r="B2" s="85" t="s">
        <v>78</v>
      </c>
      <c r="C2" s="85" t="s">
        <v>79</v>
      </c>
      <c r="D2" s="367"/>
      <c r="E2" s="87" t="s">
        <v>80</v>
      </c>
      <c r="F2" s="88" t="s">
        <v>81</v>
      </c>
      <c r="G2" s="88" t="s">
        <v>82</v>
      </c>
      <c r="H2" s="88" t="s">
        <v>83</v>
      </c>
      <c r="I2" s="88" t="s">
        <v>84</v>
      </c>
      <c r="J2" s="88" t="s">
        <v>85</v>
      </c>
      <c r="K2" s="88" t="s">
        <v>86</v>
      </c>
      <c r="L2" s="88" t="s">
        <v>87</v>
      </c>
    </row>
    <row r="3" spans="1:12" ht="13" x14ac:dyDescent="0.15">
      <c r="A3" s="367"/>
      <c r="B3" s="77" t="s">
        <v>118</v>
      </c>
      <c r="C3" s="93" t="s">
        <v>89</v>
      </c>
      <c r="D3" s="367"/>
      <c r="E3" s="76">
        <f>IF(C3="Нет", G3, IF(C3="Да", H3, ""))</f>
        <v>1</v>
      </c>
      <c r="F3" s="70"/>
      <c r="G3" s="70">
        <v>1</v>
      </c>
      <c r="H3" s="70">
        <v>0.75</v>
      </c>
      <c r="I3" s="71"/>
      <c r="J3" s="71"/>
      <c r="K3" s="71"/>
      <c r="L3" s="71"/>
    </row>
    <row r="4" spans="1:12" ht="13" x14ac:dyDescent="0.15">
      <c r="A4" s="367"/>
      <c r="B4" s="67" t="s">
        <v>90</v>
      </c>
      <c r="C4" s="93" t="s">
        <v>91</v>
      </c>
      <c r="D4" s="367"/>
      <c r="E4" s="76">
        <f>IF(C4="Неизвестно", F4, IF(C4="Низкая", G4, IF(C4="Средняя", H4, IF(C4="Высокая", I4, ""))))</f>
        <v>1</v>
      </c>
      <c r="F4" s="70">
        <v>1.25</v>
      </c>
      <c r="G4" s="70">
        <v>0.75</v>
      </c>
      <c r="H4" s="70">
        <v>1</v>
      </c>
      <c r="I4" s="70">
        <v>1.5</v>
      </c>
      <c r="J4" s="71"/>
      <c r="K4" s="71"/>
      <c r="L4" s="71"/>
    </row>
    <row r="5" spans="1:12" ht="45" customHeight="1" x14ac:dyDescent="0.15">
      <c r="A5" s="367"/>
      <c r="B5" s="72" t="s">
        <v>116</v>
      </c>
      <c r="C5" s="93" t="s">
        <v>93</v>
      </c>
      <c r="D5" s="367"/>
      <c r="E5" s="76">
        <f>IF(C5="Неизвестно", F5, IF(C5="Точечное", G5, IF(C5="Малое", H5, IF(C5="Среднее", I5, IF(C5="Крупное", J5, IF(C5="Большое", K5, IF(C5="Масштабное", L5, "")))))))</f>
        <v>1</v>
      </c>
      <c r="F5" s="70">
        <v>1.25</v>
      </c>
      <c r="G5" s="70">
        <v>0.5</v>
      </c>
      <c r="H5" s="70">
        <v>0.75</v>
      </c>
      <c r="I5" s="70">
        <v>1</v>
      </c>
      <c r="J5" s="70">
        <v>1.25</v>
      </c>
      <c r="K5" s="70">
        <v>1.5</v>
      </c>
      <c r="L5" s="70">
        <v>1.75</v>
      </c>
    </row>
    <row r="6" spans="1:12" ht="13" x14ac:dyDescent="0.15">
      <c r="A6" s="367"/>
      <c r="B6" s="67" t="s">
        <v>94</v>
      </c>
      <c r="C6" s="93" t="s">
        <v>95</v>
      </c>
      <c r="D6" s="367"/>
      <c r="E6" s="76">
        <f>IF(C6="Неизвестно", F6, IF(C6="Низкая", G6, IF(C6="Средняя", H6, IF(C6="Высокая", I6, ""))))</f>
        <v>1</v>
      </c>
      <c r="F6" s="70">
        <v>1</v>
      </c>
      <c r="G6" s="70">
        <v>1.5</v>
      </c>
      <c r="H6" s="70">
        <v>1.25</v>
      </c>
      <c r="I6" s="70">
        <v>0.75</v>
      </c>
      <c r="J6" s="71"/>
      <c r="K6" s="71"/>
      <c r="L6" s="70"/>
    </row>
    <row r="7" spans="1:12" ht="13" x14ac:dyDescent="0.15">
      <c r="A7" s="367"/>
      <c r="B7" s="67" t="s">
        <v>104</v>
      </c>
      <c r="C7" s="93" t="s">
        <v>95</v>
      </c>
      <c r="D7" s="367"/>
      <c r="E7" s="76">
        <f t="shared" ref="E7:E13" si="0">IF(C7="Неизвестно", F7, IF(C7="Да", G7, IF(C7="Нет", H7, "")))</f>
        <v>1</v>
      </c>
      <c r="F7" s="70">
        <v>1</v>
      </c>
      <c r="G7" s="70">
        <v>1.25</v>
      </c>
      <c r="H7" s="70">
        <v>0</v>
      </c>
      <c r="I7" s="71"/>
      <c r="J7" s="71"/>
      <c r="K7" s="71"/>
      <c r="L7" s="71"/>
    </row>
    <row r="8" spans="1:12" ht="13" x14ac:dyDescent="0.15">
      <c r="A8" s="367"/>
      <c r="B8" s="67" t="s">
        <v>108</v>
      </c>
      <c r="C8" s="93" t="s">
        <v>95</v>
      </c>
      <c r="D8" s="367"/>
      <c r="E8" s="76">
        <f t="shared" si="0"/>
        <v>1</v>
      </c>
      <c r="F8" s="70">
        <v>1</v>
      </c>
      <c r="G8" s="70">
        <v>0.75</v>
      </c>
      <c r="H8" s="70">
        <v>1.25</v>
      </c>
      <c r="I8" s="71"/>
      <c r="J8" s="71"/>
      <c r="K8" s="71"/>
      <c r="L8" s="71"/>
    </row>
    <row r="9" spans="1:12" ht="13" x14ac:dyDescent="0.15">
      <c r="A9" s="367"/>
      <c r="B9" s="94" t="s">
        <v>141</v>
      </c>
      <c r="C9" s="93" t="s">
        <v>95</v>
      </c>
      <c r="D9" s="367"/>
      <c r="E9" s="76">
        <f t="shared" si="0"/>
        <v>1</v>
      </c>
      <c r="F9" s="70">
        <v>1</v>
      </c>
      <c r="G9" s="70">
        <v>1.25</v>
      </c>
      <c r="H9" s="70">
        <v>0.75</v>
      </c>
      <c r="I9" s="71"/>
      <c r="J9" s="71"/>
      <c r="K9" s="71"/>
      <c r="L9" s="71"/>
    </row>
    <row r="10" spans="1:12" ht="13" x14ac:dyDescent="0.15">
      <c r="A10" s="367"/>
      <c r="B10" s="94" t="s">
        <v>143</v>
      </c>
      <c r="C10" s="93" t="s">
        <v>95</v>
      </c>
      <c r="D10" s="367"/>
      <c r="E10" s="76">
        <f t="shared" si="0"/>
        <v>1</v>
      </c>
      <c r="F10" s="70">
        <v>1</v>
      </c>
      <c r="G10" s="70">
        <v>1.25</v>
      </c>
      <c r="H10" s="70">
        <v>0</v>
      </c>
      <c r="I10" s="71"/>
      <c r="J10" s="71"/>
      <c r="K10" s="71"/>
      <c r="L10" s="71"/>
    </row>
    <row r="11" spans="1:12" ht="13" x14ac:dyDescent="0.15">
      <c r="A11" s="367"/>
      <c r="B11" s="94" t="s">
        <v>144</v>
      </c>
      <c r="C11" s="93" t="s">
        <v>95</v>
      </c>
      <c r="D11" s="367"/>
      <c r="E11" s="76">
        <f t="shared" si="0"/>
        <v>1</v>
      </c>
      <c r="F11" s="70">
        <v>1</v>
      </c>
      <c r="G11" s="70">
        <v>0.75</v>
      </c>
      <c r="H11" s="70">
        <v>1.25</v>
      </c>
      <c r="I11" s="71"/>
      <c r="J11" s="71"/>
      <c r="K11" s="71"/>
      <c r="L11" s="71"/>
    </row>
    <row r="12" spans="1:12" ht="13" x14ac:dyDescent="0.15">
      <c r="A12" s="367"/>
      <c r="B12" s="67" t="s">
        <v>147</v>
      </c>
      <c r="C12" s="93" t="s">
        <v>95</v>
      </c>
      <c r="D12" s="367"/>
      <c r="E12" s="76">
        <f t="shared" si="0"/>
        <v>1</v>
      </c>
      <c r="F12" s="70">
        <v>1</v>
      </c>
      <c r="G12" s="70">
        <v>1.25</v>
      </c>
      <c r="H12" s="70">
        <v>0</v>
      </c>
      <c r="I12" s="71"/>
      <c r="J12" s="71"/>
      <c r="K12" s="71"/>
      <c r="L12" s="71"/>
    </row>
    <row r="13" spans="1:12" ht="13" x14ac:dyDescent="0.15">
      <c r="A13" s="367"/>
      <c r="B13" s="67" t="s">
        <v>145</v>
      </c>
      <c r="C13" s="93" t="s">
        <v>95</v>
      </c>
      <c r="D13" s="367"/>
      <c r="E13" s="76">
        <f t="shared" si="0"/>
        <v>1</v>
      </c>
      <c r="F13" s="70">
        <v>1</v>
      </c>
      <c r="G13" s="70">
        <v>1.25</v>
      </c>
      <c r="H13" s="70">
        <v>0.75</v>
      </c>
      <c r="I13" s="71"/>
      <c r="J13" s="71"/>
      <c r="K13" s="71"/>
      <c r="L13" s="71"/>
    </row>
    <row r="14" spans="1:12" ht="13" x14ac:dyDescent="0.15">
      <c r="A14" s="367"/>
      <c r="B14" s="95" t="s">
        <v>148</v>
      </c>
      <c r="C14" s="85" t="s">
        <v>98</v>
      </c>
      <c r="D14" s="367"/>
      <c r="E14" s="96"/>
      <c r="F14" s="88" t="s">
        <v>99</v>
      </c>
      <c r="G14" s="88" t="s">
        <v>100</v>
      </c>
      <c r="H14" s="97"/>
      <c r="I14" s="91"/>
      <c r="J14" s="91"/>
      <c r="K14" s="91"/>
      <c r="L14" s="91"/>
    </row>
    <row r="15" spans="1:12" ht="13" x14ac:dyDescent="0.15">
      <c r="A15" s="368"/>
      <c r="B15" s="86" t="s">
        <v>101</v>
      </c>
      <c r="C15" s="89">
        <f>CEILING(F15*(1+G15*(E$4*E$5*E6*E13+E10))*E$3, 0.1)</f>
        <v>0.70000000000000007</v>
      </c>
      <c r="D15" s="367"/>
      <c r="E15" s="76"/>
      <c r="F15" s="70">
        <v>0.5</v>
      </c>
      <c r="G15" s="70">
        <v>0.15</v>
      </c>
      <c r="H15" s="70"/>
      <c r="I15" s="71"/>
      <c r="J15" s="71"/>
      <c r="K15" s="71"/>
      <c r="L15" s="71"/>
    </row>
    <row r="16" spans="1:12" ht="13" x14ac:dyDescent="0.15">
      <c r="A16" s="367"/>
      <c r="B16" s="86" t="s">
        <v>103</v>
      </c>
      <c r="C16" s="89">
        <f>CEILING(F16*(1+G16*(E$3*E$4*E$6*E$9*E$11*E$13+E$7*E$8+E$10+E$12))*E$5, 0.1)</f>
        <v>0.60000000000000009</v>
      </c>
      <c r="D16" s="367"/>
      <c r="E16" s="76"/>
      <c r="F16" s="70">
        <v>0.5</v>
      </c>
      <c r="G16" s="70">
        <v>1.4999999999999999E-2</v>
      </c>
      <c r="H16" s="70"/>
      <c r="I16" s="71"/>
      <c r="J16" s="71"/>
      <c r="K16" s="71"/>
      <c r="L16" s="71"/>
    </row>
    <row r="17" spans="1:12" ht="13" x14ac:dyDescent="0.15">
      <c r="A17" s="367"/>
      <c r="B17" s="92" t="s">
        <v>105</v>
      </c>
      <c r="C17" s="89">
        <f>CEILING(F17*(1+G17*(E$4*E$5*E$6*E$9*E$13+E$10+E$12))*E$3, 0.1)</f>
        <v>1</v>
      </c>
      <c r="D17" s="367"/>
      <c r="E17" s="76"/>
      <c r="F17" s="70">
        <v>0.5</v>
      </c>
      <c r="G17" s="70">
        <v>0.33</v>
      </c>
      <c r="H17" s="70"/>
      <c r="I17" s="71"/>
      <c r="J17" s="71"/>
      <c r="K17" s="71"/>
      <c r="L17" s="71"/>
    </row>
    <row r="18" spans="1:12" ht="13" x14ac:dyDescent="0.15">
      <c r="A18" s="367"/>
      <c r="B18" s="92" t="s">
        <v>107</v>
      </c>
      <c r="C18" s="89">
        <f>CEILING(F18*(1+G18*(E$3*E$4*E$5*E$9*E$13+E$12))*(E$7*E$8), 0.1)</f>
        <v>0.60000000000000009</v>
      </c>
      <c r="D18" s="367"/>
      <c r="E18" s="76"/>
      <c r="F18" s="70">
        <v>0.5</v>
      </c>
      <c r="G18" s="70">
        <v>0.05</v>
      </c>
      <c r="H18" s="70"/>
      <c r="I18" s="71"/>
      <c r="J18" s="71"/>
      <c r="K18" s="71"/>
      <c r="L18" s="71"/>
    </row>
    <row r="19" spans="1:12" ht="13" x14ac:dyDescent="0.15">
      <c r="A19" s="367"/>
      <c r="B19" s="92" t="s">
        <v>140</v>
      </c>
      <c r="C19" s="89">
        <f>CEILING(F19*(1+G19*(E$3*E$4*E$5*E9*E13))*E12, 0.1)</f>
        <v>0.60000000000000009</v>
      </c>
      <c r="D19" s="367"/>
      <c r="E19" s="76"/>
      <c r="F19" s="70">
        <v>0.5</v>
      </c>
      <c r="G19" s="70">
        <v>0.11</v>
      </c>
      <c r="H19" s="70"/>
      <c r="I19" s="71"/>
      <c r="J19" s="71"/>
      <c r="K19" s="71"/>
      <c r="L19" s="71"/>
    </row>
    <row r="20" spans="1:12" ht="13" x14ac:dyDescent="0.15">
      <c r="A20" s="367"/>
      <c r="B20" s="92" t="s">
        <v>142</v>
      </c>
      <c r="C20" s="89">
        <f>CEILING(F20*(1+G20*(E$3*E$4*E$5*E$9*E$13+E$12))*E$10, 0.1)</f>
        <v>0.9</v>
      </c>
      <c r="D20" s="367"/>
      <c r="E20" s="76"/>
      <c r="F20" s="70">
        <v>0.5</v>
      </c>
      <c r="G20" s="70">
        <v>0.39</v>
      </c>
      <c r="H20" s="70"/>
      <c r="I20" s="71"/>
      <c r="J20" s="71"/>
      <c r="K20" s="71"/>
      <c r="L20" s="71"/>
    </row>
    <row r="21" spans="1:12" ht="13" x14ac:dyDescent="0.15">
      <c r="A21" s="367"/>
      <c r="B21" s="92" t="s">
        <v>146</v>
      </c>
      <c r="C21" s="89">
        <f>CEILING(F21*(1+G21*(E$3*E$4*E$5*E$9*E$13+E$12))*E$10, 0.1)</f>
        <v>0.9</v>
      </c>
      <c r="D21" s="367"/>
      <c r="E21" s="76"/>
      <c r="F21" s="70">
        <v>0.5</v>
      </c>
      <c r="G21" s="70">
        <v>0.39</v>
      </c>
      <c r="H21" s="70"/>
      <c r="I21" s="71"/>
      <c r="J21" s="71"/>
      <c r="K21" s="71"/>
      <c r="L21" s="71"/>
    </row>
    <row r="22" spans="1:12" ht="13" x14ac:dyDescent="0.15">
      <c r="A22" s="367"/>
      <c r="B22" s="92" t="s">
        <v>149</v>
      </c>
      <c r="C22" s="89">
        <f>CEILING(F22*(1+G22*(E$3*E$4*E$5*E$9*E$13+E$12))*1, 0.1)</f>
        <v>0.70000000000000007</v>
      </c>
      <c r="D22" s="367"/>
      <c r="E22" s="76"/>
      <c r="F22" s="70">
        <v>0.5</v>
      </c>
      <c r="G22" s="70">
        <v>0.15</v>
      </c>
      <c r="H22" s="70"/>
      <c r="I22" s="71"/>
      <c r="J22" s="71"/>
      <c r="K22" s="71"/>
      <c r="L22" s="71"/>
    </row>
    <row r="23" spans="1:12" ht="13" x14ac:dyDescent="0.15">
      <c r="A23" s="367"/>
      <c r="B23" s="92" t="s">
        <v>151</v>
      </c>
      <c r="C23" s="89">
        <f>CEILING(F23*(1+G23*(E$3*E$4*E$5*E$9*E$13+E$12))*1, 0.1)</f>
        <v>0.70000000000000007</v>
      </c>
      <c r="D23" s="367"/>
      <c r="E23" s="76"/>
      <c r="F23" s="70">
        <v>0.5</v>
      </c>
      <c r="G23" s="70">
        <v>0.15</v>
      </c>
      <c r="H23" s="70"/>
      <c r="I23" s="71"/>
      <c r="J23" s="71"/>
      <c r="K23" s="71"/>
      <c r="L23" s="71"/>
    </row>
    <row r="24" spans="1:12" ht="13" x14ac:dyDescent="0.15">
      <c r="A24" s="367"/>
      <c r="B24" s="92" t="s">
        <v>126</v>
      </c>
      <c r="C24" s="89">
        <f>CEILING(F24*(1+G24*(E$5*E$9+E7+E10))*E$3, 0.1)</f>
        <v>0.8</v>
      </c>
      <c r="D24" s="367"/>
      <c r="E24" s="76"/>
      <c r="F24" s="70">
        <v>0.5</v>
      </c>
      <c r="G24" s="70">
        <v>0.2</v>
      </c>
      <c r="H24" s="70"/>
      <c r="I24" s="71"/>
      <c r="J24" s="71"/>
      <c r="K24" s="71"/>
      <c r="L24" s="71"/>
    </row>
    <row r="25" spans="1:12" ht="13" x14ac:dyDescent="0.15">
      <c r="A25" s="367"/>
      <c r="B25" s="369" t="s">
        <v>113</v>
      </c>
      <c r="C25" s="85">
        <f>CEILING(SUM(C15:C24), 1)</f>
        <v>8</v>
      </c>
      <c r="D25" s="367"/>
      <c r="E25" s="96"/>
      <c r="F25" s="97"/>
      <c r="G25" s="97"/>
      <c r="H25" s="97"/>
      <c r="I25" s="91"/>
      <c r="J25" s="91"/>
      <c r="K25" s="91"/>
      <c r="L25" s="91"/>
    </row>
    <row r="26" spans="1:12" ht="13" x14ac:dyDescent="0.15">
      <c r="A26" s="367"/>
      <c r="B26" s="369"/>
      <c r="C26" s="98">
        <f>C25*Параметры!$B$2</f>
        <v>243200</v>
      </c>
      <c r="D26" s="367"/>
      <c r="E26" s="87"/>
      <c r="F26" s="97"/>
      <c r="G26" s="97"/>
      <c r="H26" s="97"/>
      <c r="I26" s="91"/>
      <c r="J26" s="91"/>
      <c r="K26" s="91"/>
      <c r="L26" s="91"/>
    </row>
    <row r="28" spans="1:12" ht="13" x14ac:dyDescent="0.15">
      <c r="B28" s="32" t="s">
        <v>150</v>
      </c>
    </row>
  </sheetData>
  <mergeCells count="4">
    <mergeCell ref="A1:A26"/>
    <mergeCell ref="B1:C1"/>
    <mergeCell ref="D1:D26"/>
    <mergeCell ref="B25:B26"/>
  </mergeCells>
  <dataValidations count="7">
    <dataValidation type="list" allowBlank="1" showErrorMessage="1" sqref="C3" xr:uid="{00000000-0002-0000-0300-000000000000}">
      <formula1>"Нет,Да"</formula1>
    </dataValidation>
    <dataValidation type="list" allowBlank="1" showErrorMessage="1" sqref="C6" xr:uid="{00000000-0002-0000-0300-000001000000}">
      <formula1>"Неизвестно,Высокая,Средняя,Низкая"</formula1>
    </dataValidation>
    <dataValidation type="list" allowBlank="1" showErrorMessage="1" sqref="C8 C11" xr:uid="{00000000-0002-0000-0300-000002000000}">
      <formula1>"Неизвестно,Да,Нет"</formula1>
    </dataValidation>
    <dataValidation type="list" allowBlank="1" showErrorMessage="1" sqref="C9" xr:uid="{00000000-0002-0000-0300-000003000000}">
      <formula1>"Неизвестно,Регламентная,Разовая"</formula1>
    </dataValidation>
    <dataValidation type="list" allowBlank="1" showErrorMessage="1" sqref="C7 C10 C12:C13" xr:uid="{00000000-0002-0000-0300-000004000000}">
      <formula1>"Неизвестно,Нет,Да"</formula1>
    </dataValidation>
    <dataValidation type="list" allowBlank="1" showErrorMessage="1" sqref="C5" xr:uid="{00000000-0002-0000-0300-000005000000}">
      <formula1>"Неизвестно,Точечное,Малое,Среднее,Крупное,Большое,Масштабное"</formula1>
    </dataValidation>
    <dataValidation type="list" allowBlank="1" showErrorMessage="1" sqref="C4" xr:uid="{00000000-0002-0000-0300-000006000000}">
      <formula1>"Неизвестно,Низкая,Средняя,Высокая"</formula1>
    </dataValidation>
  </dataValidations>
  <pageMargins left="0.70000004768371582" right="0.70000004768371582" top="0.75" bottom="0.75" header="0.30000001192092896" footer="0.300000011920928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L60"/>
  <sheetViews>
    <sheetView topLeftCell="A10" workbookViewId="0">
      <selection activeCell="C33" sqref="C33:C45"/>
    </sheetView>
  </sheetViews>
  <sheetFormatPr baseColWidth="10" defaultColWidth="12.5" defaultRowHeight="15.75" customHeight="1" outlineLevelCol="1" x14ac:dyDescent="0.15"/>
  <cols>
    <col min="1" max="1" width="3.1640625" customWidth="1"/>
    <col min="2" max="2" width="70.83203125" customWidth="1"/>
    <col min="3" max="3" width="19.6640625" customWidth="1"/>
    <col min="4" max="4" width="3.6640625" customWidth="1"/>
    <col min="5" max="12" width="12.5" bestFit="1" customWidth="1" outlineLevel="1"/>
  </cols>
  <sheetData>
    <row r="1" spans="1:12" ht="13" x14ac:dyDescent="0.15">
      <c r="A1" s="372"/>
      <c r="B1" s="372" t="s">
        <v>152</v>
      </c>
      <c r="C1" s="372"/>
      <c r="D1" s="372"/>
      <c r="E1" s="68"/>
      <c r="F1" s="70"/>
      <c r="G1" s="70"/>
      <c r="H1" s="70"/>
      <c r="I1" s="71"/>
      <c r="J1" s="71"/>
      <c r="K1" s="71"/>
      <c r="L1" s="71"/>
    </row>
    <row r="2" spans="1:12" ht="13" x14ac:dyDescent="0.15">
      <c r="A2" s="372"/>
      <c r="B2" s="99" t="s">
        <v>78</v>
      </c>
      <c r="C2" s="99" t="s">
        <v>79</v>
      </c>
      <c r="D2" s="372"/>
      <c r="E2" s="68" t="s">
        <v>80</v>
      </c>
      <c r="F2" s="74" t="s">
        <v>81</v>
      </c>
      <c r="G2" s="74" t="s">
        <v>82</v>
      </c>
      <c r="H2" s="74" t="s">
        <v>83</v>
      </c>
      <c r="I2" s="74" t="s">
        <v>84</v>
      </c>
      <c r="J2" s="74" t="s">
        <v>85</v>
      </c>
      <c r="K2" s="74" t="s">
        <v>86</v>
      </c>
      <c r="L2" s="74" t="s">
        <v>87</v>
      </c>
    </row>
    <row r="3" spans="1:12" ht="13" x14ac:dyDescent="0.15">
      <c r="A3" s="372"/>
      <c r="B3" s="67" t="s">
        <v>118</v>
      </c>
      <c r="C3" s="102" t="s">
        <v>89</v>
      </c>
      <c r="D3" s="372"/>
      <c r="E3" s="76">
        <f>IF(C3="Нет", G3, IF(C3="Да", H3, ""))</f>
        <v>1</v>
      </c>
      <c r="F3" s="70"/>
      <c r="G3" s="70">
        <v>1</v>
      </c>
      <c r="H3" s="70">
        <v>0.75</v>
      </c>
      <c r="I3" s="71"/>
      <c r="J3" s="71"/>
      <c r="K3" s="71"/>
      <c r="L3" s="71"/>
    </row>
    <row r="4" spans="1:12" ht="13" x14ac:dyDescent="0.15">
      <c r="A4" s="372"/>
      <c r="B4" s="105" t="s">
        <v>154</v>
      </c>
      <c r="C4" s="102" t="s">
        <v>95</v>
      </c>
      <c r="D4" s="372"/>
      <c r="E4" s="76">
        <f>IF(C4="Неизвестно", F4, IF(C4="Доработка", G4, IF(C4="Новое", H4, "")))</f>
        <v>1</v>
      </c>
      <c r="F4" s="70">
        <v>1</v>
      </c>
      <c r="G4" s="70">
        <v>0.75</v>
      </c>
      <c r="H4" s="70">
        <v>1.1000000000000001</v>
      </c>
      <c r="I4" s="71"/>
      <c r="J4" s="71"/>
      <c r="K4" s="71"/>
      <c r="L4" s="71"/>
    </row>
    <row r="5" spans="1:12" ht="13" x14ac:dyDescent="0.15">
      <c r="A5" s="372"/>
      <c r="B5" s="67" t="s">
        <v>90</v>
      </c>
      <c r="C5" s="102" t="s">
        <v>91</v>
      </c>
      <c r="D5" s="372"/>
      <c r="E5" s="76">
        <f>IF(C5="Неизвестно", F5, IF(C5="Низкая", G5, IF(C5="Средняя", H5, IF(C5="Высокая", I5, ""))))</f>
        <v>1</v>
      </c>
      <c r="F5" s="70">
        <v>1.25</v>
      </c>
      <c r="G5" s="70">
        <v>0.75</v>
      </c>
      <c r="H5" s="70">
        <v>1</v>
      </c>
      <c r="I5" s="70">
        <v>1.5</v>
      </c>
      <c r="J5" s="71"/>
      <c r="K5" s="71"/>
      <c r="L5" s="70"/>
    </row>
    <row r="6" spans="1:12" ht="55.25" customHeight="1" x14ac:dyDescent="0.15">
      <c r="A6" s="372"/>
      <c r="B6" s="72" t="s">
        <v>116</v>
      </c>
      <c r="C6" s="102" t="s">
        <v>93</v>
      </c>
      <c r="D6" s="372"/>
      <c r="E6" s="76">
        <f>IF(C6="Неизвестно", F6, IF(C6="Точечное", G6, IF(C6="Малое", H6, IF(C6="Среднее", I6, IF(C6="Крупное", J6, IF(C6="Большое", K6, IF(C6="Масштабное", L6, "")))))))</f>
        <v>1</v>
      </c>
      <c r="F6" s="70">
        <v>1.25</v>
      </c>
      <c r="G6" s="70">
        <v>0.5</v>
      </c>
      <c r="H6" s="70">
        <v>0.75</v>
      </c>
      <c r="I6" s="70">
        <v>1</v>
      </c>
      <c r="J6" s="70">
        <v>1.25</v>
      </c>
      <c r="K6" s="70">
        <v>1.5</v>
      </c>
      <c r="L6" s="70">
        <v>1.75</v>
      </c>
    </row>
    <row r="7" spans="1:12" ht="13" x14ac:dyDescent="0.15">
      <c r="A7" s="372"/>
      <c r="B7" s="67" t="s">
        <v>94</v>
      </c>
      <c r="C7" s="102" t="s">
        <v>95</v>
      </c>
      <c r="D7" s="372"/>
      <c r="E7" s="76">
        <f>IF(C7="Неизвестно", F7, IF(C7="Низкая", G7, IF(C7="Средняя", H7, IF(C7="Высокая", I7, ""))))</f>
        <v>1</v>
      </c>
      <c r="F7" s="70">
        <v>1</v>
      </c>
      <c r="G7" s="70">
        <v>1.5</v>
      </c>
      <c r="H7" s="70">
        <v>1.25</v>
      </c>
      <c r="I7" s="70">
        <v>0.75</v>
      </c>
      <c r="J7" s="71"/>
      <c r="K7" s="71"/>
      <c r="L7" s="71"/>
    </row>
    <row r="8" spans="1:12" ht="13" x14ac:dyDescent="0.15">
      <c r="A8" s="372"/>
      <c r="B8" s="105" t="s">
        <v>159</v>
      </c>
      <c r="C8" s="102" t="s">
        <v>95</v>
      </c>
      <c r="D8" s="372"/>
      <c r="E8" s="76">
        <f>IF(C8="Неизвестно", F8, IF(C8="Да", G8, IF(C8="Нет", H8, "")))</f>
        <v>1</v>
      </c>
      <c r="F8" s="70">
        <v>1</v>
      </c>
      <c r="G8" s="70">
        <v>0.9</v>
      </c>
      <c r="H8" s="70">
        <v>1.1000000000000001</v>
      </c>
      <c r="I8" s="71"/>
      <c r="J8" s="71"/>
      <c r="K8" s="71"/>
      <c r="L8" s="71"/>
    </row>
    <row r="9" spans="1:12" ht="13" x14ac:dyDescent="0.15">
      <c r="A9" s="372"/>
      <c r="B9" s="105" t="s">
        <v>160</v>
      </c>
      <c r="C9" s="102" t="s">
        <v>95</v>
      </c>
      <c r="D9" s="372"/>
      <c r="E9" s="76">
        <f>IF(C9="Неизвестно", F9, IF(C9="Непосредственно", G9, IF(C9="Опосредованно", H9, "")))</f>
        <v>1</v>
      </c>
      <c r="F9" s="70">
        <v>1</v>
      </c>
      <c r="G9" s="70">
        <v>0.8</v>
      </c>
      <c r="H9" s="70">
        <v>1.2</v>
      </c>
      <c r="I9" s="71"/>
      <c r="J9" s="71"/>
      <c r="K9" s="71"/>
      <c r="L9" s="71"/>
    </row>
    <row r="10" spans="1:12" ht="13" x14ac:dyDescent="0.15">
      <c r="A10" s="372"/>
      <c r="B10" s="67" t="s">
        <v>104</v>
      </c>
      <c r="C10" s="102" t="s">
        <v>95</v>
      </c>
      <c r="D10" s="372"/>
      <c r="E10" s="76">
        <f>IF(C10="Неизвестно", F10, IF(C10="Да", G10, IF(C10="Нет", H10, "")))</f>
        <v>1</v>
      </c>
      <c r="F10" s="70">
        <v>1</v>
      </c>
      <c r="G10" s="70">
        <v>1.25</v>
      </c>
      <c r="H10" s="70">
        <v>0</v>
      </c>
      <c r="I10" s="71"/>
      <c r="J10" s="71"/>
      <c r="K10" s="71"/>
      <c r="L10" s="71"/>
    </row>
    <row r="11" spans="1:12" ht="13" x14ac:dyDescent="0.15">
      <c r="A11" s="372"/>
      <c r="B11" s="67" t="s">
        <v>108</v>
      </c>
      <c r="C11" s="102" t="s">
        <v>95</v>
      </c>
      <c r="D11" s="372"/>
      <c r="E11" s="76">
        <f>IF(C11="Неизвестно", F11, IF(C11="Да", G11, IF(C11="Нет", H11, "")))</f>
        <v>1</v>
      </c>
      <c r="F11" s="70">
        <v>1</v>
      </c>
      <c r="G11" s="70">
        <v>0.75</v>
      </c>
      <c r="H11" s="70">
        <v>1.25</v>
      </c>
      <c r="I11" s="71"/>
      <c r="J11" s="71"/>
      <c r="K11" s="71"/>
      <c r="L11" s="71"/>
    </row>
    <row r="12" spans="1:12" ht="13" x14ac:dyDescent="0.15">
      <c r="A12" s="372"/>
      <c r="B12" s="105" t="s">
        <v>176</v>
      </c>
      <c r="C12" s="102" t="s">
        <v>95</v>
      </c>
      <c r="D12" s="372"/>
      <c r="E12" s="76">
        <f>IF(C12="Неизвестно", F12, IF(C12="Да", G12, IF(C12="Нет", H12, "")))</f>
        <v>1</v>
      </c>
      <c r="F12" s="70">
        <v>1</v>
      </c>
      <c r="G12" s="70">
        <v>0</v>
      </c>
      <c r="H12" s="70">
        <v>1.25</v>
      </c>
      <c r="I12" s="71"/>
      <c r="J12" s="71"/>
      <c r="K12" s="71"/>
      <c r="L12" s="71"/>
    </row>
    <row r="13" spans="1:12" ht="13" x14ac:dyDescent="0.15">
      <c r="A13" s="372"/>
      <c r="B13" s="105" t="s">
        <v>177</v>
      </c>
      <c r="C13" s="102" t="s">
        <v>91</v>
      </c>
      <c r="D13" s="372"/>
      <c r="E13" s="113">
        <f>IF(C13="Неизвестно", F13, IF(C13="Низкая", G13, IF(C13="Средняя", H13, IF(C13="Высокая", I13, ""))))</f>
        <v>1</v>
      </c>
      <c r="F13" s="70">
        <v>1.25</v>
      </c>
      <c r="G13" s="70">
        <v>0.75</v>
      </c>
      <c r="H13" s="70">
        <v>1</v>
      </c>
      <c r="I13" s="70">
        <v>1.5</v>
      </c>
      <c r="J13" s="71"/>
      <c r="K13" s="71"/>
      <c r="L13" s="71"/>
    </row>
    <row r="14" spans="1:12" ht="13" x14ac:dyDescent="0.15">
      <c r="A14" s="372"/>
      <c r="B14" s="67" t="s">
        <v>183</v>
      </c>
      <c r="C14" s="102" t="s">
        <v>95</v>
      </c>
      <c r="D14" s="372"/>
      <c r="E14" s="76">
        <f>IF(C14="Неизвестно", F14, IF(C14="Да", G14, IF(C14="Нет", H14, "")))</f>
        <v>1</v>
      </c>
      <c r="F14" s="70">
        <v>1</v>
      </c>
      <c r="G14" s="70">
        <v>1.25</v>
      </c>
      <c r="H14" s="70">
        <v>0</v>
      </c>
      <c r="I14" s="71"/>
      <c r="J14" s="71"/>
      <c r="K14" s="71"/>
      <c r="L14" s="71"/>
    </row>
    <row r="15" spans="1:12" ht="13" x14ac:dyDescent="0.15">
      <c r="A15" s="372"/>
      <c r="B15" s="67" t="s">
        <v>182</v>
      </c>
      <c r="C15" s="102" t="s">
        <v>95</v>
      </c>
      <c r="D15" s="372"/>
      <c r="E15" s="76">
        <f>IF(C15="Неизвестно", F15, IF(C15="Да", G15, IF(C15="Нет", H15, "")))</f>
        <v>1</v>
      </c>
      <c r="F15" s="70">
        <v>1</v>
      </c>
      <c r="G15" s="70">
        <v>1.25</v>
      </c>
      <c r="H15" s="70">
        <v>0.75</v>
      </c>
      <c r="I15" s="71"/>
      <c r="J15" s="71"/>
      <c r="K15" s="71"/>
      <c r="L15" s="71"/>
    </row>
    <row r="16" spans="1:12" ht="13" x14ac:dyDescent="0.15">
      <c r="A16" s="372"/>
      <c r="B16" s="67" t="s">
        <v>163</v>
      </c>
      <c r="C16" s="102" t="s">
        <v>95</v>
      </c>
      <c r="D16" s="372"/>
      <c r="E16" s="76">
        <f>IF(C16="Неизвестно", F16, IF(C16="Да", G16, IF(C16="Нет", H16, "")))</f>
        <v>1</v>
      </c>
      <c r="F16" s="70">
        <v>1</v>
      </c>
      <c r="G16" s="70">
        <v>1.25</v>
      </c>
      <c r="H16" s="70">
        <v>0.75</v>
      </c>
      <c r="I16" s="71"/>
      <c r="J16" s="71"/>
      <c r="K16" s="71"/>
      <c r="L16" s="71"/>
    </row>
    <row r="17" spans="1:12" ht="13" x14ac:dyDescent="0.15">
      <c r="A17" s="372"/>
      <c r="B17" s="370" t="s">
        <v>121</v>
      </c>
      <c r="C17" s="99">
        <f>CEILING(SUM(C30, C46, C52), 1)</f>
        <v>34</v>
      </c>
      <c r="D17" s="372"/>
      <c r="E17" s="76"/>
      <c r="F17" s="74"/>
      <c r="G17" s="74"/>
      <c r="H17" s="70"/>
      <c r="I17" s="71"/>
      <c r="J17" s="71"/>
      <c r="K17" s="71"/>
      <c r="L17" s="71"/>
    </row>
    <row r="18" spans="1:12" ht="13" x14ac:dyDescent="0.15">
      <c r="A18" s="372"/>
      <c r="B18" s="370"/>
      <c r="C18" s="100">
        <f>C17*Параметры!$B$2</f>
        <v>1033600</v>
      </c>
      <c r="D18" s="372"/>
      <c r="E18" s="76"/>
      <c r="F18" s="74"/>
      <c r="G18" s="74"/>
      <c r="H18" s="70"/>
      <c r="I18" s="71"/>
      <c r="J18" s="71"/>
      <c r="K18" s="71"/>
      <c r="L18" s="71"/>
    </row>
    <row r="19" spans="1:12" ht="13" x14ac:dyDescent="0.15">
      <c r="A19" s="372"/>
      <c r="B19" s="106" t="s">
        <v>168</v>
      </c>
      <c r="C19" s="99" t="s">
        <v>98</v>
      </c>
      <c r="D19" s="372"/>
      <c r="E19" s="76"/>
      <c r="F19" s="74" t="s">
        <v>99</v>
      </c>
      <c r="G19" s="74" t="s">
        <v>100</v>
      </c>
      <c r="H19" s="70"/>
      <c r="I19" s="71"/>
      <c r="J19" s="71"/>
      <c r="K19" s="71"/>
      <c r="L19" s="71"/>
    </row>
    <row r="20" spans="1:12" ht="13" x14ac:dyDescent="0.15">
      <c r="A20" s="372"/>
      <c r="B20" s="67" t="s">
        <v>101</v>
      </c>
      <c r="C20" s="107">
        <f>CEILING(F20*(1+G20*(E$5*E$6*E$7*E$8*E$9*E$15*E$16+E$12+E$14))*(E$3*E$4), 0.1)</f>
        <v>0.9</v>
      </c>
      <c r="D20" s="372"/>
      <c r="E20" s="76"/>
      <c r="F20" s="70">
        <v>0.5</v>
      </c>
      <c r="G20" s="70">
        <v>0.248</v>
      </c>
      <c r="H20" s="70"/>
      <c r="I20" s="71"/>
      <c r="J20" s="71"/>
      <c r="K20" s="71"/>
      <c r="L20" s="71"/>
    </row>
    <row r="21" spans="1:12" ht="13" x14ac:dyDescent="0.15">
      <c r="A21" s="372"/>
      <c r="B21" s="67" t="s">
        <v>103</v>
      </c>
      <c r="C21" s="107">
        <f>CEILING(F21*(1+G21*(E$3*E$4*E$5*E$7*E$8*E$9*E$15*E$16+E$10*E$11+E$12+E$14))*E$6, 0.1)</f>
        <v>1.1000000000000001</v>
      </c>
      <c r="D21" s="372"/>
      <c r="E21" s="76"/>
      <c r="F21" s="70">
        <v>1</v>
      </c>
      <c r="G21" s="70">
        <v>0.01</v>
      </c>
      <c r="H21" s="70"/>
      <c r="I21" s="71"/>
      <c r="J21" s="71"/>
      <c r="K21" s="71"/>
      <c r="L21" s="71"/>
    </row>
    <row r="22" spans="1:12" ht="13" x14ac:dyDescent="0.15">
      <c r="A22" s="372"/>
      <c r="B22" s="112" t="s">
        <v>105</v>
      </c>
      <c r="C22" s="107">
        <f>CEILING(F22*(1+G22*(E$5*E$6*E$7*E$8*E$9*E$15*E$16+E$14))*(E$3*E$4), 0.1)</f>
        <v>1.2000000000000002</v>
      </c>
      <c r="D22" s="372"/>
      <c r="E22" s="76"/>
      <c r="F22" s="70">
        <v>1</v>
      </c>
      <c r="G22" s="70">
        <v>0.08</v>
      </c>
      <c r="H22" s="70"/>
      <c r="I22" s="71"/>
      <c r="J22" s="71"/>
      <c r="K22" s="71"/>
      <c r="L22" s="71"/>
    </row>
    <row r="23" spans="1:12" ht="13" x14ac:dyDescent="0.15">
      <c r="A23" s="372"/>
      <c r="B23" s="112" t="s">
        <v>136</v>
      </c>
      <c r="C23" s="107">
        <f>CEILING(F23*(1+G23*(E$3*E$5*E$6*E$8*E$9*E$15*E$16+E$14))*E$12, 0.1)</f>
        <v>0.60000000000000009</v>
      </c>
      <c r="D23" s="372"/>
      <c r="E23" s="76"/>
      <c r="F23" s="70">
        <v>0.5</v>
      </c>
      <c r="G23" s="70">
        <v>7.0000000000000007E-2</v>
      </c>
      <c r="H23" s="70"/>
      <c r="I23" s="71"/>
      <c r="J23" s="71"/>
      <c r="K23" s="71"/>
      <c r="L23" s="71"/>
    </row>
    <row r="24" spans="1:12" ht="13" x14ac:dyDescent="0.15">
      <c r="A24" s="372"/>
      <c r="B24" s="112" t="s">
        <v>179</v>
      </c>
      <c r="C24" s="114">
        <f>CEILING(F24*(1+G24*(E$3*E$5*E$16))*(E$6*E$4), 0.1)</f>
        <v>1.2000000000000002</v>
      </c>
      <c r="D24" s="372"/>
      <c r="E24" s="76"/>
      <c r="F24" s="70">
        <v>1</v>
      </c>
      <c r="G24" s="70">
        <v>0.15</v>
      </c>
      <c r="H24" s="70"/>
      <c r="I24" s="71"/>
      <c r="J24" s="71"/>
      <c r="K24" s="71"/>
      <c r="L24" s="71"/>
    </row>
    <row r="25" spans="1:12" ht="13" x14ac:dyDescent="0.15">
      <c r="A25" s="372"/>
      <c r="B25" s="112" t="s">
        <v>181</v>
      </c>
      <c r="C25" s="107">
        <f>CEILING(F25*(1+G25*(E$3*E$5*E$6*E$8*E$9*E$15*E$16+E$14))*E$4, 0.1)</f>
        <v>1.5</v>
      </c>
      <c r="D25" s="372"/>
      <c r="E25" s="76"/>
      <c r="F25" s="70">
        <v>1</v>
      </c>
      <c r="G25" s="70">
        <v>0.25</v>
      </c>
      <c r="H25" s="70"/>
      <c r="I25" s="71"/>
      <c r="J25" s="71"/>
      <c r="K25" s="71"/>
      <c r="L25" s="71"/>
    </row>
    <row r="26" spans="1:12" ht="13" x14ac:dyDescent="0.15">
      <c r="A26" s="372"/>
      <c r="B26" s="112" t="s">
        <v>107</v>
      </c>
      <c r="C26" s="107">
        <f>CEILING(F26*(1+G26*(E$3*E$4*E$5*E$6*E$8*E$9*E$16+E$14))*(E$10*E$11), 0.1)</f>
        <v>0.60000000000000009</v>
      </c>
      <c r="D26" s="372"/>
      <c r="E26" s="76"/>
      <c r="F26" s="70">
        <v>0.5</v>
      </c>
      <c r="G26" s="70">
        <v>4.5999999999999999E-2</v>
      </c>
      <c r="H26" s="70"/>
      <c r="I26" s="71"/>
      <c r="J26" s="71"/>
      <c r="K26" s="71"/>
      <c r="L26" s="71"/>
    </row>
    <row r="27" spans="1:12" ht="13" x14ac:dyDescent="0.15">
      <c r="A27" s="372"/>
      <c r="B27" s="112" t="s">
        <v>140</v>
      </c>
      <c r="C27" s="114">
        <f>CEILING(F27*(1+G27*(E$3*E$4*E$5*E$6*E$8*E$16))*E$14, 0.1)</f>
        <v>0.60000000000000009</v>
      </c>
      <c r="D27" s="372"/>
      <c r="E27" s="76"/>
      <c r="F27" s="70">
        <v>0.5</v>
      </c>
      <c r="G27" s="70">
        <v>0.151</v>
      </c>
      <c r="H27" s="70"/>
      <c r="I27" s="71"/>
      <c r="J27" s="71"/>
      <c r="K27" s="71"/>
      <c r="L27" s="71"/>
    </row>
    <row r="28" spans="1:12" ht="13" x14ac:dyDescent="0.15">
      <c r="A28" s="372"/>
      <c r="B28" s="112" t="s">
        <v>184</v>
      </c>
      <c r="C28" s="114">
        <f>CEILING(F28*(1+G28*(E$3*E$5*E$6*E$15*E$16+E$14))*E$4, 0.1)</f>
        <v>0.9</v>
      </c>
      <c r="D28" s="372"/>
      <c r="E28" s="76"/>
      <c r="F28" s="70">
        <v>0.5</v>
      </c>
      <c r="G28" s="70">
        <v>0.32200000000000001</v>
      </c>
      <c r="H28" s="70"/>
      <c r="I28" s="71"/>
      <c r="J28" s="71"/>
      <c r="K28" s="71"/>
      <c r="L28" s="71"/>
    </row>
    <row r="29" spans="1:12" ht="13" x14ac:dyDescent="0.15">
      <c r="A29" s="372"/>
      <c r="B29" s="112" t="s">
        <v>126</v>
      </c>
      <c r="C29" s="107">
        <f>CEILING(F29*(1+G29*(E$3*E$6*E$9))*E$4, 0.1)</f>
        <v>0.9</v>
      </c>
      <c r="D29" s="372"/>
      <c r="E29" s="76"/>
      <c r="F29" s="70">
        <v>0.5</v>
      </c>
      <c r="G29" s="70">
        <v>0.8</v>
      </c>
      <c r="H29" s="70"/>
      <c r="I29" s="71"/>
      <c r="J29" s="71"/>
      <c r="K29" s="71"/>
      <c r="L29" s="71"/>
    </row>
    <row r="30" spans="1:12" ht="13" x14ac:dyDescent="0.15">
      <c r="A30" s="372"/>
      <c r="B30" s="370" t="s">
        <v>113</v>
      </c>
      <c r="C30" s="99">
        <f>CEILING(SUM(C20:C29), 1)</f>
        <v>10</v>
      </c>
      <c r="D30" s="372"/>
      <c r="E30" s="9"/>
      <c r="F30" s="9"/>
      <c r="G30" s="9"/>
      <c r="H30" s="70"/>
      <c r="I30" s="71"/>
      <c r="J30" s="71"/>
      <c r="K30" s="71"/>
      <c r="L30" s="71"/>
    </row>
    <row r="31" spans="1:12" ht="13" x14ac:dyDescent="0.15">
      <c r="A31" s="373"/>
      <c r="B31" s="374"/>
      <c r="C31" s="100">
        <f>C30*Параметры!$B$2</f>
        <v>304000</v>
      </c>
      <c r="D31" s="372"/>
      <c r="E31" s="9"/>
      <c r="F31" s="9"/>
      <c r="G31" s="9"/>
      <c r="H31" s="70"/>
      <c r="I31" s="71"/>
      <c r="J31" s="71"/>
      <c r="K31" s="71"/>
      <c r="L31" s="71"/>
    </row>
    <row r="32" spans="1:12" ht="60" x14ac:dyDescent="0.15">
      <c r="A32" s="372"/>
      <c r="B32" s="101" t="s">
        <v>153</v>
      </c>
      <c r="C32" s="99" t="s">
        <v>98</v>
      </c>
      <c r="D32" s="372"/>
      <c r="E32" s="9"/>
      <c r="F32" s="74" t="s">
        <v>99</v>
      </c>
      <c r="G32" s="74" t="s">
        <v>100</v>
      </c>
      <c r="H32" s="74" t="s">
        <v>133</v>
      </c>
      <c r="I32" s="71"/>
      <c r="J32" s="71"/>
      <c r="K32" s="71"/>
      <c r="L32" s="71"/>
    </row>
    <row r="33" spans="1:12" ht="13" x14ac:dyDescent="0.15">
      <c r="A33" s="372"/>
      <c r="B33" s="103" t="s">
        <v>103</v>
      </c>
      <c r="C33" s="104">
        <f>CEILING(F33*(1+G33*(E$5*E$6*E$9*E$15*E$16+E$12+E$14))*(E$3*E$4), 0.1)</f>
        <v>0.70000000000000007</v>
      </c>
      <c r="D33" s="372"/>
      <c r="E33" s="9"/>
      <c r="F33" s="70">
        <v>0.5</v>
      </c>
      <c r="G33" s="70">
        <v>0.11</v>
      </c>
      <c r="H33" s="70">
        <v>1</v>
      </c>
      <c r="I33" s="71"/>
      <c r="J33" s="71"/>
      <c r="K33" s="71"/>
      <c r="L33" s="71"/>
    </row>
    <row r="34" spans="1:12" ht="13" x14ac:dyDescent="0.15">
      <c r="A34" s="372"/>
      <c r="B34" s="103" t="s">
        <v>125</v>
      </c>
      <c r="C34" s="104">
        <f>CEILING(F34*G34, 0.1)</f>
        <v>0.8</v>
      </c>
      <c r="D34" s="372"/>
      <c r="E34" s="9"/>
      <c r="F34" s="82">
        <f>C25</f>
        <v>1.5</v>
      </c>
      <c r="G34" s="70">
        <v>0.5</v>
      </c>
      <c r="H34" s="82">
        <v>2</v>
      </c>
      <c r="I34" s="71"/>
      <c r="J34" s="71"/>
      <c r="K34" s="71"/>
      <c r="L34" s="71"/>
    </row>
    <row r="35" spans="1:12" ht="13" x14ac:dyDescent="0.15">
      <c r="A35" s="372"/>
      <c r="B35" s="103" t="s">
        <v>127</v>
      </c>
      <c r="C35" s="104">
        <f>CEILING(F35*G35, 0.1)</f>
        <v>0.5</v>
      </c>
      <c r="D35" s="372"/>
      <c r="E35" s="9"/>
      <c r="F35" s="82">
        <f>C24</f>
        <v>1.2000000000000002</v>
      </c>
      <c r="G35" s="70">
        <v>0.4</v>
      </c>
      <c r="H35" s="82">
        <v>1</v>
      </c>
      <c r="I35" s="71"/>
      <c r="J35" s="71"/>
      <c r="K35" s="71"/>
      <c r="L35" s="71"/>
    </row>
    <row r="36" spans="1:12" ht="13" x14ac:dyDescent="0.15">
      <c r="A36" s="372"/>
      <c r="B36" s="103" t="s">
        <v>156</v>
      </c>
      <c r="C36" s="104">
        <f>CEILING(F36*(1+G36*(E$3*E$5*E$6*E$15*E$16+E$14))*E$4, 0.1)</f>
        <v>2.3000000000000003</v>
      </c>
      <c r="D36" s="372"/>
      <c r="E36" s="9"/>
      <c r="F36" s="70">
        <v>1</v>
      </c>
      <c r="G36" s="70">
        <v>0.65</v>
      </c>
      <c r="H36" s="82">
        <v>5</v>
      </c>
      <c r="I36" s="71"/>
      <c r="J36" s="71"/>
      <c r="K36" s="71"/>
      <c r="L36" s="71"/>
    </row>
    <row r="37" spans="1:12" ht="13" x14ac:dyDescent="0.15">
      <c r="A37" s="372"/>
      <c r="B37" s="103" t="s">
        <v>158</v>
      </c>
      <c r="C37" s="104">
        <f>CEILING(F37*(1+G37*(E$3*E$5*E$6*E$15*E$16+E$14))*E$4, 0.1)</f>
        <v>1</v>
      </c>
      <c r="D37" s="372"/>
      <c r="E37" s="9"/>
      <c r="F37" s="70">
        <v>0.5</v>
      </c>
      <c r="G37" s="70">
        <v>0.49</v>
      </c>
      <c r="H37" s="82">
        <v>2</v>
      </c>
      <c r="I37" s="71"/>
      <c r="J37" s="71"/>
      <c r="K37" s="71"/>
      <c r="L37" s="71"/>
    </row>
    <row r="38" spans="1:12" ht="13" x14ac:dyDescent="0.15">
      <c r="A38" s="372"/>
      <c r="B38" s="103" t="s">
        <v>128</v>
      </c>
      <c r="C38" s="104">
        <f>CEILING(F38*(1+G38*(E$3*E$5*E$6*E$15*E$16+E$14))*E$4, 0.1)</f>
        <v>1.7000000000000002</v>
      </c>
      <c r="D38" s="372"/>
      <c r="E38" s="9"/>
      <c r="F38" s="70">
        <v>0.5</v>
      </c>
      <c r="G38" s="70">
        <v>1.1399999999999999</v>
      </c>
      <c r="H38" s="82">
        <v>4</v>
      </c>
      <c r="I38" s="71"/>
      <c r="J38" s="71"/>
      <c r="K38" s="71"/>
      <c r="L38" s="71"/>
    </row>
    <row r="39" spans="1:12" ht="13" x14ac:dyDescent="0.15">
      <c r="A39" s="372"/>
      <c r="B39" s="103" t="s">
        <v>161</v>
      </c>
      <c r="C39" s="104">
        <f>CEILING(F39*(1+G39*(E$3*E$5*E$6*E$15*E$16+E$14))*E$4, 0.1)</f>
        <v>1</v>
      </c>
      <c r="D39" s="372"/>
      <c r="E39" s="9"/>
      <c r="F39" s="70">
        <v>0.5</v>
      </c>
      <c r="G39" s="70">
        <v>0.46</v>
      </c>
      <c r="H39" s="82">
        <v>2</v>
      </c>
      <c r="I39" s="71"/>
      <c r="J39" s="71"/>
      <c r="K39" s="71"/>
      <c r="L39" s="71"/>
    </row>
    <row r="40" spans="1:12" ht="13" x14ac:dyDescent="0.15">
      <c r="A40" s="372"/>
      <c r="B40" s="103" t="s">
        <v>162</v>
      </c>
      <c r="C40" s="104">
        <f>CEILING(F40*(1+G40*(E$3*E$5*E$6*E$15*E$16+E$14))*E$4, 1)</f>
        <v>6</v>
      </c>
      <c r="D40" s="372"/>
      <c r="E40" s="9"/>
      <c r="F40" s="82">
        <v>1</v>
      </c>
      <c r="G40" s="70">
        <v>2.1749999999999998</v>
      </c>
      <c r="H40" s="82">
        <v>14</v>
      </c>
      <c r="I40" s="71"/>
      <c r="J40" s="71"/>
      <c r="K40" s="71"/>
      <c r="L40" s="71"/>
    </row>
    <row r="41" spans="1:12" ht="13" x14ac:dyDescent="0.15">
      <c r="A41" s="372"/>
      <c r="B41" s="103" t="s">
        <v>164</v>
      </c>
      <c r="C41" s="104">
        <f>CEILING(F41*(1+G41*(E$3*E$5*E$6*E$15*E$16+E$14))*E$4, 0.1)</f>
        <v>1.5</v>
      </c>
      <c r="D41" s="372"/>
      <c r="E41" s="9"/>
      <c r="F41" s="82">
        <v>1</v>
      </c>
      <c r="G41" s="70">
        <v>0.221</v>
      </c>
      <c r="H41" s="82">
        <v>2.5</v>
      </c>
      <c r="I41" s="71"/>
      <c r="J41" s="71"/>
      <c r="K41" s="71"/>
      <c r="L41" s="71"/>
    </row>
    <row r="42" spans="1:12" ht="13" x14ac:dyDescent="0.15">
      <c r="A42" s="372"/>
      <c r="B42" s="103" t="s">
        <v>166</v>
      </c>
      <c r="C42" s="104">
        <f>CEILING(F42*(1+G42*(E$3*E$5*E$6*E$15*E$16+E$14))*E$4, 0.1)</f>
        <v>0.8</v>
      </c>
      <c r="D42" s="372"/>
      <c r="E42" s="9"/>
      <c r="F42" s="70">
        <v>0.5</v>
      </c>
      <c r="G42" s="70">
        <v>0.3</v>
      </c>
      <c r="H42" s="82">
        <v>1.5</v>
      </c>
      <c r="I42" s="71"/>
      <c r="J42" s="71"/>
      <c r="K42" s="71"/>
      <c r="L42" s="71"/>
    </row>
    <row r="43" spans="1:12" ht="13" x14ac:dyDescent="0.15">
      <c r="A43" s="372"/>
      <c r="B43" s="103" t="s">
        <v>178</v>
      </c>
      <c r="C43" s="104">
        <f>CEILING(F43*(1+G43*(E$3*E$5*E$6*E$15*E$16+E$14))*E$4, 0.1)</f>
        <v>1</v>
      </c>
      <c r="D43" s="372"/>
      <c r="E43" s="9"/>
      <c r="F43" s="70">
        <v>0.5</v>
      </c>
      <c r="G43" s="70">
        <v>0.46</v>
      </c>
      <c r="H43" s="82">
        <v>2</v>
      </c>
      <c r="I43" s="71"/>
      <c r="J43" s="71"/>
      <c r="K43" s="71"/>
      <c r="L43" s="71"/>
    </row>
    <row r="44" spans="1:12" ht="13" x14ac:dyDescent="0.15">
      <c r="A44" s="372"/>
      <c r="B44" s="103" t="s">
        <v>180</v>
      </c>
      <c r="C44" s="104">
        <f>CEILING(F44*(1+G44*(E$3*E$5*E$6*E$15*E$16+E$14))*E$4, 0.1)</f>
        <v>0.4</v>
      </c>
      <c r="D44" s="372"/>
      <c r="E44" s="9"/>
      <c r="F44" s="70">
        <v>0.3</v>
      </c>
      <c r="G44" s="70">
        <v>0.15</v>
      </c>
      <c r="H44" s="82">
        <v>1</v>
      </c>
      <c r="I44" s="71"/>
      <c r="J44" s="71"/>
      <c r="K44" s="71"/>
      <c r="L44" s="71"/>
    </row>
    <row r="45" spans="1:12" ht="13" x14ac:dyDescent="0.15">
      <c r="A45" s="372"/>
      <c r="B45" s="103" t="s">
        <v>126</v>
      </c>
      <c r="C45" s="104">
        <f>CEILING(F45*(1+G45*(E$3*E$5*E$6*E$15*E$16+E$14))*E$4, 0.1)</f>
        <v>0.4</v>
      </c>
      <c r="D45" s="372"/>
      <c r="E45" s="9"/>
      <c r="F45" s="70">
        <v>0.3</v>
      </c>
      <c r="G45" s="70">
        <v>0.15</v>
      </c>
      <c r="H45" s="82">
        <v>1</v>
      </c>
      <c r="I45" s="71"/>
      <c r="J45" s="71"/>
      <c r="K45" s="71"/>
      <c r="L45" s="71"/>
    </row>
    <row r="46" spans="1:12" ht="13" x14ac:dyDescent="0.15">
      <c r="A46" s="373"/>
      <c r="B46" s="370" t="s">
        <v>113</v>
      </c>
      <c r="C46" s="99">
        <f>CEILING(SUM(C33:C45), 1)</f>
        <v>19</v>
      </c>
      <c r="D46" s="372"/>
      <c r="E46" s="76"/>
      <c r="F46" s="70"/>
      <c r="G46" s="70"/>
      <c r="H46" s="70"/>
      <c r="I46" s="71"/>
      <c r="J46" s="71"/>
      <c r="K46" s="71"/>
      <c r="L46" s="71"/>
    </row>
    <row r="47" spans="1:12" ht="13" x14ac:dyDescent="0.15">
      <c r="A47" s="372"/>
      <c r="B47" s="370"/>
      <c r="C47" s="100">
        <f>C46*Параметры!$B$2</f>
        <v>577600</v>
      </c>
      <c r="D47" s="372"/>
      <c r="E47" s="76"/>
      <c r="F47" s="70"/>
      <c r="G47" s="70"/>
      <c r="H47" s="70"/>
      <c r="I47" s="71"/>
      <c r="J47" s="71"/>
      <c r="K47" s="71"/>
      <c r="L47" s="71"/>
    </row>
    <row r="48" spans="1:12" ht="13" x14ac:dyDescent="0.15">
      <c r="A48" s="372"/>
      <c r="B48" s="106" t="s">
        <v>155</v>
      </c>
      <c r="C48" s="99" t="s">
        <v>98</v>
      </c>
      <c r="D48" s="372"/>
      <c r="E48" s="9"/>
      <c r="F48" s="74" t="s">
        <v>99</v>
      </c>
      <c r="G48" s="74" t="s">
        <v>100</v>
      </c>
      <c r="H48" s="74" t="s">
        <v>133</v>
      </c>
      <c r="I48" s="71"/>
      <c r="J48" s="71"/>
      <c r="K48" s="71"/>
      <c r="L48" s="71"/>
    </row>
    <row r="49" spans="1:12" ht="13" x14ac:dyDescent="0.15">
      <c r="A49" s="372"/>
      <c r="B49" s="103" t="s">
        <v>103</v>
      </c>
      <c r="C49" s="107">
        <f>CEILING(F49*(1+G49*(E$13*E$5*E$6*E$9*E$15*E$16+E$12+E$14))*(E$3*E$4), 0.1)</f>
        <v>0.4</v>
      </c>
      <c r="D49" s="372"/>
      <c r="E49" s="9"/>
      <c r="F49" s="70">
        <v>0.3</v>
      </c>
      <c r="G49" s="70">
        <v>0.11</v>
      </c>
      <c r="H49" s="70">
        <v>1</v>
      </c>
      <c r="I49" s="71"/>
      <c r="J49" s="71"/>
      <c r="K49" s="71"/>
      <c r="L49" s="71"/>
    </row>
    <row r="50" spans="1:12" ht="13" x14ac:dyDescent="0.15">
      <c r="A50" s="372"/>
      <c r="B50" s="103" t="s">
        <v>157</v>
      </c>
      <c r="C50" s="107">
        <f>CEILING(F50*(1+G50*(E$13*E$3*E$5*E$6*E$15*E$16+E$14))*E$4, 0.1)</f>
        <v>3.9000000000000004</v>
      </c>
      <c r="D50" s="372"/>
      <c r="E50" s="9"/>
      <c r="F50" s="70">
        <v>3</v>
      </c>
      <c r="G50" s="70">
        <v>0.15</v>
      </c>
      <c r="H50" s="70">
        <v>4</v>
      </c>
      <c r="I50" s="71"/>
      <c r="J50" s="71"/>
      <c r="K50" s="71"/>
      <c r="L50" s="71"/>
    </row>
    <row r="51" spans="1:12" ht="13" x14ac:dyDescent="0.15">
      <c r="A51" s="372"/>
      <c r="B51" s="103" t="s">
        <v>126</v>
      </c>
      <c r="C51" s="107">
        <f>CEILING(F51*(1+G51*(E$13*E$3*E$5*E$6*E$15*E$16+E$14))*E$4, 0.1)</f>
        <v>0.30000000000000004</v>
      </c>
      <c r="D51" s="372"/>
      <c r="E51" s="9"/>
      <c r="F51" s="70">
        <v>0.2</v>
      </c>
      <c r="G51" s="70">
        <v>0.15</v>
      </c>
      <c r="H51" s="70">
        <v>1</v>
      </c>
      <c r="I51" s="71"/>
      <c r="J51" s="71"/>
      <c r="K51" s="71"/>
      <c r="L51" s="71"/>
    </row>
    <row r="52" spans="1:12" ht="13" x14ac:dyDescent="0.15">
      <c r="A52" s="372"/>
      <c r="B52" s="370" t="s">
        <v>113</v>
      </c>
      <c r="C52" s="99">
        <f>CEILING(SUM(C49:C51), 1)</f>
        <v>5</v>
      </c>
      <c r="D52" s="372"/>
      <c r="E52" s="76"/>
      <c r="F52" s="70"/>
      <c r="G52" s="70"/>
      <c r="H52" s="70"/>
      <c r="I52" s="71"/>
      <c r="J52" s="71"/>
      <c r="K52" s="71"/>
      <c r="L52" s="71"/>
    </row>
    <row r="53" spans="1:12" ht="13" x14ac:dyDescent="0.15">
      <c r="A53" s="372"/>
      <c r="B53" s="370"/>
      <c r="C53" s="100">
        <f>C52*Параметры!$B$2</f>
        <v>152000</v>
      </c>
      <c r="D53" s="372"/>
      <c r="E53" s="76"/>
      <c r="F53" s="70"/>
      <c r="G53" s="70"/>
      <c r="H53" s="70"/>
      <c r="I53" s="71"/>
      <c r="J53" s="71"/>
      <c r="K53" s="71"/>
      <c r="L53" s="71"/>
    </row>
    <row r="54" spans="1:12" ht="24" x14ac:dyDescent="0.15">
      <c r="A54" s="99"/>
      <c r="B54" s="101" t="s">
        <v>165</v>
      </c>
      <c r="C54" s="99" t="s">
        <v>98</v>
      </c>
      <c r="D54" s="99"/>
      <c r="E54" s="76"/>
      <c r="F54" s="70"/>
      <c r="G54" s="70"/>
      <c r="H54" s="70"/>
      <c r="I54" s="71"/>
      <c r="J54" s="71"/>
      <c r="K54" s="71"/>
      <c r="L54" s="71"/>
    </row>
    <row r="55" spans="1:12" ht="13" x14ac:dyDescent="0.15">
      <c r="A55" s="99"/>
      <c r="B55" s="375" t="s">
        <v>167</v>
      </c>
      <c r="C55" s="375"/>
      <c r="D55" s="99"/>
      <c r="E55" s="76"/>
      <c r="F55" s="70"/>
      <c r="G55" s="70"/>
      <c r="H55" s="70"/>
      <c r="I55" s="71"/>
      <c r="J55" s="71"/>
      <c r="K55" s="71"/>
      <c r="L55" s="71"/>
    </row>
    <row r="56" spans="1:12" ht="13" x14ac:dyDescent="0.15">
      <c r="A56" s="99"/>
      <c r="B56" s="108" t="s">
        <v>169</v>
      </c>
      <c r="C56" s="104" t="s">
        <v>170</v>
      </c>
      <c r="D56" s="99"/>
      <c r="E56" s="76"/>
      <c r="F56" s="70"/>
      <c r="G56" s="70"/>
      <c r="H56" s="70"/>
      <c r="I56" s="71"/>
      <c r="J56" s="71"/>
      <c r="K56" s="71"/>
      <c r="L56" s="71"/>
    </row>
    <row r="57" spans="1:12" ht="24" x14ac:dyDescent="0.15">
      <c r="A57" s="99"/>
      <c r="B57" s="108" t="s">
        <v>171</v>
      </c>
      <c r="C57" s="109" t="s">
        <v>172</v>
      </c>
      <c r="D57" s="99"/>
      <c r="E57" s="76"/>
      <c r="F57" s="70"/>
      <c r="G57" s="70"/>
      <c r="H57" s="70"/>
      <c r="I57" s="71"/>
      <c r="J57" s="71"/>
      <c r="K57" s="71"/>
      <c r="L57" s="71"/>
    </row>
    <row r="58" spans="1:12" ht="36" x14ac:dyDescent="0.15">
      <c r="A58" s="99"/>
      <c r="B58" s="108" t="s">
        <v>173</v>
      </c>
      <c r="C58" s="109" t="s">
        <v>174</v>
      </c>
      <c r="D58" s="99"/>
      <c r="E58" s="76"/>
      <c r="F58" s="70"/>
      <c r="G58" s="70"/>
      <c r="H58" s="70"/>
      <c r="I58" s="71"/>
      <c r="J58" s="71"/>
      <c r="K58" s="71"/>
      <c r="L58" s="71"/>
    </row>
    <row r="59" spans="1:12" ht="13" x14ac:dyDescent="0.15">
      <c r="A59" s="99"/>
      <c r="B59" s="371" t="s">
        <v>113</v>
      </c>
      <c r="C59" s="110" t="s">
        <v>175</v>
      </c>
      <c r="D59" s="99"/>
      <c r="E59" s="76"/>
      <c r="F59" s="70"/>
      <c r="G59" s="70"/>
      <c r="H59" s="70"/>
      <c r="I59" s="71"/>
      <c r="J59" s="71"/>
      <c r="K59" s="71"/>
      <c r="L59" s="71"/>
    </row>
    <row r="60" spans="1:12" ht="13" x14ac:dyDescent="0.15">
      <c r="A60" s="99"/>
      <c r="B60" s="371"/>
      <c r="C60" s="111" t="s">
        <v>175</v>
      </c>
      <c r="D60" s="99"/>
      <c r="E60" s="76"/>
      <c r="F60" s="70"/>
      <c r="G60" s="70"/>
      <c r="H60" s="70"/>
      <c r="I60" s="71"/>
      <c r="J60" s="71"/>
      <c r="K60" s="71"/>
      <c r="L60" s="71"/>
    </row>
  </sheetData>
  <mergeCells count="9">
    <mergeCell ref="B52:B53"/>
    <mergeCell ref="B59:B60"/>
    <mergeCell ref="A1:A53"/>
    <mergeCell ref="B1:C1"/>
    <mergeCell ref="D1:D53"/>
    <mergeCell ref="B17:B18"/>
    <mergeCell ref="B30:B31"/>
    <mergeCell ref="B46:B47"/>
    <mergeCell ref="B55:C55"/>
  </mergeCells>
  <dataValidations count="8">
    <dataValidation type="list" allowBlank="1" showErrorMessage="1" sqref="C6" xr:uid="{00000000-0002-0000-0400-000000000000}">
      <formula1>"Неизвестно,Точечное,Малое,Среднее,Крупное,Большое,Масштабное"</formula1>
    </dataValidation>
    <dataValidation type="list" allowBlank="1" showErrorMessage="1" sqref="C9" xr:uid="{00000000-0002-0000-0400-000001000000}">
      <formula1>"Неизвестно,Непосредственно,Опосредованно"</formula1>
    </dataValidation>
    <dataValidation type="list" allowBlank="1" showErrorMessage="1" sqref="C4" xr:uid="{00000000-0002-0000-0400-000002000000}">
      <formula1>"Неизвестно,Доработка,Новое"</formula1>
    </dataValidation>
    <dataValidation type="list" allowBlank="1" showErrorMessage="1" sqref="C8 C11:C12" xr:uid="{00000000-0002-0000-0400-000003000000}">
      <formula1>"Неизвестно,Да,Нет"</formula1>
    </dataValidation>
    <dataValidation type="list" allowBlank="1" showErrorMessage="1" sqref="C7" xr:uid="{00000000-0002-0000-0400-000004000000}">
      <formula1>"Неизвестно,Высокая,Средняя,Низкая"</formula1>
    </dataValidation>
    <dataValidation type="list" allowBlank="1" showErrorMessage="1" sqref="C3" xr:uid="{00000000-0002-0000-0400-000005000000}">
      <formula1>"Нет,Да"</formula1>
    </dataValidation>
    <dataValidation type="list" allowBlank="1" showErrorMessage="1" sqref="C10 C14:C16" xr:uid="{00000000-0002-0000-0400-000006000000}">
      <formula1>"Неизвестно,Нет,Да"</formula1>
    </dataValidation>
    <dataValidation type="list" allowBlank="1" showErrorMessage="1" sqref="C5 C13" xr:uid="{00000000-0002-0000-0400-000007000000}">
      <formula1>"Неизвестно,Низкая,Средняя,Высокая"</formula1>
    </dataValidation>
  </dataValidations>
  <pageMargins left="0.25" right="0.25" top="0.75" bottom="0.75" header="0" footer="0"/>
  <pageSetup paperSize="9" fitToWidth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4"/>
  <sheetViews>
    <sheetView workbookViewId="0">
      <selection activeCell="B3" sqref="B3:B9"/>
    </sheetView>
  </sheetViews>
  <sheetFormatPr baseColWidth="10" defaultColWidth="12.5" defaultRowHeight="15.75" customHeight="1" outlineLevelCol="1" x14ac:dyDescent="0.15"/>
  <cols>
    <col min="1" max="1" width="3" customWidth="1"/>
    <col min="2" max="2" width="77.6640625" customWidth="1"/>
    <col min="3" max="3" width="18.5" customWidth="1"/>
    <col min="4" max="4" width="3.6640625" customWidth="1"/>
    <col min="5" max="12" width="12.5" bestFit="1" customWidth="1" outlineLevel="1"/>
  </cols>
  <sheetData>
    <row r="1" spans="1:12" ht="13" x14ac:dyDescent="0.15">
      <c r="A1" s="376"/>
      <c r="B1" s="377" t="s">
        <v>194</v>
      </c>
      <c r="C1" s="377"/>
      <c r="D1" s="376"/>
      <c r="E1" s="55"/>
      <c r="F1" s="55"/>
      <c r="G1" s="55"/>
      <c r="H1" s="55"/>
      <c r="I1" s="55"/>
      <c r="J1" s="55"/>
      <c r="K1" s="55"/>
      <c r="L1" s="55"/>
    </row>
    <row r="2" spans="1:12" ht="13" x14ac:dyDescent="0.15">
      <c r="A2" s="374"/>
      <c r="B2" s="123" t="s">
        <v>78</v>
      </c>
      <c r="C2" s="123" t="s">
        <v>79</v>
      </c>
      <c r="D2" s="374"/>
      <c r="E2" s="125" t="s">
        <v>80</v>
      </c>
      <c r="F2" s="124" t="s">
        <v>81</v>
      </c>
      <c r="G2" s="124" t="s">
        <v>82</v>
      </c>
      <c r="H2" s="124" t="s">
        <v>83</v>
      </c>
      <c r="I2" s="124" t="s">
        <v>84</v>
      </c>
      <c r="J2" s="124" t="s">
        <v>85</v>
      </c>
      <c r="K2" s="124" t="s">
        <v>86</v>
      </c>
      <c r="L2" s="124" t="s">
        <v>87</v>
      </c>
    </row>
    <row r="3" spans="1:12" ht="13" x14ac:dyDescent="0.15">
      <c r="A3" s="374"/>
      <c r="B3" s="56" t="s">
        <v>118</v>
      </c>
      <c r="C3" s="115" t="s">
        <v>89</v>
      </c>
      <c r="D3" s="374"/>
      <c r="E3" s="117">
        <f>IF(C3="Нет", G3, IF(C3="Да", H3, ""))</f>
        <v>1</v>
      </c>
      <c r="F3" s="55"/>
      <c r="G3" s="118">
        <v>1</v>
      </c>
      <c r="H3" s="118">
        <v>0.75</v>
      </c>
      <c r="I3" s="55"/>
      <c r="J3" s="55"/>
      <c r="K3" s="55"/>
      <c r="L3" s="55"/>
    </row>
    <row r="4" spans="1:12" ht="13" x14ac:dyDescent="0.15">
      <c r="A4" s="374"/>
      <c r="B4" s="56" t="s">
        <v>154</v>
      </c>
      <c r="C4" s="115" t="s">
        <v>95</v>
      </c>
      <c r="D4" s="374"/>
      <c r="E4" s="117">
        <f>IF(C4="Неизвестно", F4, IF(C4="Доработка", G4, IF(C4="Новое", H4, "")))</f>
        <v>1</v>
      </c>
      <c r="F4" s="118">
        <v>1</v>
      </c>
      <c r="G4" s="118">
        <v>0.75</v>
      </c>
      <c r="H4" s="118">
        <v>1.1000000000000001</v>
      </c>
      <c r="I4" s="55"/>
      <c r="J4" s="55"/>
      <c r="K4" s="55"/>
      <c r="L4" s="55"/>
    </row>
    <row r="5" spans="1:12" ht="13" x14ac:dyDescent="0.15">
      <c r="A5" s="374"/>
      <c r="B5" s="120" t="s">
        <v>186</v>
      </c>
      <c r="C5" s="115" t="s">
        <v>91</v>
      </c>
      <c r="D5" s="374"/>
      <c r="E5" s="121">
        <f>IF(C5="Неизвестно", F5, IF(C5="Низкая", G5, IF(C5="Средняя", H5, IF(C5="Высокая", I5, ""))))</f>
        <v>1</v>
      </c>
      <c r="F5" s="118">
        <v>1.25</v>
      </c>
      <c r="G5" s="118">
        <v>0.75</v>
      </c>
      <c r="H5" s="118">
        <v>1</v>
      </c>
      <c r="I5" s="118">
        <v>1.5</v>
      </c>
      <c r="J5" s="55"/>
      <c r="K5" s="55"/>
      <c r="L5" s="55"/>
    </row>
    <row r="6" spans="1:12" ht="46.25" customHeight="1" x14ac:dyDescent="0.15">
      <c r="A6" s="374"/>
      <c r="B6" s="57" t="s">
        <v>116</v>
      </c>
      <c r="C6" s="115" t="s">
        <v>93</v>
      </c>
      <c r="D6" s="374"/>
      <c r="E6" s="117">
        <f>IF(C6="Неизвестно", F6, IF(C6="Точечное", G6, IF(C6="Малое", H6, IF(C6="Среднее", I6, IF(C6="Крупное", J6, IF(C6="Большое", K6, IF(C6="Масштабное", L6, "")))))))</f>
        <v>1</v>
      </c>
      <c r="F6" s="118">
        <v>1.25</v>
      </c>
      <c r="G6" s="118">
        <v>0.5</v>
      </c>
      <c r="H6" s="118">
        <v>0.75</v>
      </c>
      <c r="I6" s="118">
        <v>1</v>
      </c>
      <c r="J6" s="118">
        <v>1.25</v>
      </c>
      <c r="K6" s="118">
        <v>1.5</v>
      </c>
      <c r="L6" s="118">
        <v>1.75</v>
      </c>
    </row>
    <row r="7" spans="1:12" ht="13" x14ac:dyDescent="0.15">
      <c r="A7" s="374"/>
      <c r="B7" s="56" t="s">
        <v>94</v>
      </c>
      <c r="C7" s="115" t="s">
        <v>95</v>
      </c>
      <c r="D7" s="374"/>
      <c r="E7" s="117">
        <f>IF(C7="Неизвестно", F7, IF(C7="Низкая", G7, IF(C7="Средняя", H7, IF(C7="Высокая", I7, ""))))</f>
        <v>1</v>
      </c>
      <c r="F7" s="118">
        <v>1</v>
      </c>
      <c r="G7" s="118">
        <v>1.5</v>
      </c>
      <c r="H7" s="118">
        <v>1.25</v>
      </c>
      <c r="I7" s="118">
        <v>0.75</v>
      </c>
      <c r="J7" s="55"/>
      <c r="K7" s="55"/>
      <c r="L7" s="55"/>
    </row>
    <row r="8" spans="1:12" ht="13" x14ac:dyDescent="0.15">
      <c r="A8" s="374"/>
      <c r="B8" s="56" t="s">
        <v>159</v>
      </c>
      <c r="C8" s="115" t="s">
        <v>95</v>
      </c>
      <c r="D8" s="374"/>
      <c r="E8" s="117">
        <f>IF(C8="Неизвестно", F8, IF(C8="Да", G8, IF(C8="Нет", H8, "")))</f>
        <v>1</v>
      </c>
      <c r="F8" s="118">
        <v>1</v>
      </c>
      <c r="G8" s="118">
        <v>0.9</v>
      </c>
      <c r="H8" s="118">
        <v>1.1000000000000001</v>
      </c>
      <c r="I8" s="55"/>
      <c r="J8" s="55"/>
      <c r="K8" s="55"/>
      <c r="L8" s="55"/>
    </row>
    <row r="9" spans="1:12" ht="13" x14ac:dyDescent="0.15">
      <c r="A9" s="374"/>
      <c r="B9" s="56" t="s">
        <v>185</v>
      </c>
      <c r="C9" s="115" t="s">
        <v>95</v>
      </c>
      <c r="D9" s="374"/>
      <c r="E9" s="117">
        <f>IF(C9="Неизвестно", F9, IF(C9="Непосредственно", G9, IF(C9="Опосредованно", H9, "")))</f>
        <v>1</v>
      </c>
      <c r="F9" s="118">
        <v>1</v>
      </c>
      <c r="G9" s="118">
        <v>0.8</v>
      </c>
      <c r="H9" s="118">
        <v>1.2</v>
      </c>
      <c r="I9" s="55"/>
      <c r="J9" s="55"/>
      <c r="K9" s="55"/>
      <c r="L9" s="55"/>
    </row>
    <row r="10" spans="1:12" ht="13" x14ac:dyDescent="0.15">
      <c r="A10" s="374"/>
      <c r="B10" s="122" t="s">
        <v>188</v>
      </c>
      <c r="C10" s="123" t="s">
        <v>98</v>
      </c>
      <c r="D10" s="374"/>
      <c r="E10" s="55"/>
      <c r="F10" s="124" t="s">
        <v>99</v>
      </c>
      <c r="G10" s="124" t="s">
        <v>100</v>
      </c>
      <c r="H10" s="55"/>
      <c r="I10" s="55"/>
      <c r="J10" s="55"/>
      <c r="K10" s="55"/>
      <c r="L10" s="55"/>
    </row>
    <row r="11" spans="1:12" ht="13" x14ac:dyDescent="0.15">
      <c r="A11" s="374"/>
      <c r="B11" s="60" t="s">
        <v>101</v>
      </c>
      <c r="C11" s="119">
        <f>CEILING(F11*(1+G11*(E$5*E$6*E$7*E$8*E$9))*(E$3*E$4), 0.1)</f>
        <v>0.70000000000000007</v>
      </c>
      <c r="D11" s="374"/>
      <c r="E11" s="55"/>
      <c r="F11" s="118">
        <v>0.5</v>
      </c>
      <c r="G11" s="118">
        <v>0.248</v>
      </c>
      <c r="H11" s="55"/>
      <c r="I11" s="55"/>
      <c r="J11" s="55"/>
      <c r="K11" s="55"/>
      <c r="L11" s="55"/>
    </row>
    <row r="12" spans="1:12" ht="13" x14ac:dyDescent="0.15">
      <c r="A12" s="374"/>
      <c r="B12" s="116" t="s">
        <v>103</v>
      </c>
      <c r="C12" s="119">
        <f>CEILING(F12*(1+G12*(E$3*E$4*E$5*E$7*E$8*E$9))*E$6, 0.1)</f>
        <v>1.1000000000000001</v>
      </c>
      <c r="D12" s="374"/>
      <c r="E12" s="55"/>
      <c r="F12" s="118">
        <v>1</v>
      </c>
      <c r="G12" s="118">
        <v>0.01</v>
      </c>
      <c r="H12" s="55"/>
      <c r="I12" s="55"/>
      <c r="J12" s="55"/>
      <c r="K12" s="55"/>
      <c r="L12" s="55"/>
    </row>
    <row r="13" spans="1:12" ht="13" x14ac:dyDescent="0.15">
      <c r="A13" s="374"/>
      <c r="B13" s="116" t="s">
        <v>105</v>
      </c>
      <c r="C13" s="119">
        <f>CEILING(F13*(1+G13*(E$6*E$7*E$8*E$9))*(E$3*E$4*E$5), 0.1)</f>
        <v>1.1000000000000001</v>
      </c>
      <c r="D13" s="374"/>
      <c r="E13" s="55"/>
      <c r="F13" s="118">
        <v>1</v>
      </c>
      <c r="G13" s="118">
        <v>0.08</v>
      </c>
      <c r="H13" s="55"/>
      <c r="I13" s="55"/>
      <c r="J13" s="55"/>
      <c r="K13" s="55"/>
      <c r="L13" s="55"/>
    </row>
    <row r="14" spans="1:12" ht="13" x14ac:dyDescent="0.15">
      <c r="A14" s="374"/>
      <c r="B14" s="116" t="s">
        <v>179</v>
      </c>
      <c r="C14" s="119">
        <f>CEILING(F14*(1+G14*E$3)*(E$6*E$4*E$5), 0.1)</f>
        <v>1.2000000000000002</v>
      </c>
      <c r="D14" s="374"/>
      <c r="E14" s="55"/>
      <c r="F14" s="118">
        <v>1</v>
      </c>
      <c r="G14" s="118">
        <v>0.15</v>
      </c>
      <c r="H14" s="55"/>
      <c r="I14" s="55"/>
      <c r="J14" s="55"/>
      <c r="K14" s="55"/>
      <c r="L14" s="55"/>
    </row>
    <row r="15" spans="1:12" ht="13" x14ac:dyDescent="0.15">
      <c r="A15" s="374"/>
      <c r="B15" s="116" t="s">
        <v>187</v>
      </c>
      <c r="C15" s="119">
        <f>CEILING(F15*(1+G15*(E$3*E$6*E$8*E$9))*(E$4*E$5), 0.1)</f>
        <v>1.3</v>
      </c>
      <c r="D15" s="374"/>
      <c r="E15" s="55"/>
      <c r="F15" s="118">
        <v>1</v>
      </c>
      <c r="G15" s="118">
        <v>0.25</v>
      </c>
      <c r="H15" s="55"/>
      <c r="I15" s="55"/>
      <c r="J15" s="55"/>
      <c r="K15" s="55"/>
      <c r="L15" s="55"/>
    </row>
    <row r="16" spans="1:12" ht="13" x14ac:dyDescent="0.15">
      <c r="A16" s="374"/>
      <c r="B16" s="116" t="s">
        <v>189</v>
      </c>
      <c r="C16" s="119">
        <f>CEILING(F16*(1+G16*(E$3*E$6))*(E$4*E$5), 0.1)</f>
        <v>0.70000000000000007</v>
      </c>
      <c r="D16" s="374"/>
      <c r="E16" s="55"/>
      <c r="F16" s="118">
        <v>0.5</v>
      </c>
      <c r="G16" s="118">
        <v>0.32200000000000001</v>
      </c>
      <c r="H16" s="55"/>
      <c r="I16" s="55"/>
      <c r="J16" s="55"/>
      <c r="K16" s="55"/>
      <c r="L16" s="55"/>
    </row>
    <row r="17" spans="1:12" ht="13" x14ac:dyDescent="0.15">
      <c r="A17" s="374"/>
      <c r="B17" s="116" t="s">
        <v>126</v>
      </c>
      <c r="C17" s="119">
        <f>CEILING(F17*(1+G17*(E$3*E$6*E$9))*E$4, 0.1)</f>
        <v>0.9</v>
      </c>
      <c r="D17" s="374"/>
      <c r="E17" s="55"/>
      <c r="F17" s="118">
        <v>0.5</v>
      </c>
      <c r="G17" s="118">
        <v>0.8</v>
      </c>
      <c r="H17" s="55"/>
      <c r="I17" s="55"/>
      <c r="J17" s="55"/>
      <c r="K17" s="55"/>
      <c r="L17" s="55"/>
    </row>
    <row r="18" spans="1:12" ht="13" x14ac:dyDescent="0.15">
      <c r="A18" s="374"/>
      <c r="B18" s="370" t="s">
        <v>113</v>
      </c>
      <c r="C18" s="123">
        <f>CEILING(SUM(C11:C17), 1)</f>
        <v>7</v>
      </c>
      <c r="D18" s="374"/>
      <c r="E18" s="55"/>
      <c r="F18" s="55"/>
      <c r="G18" s="55"/>
      <c r="H18" s="55"/>
      <c r="I18" s="55"/>
      <c r="J18" s="55"/>
      <c r="K18" s="55"/>
      <c r="L18" s="55"/>
    </row>
    <row r="19" spans="1:12" ht="13" x14ac:dyDescent="0.15">
      <c r="A19" s="374"/>
      <c r="B19" s="370"/>
      <c r="C19" s="126">
        <f>C18*Параметры!$B$2</f>
        <v>212800</v>
      </c>
      <c r="D19" s="374"/>
      <c r="E19" s="55"/>
      <c r="F19" s="55"/>
      <c r="G19" s="55"/>
      <c r="H19" s="55"/>
      <c r="I19" s="55"/>
      <c r="J19" s="55"/>
      <c r="K19" s="55"/>
      <c r="L19" s="55"/>
    </row>
    <row r="20" spans="1:12" ht="34.75" customHeight="1" x14ac:dyDescent="0.15">
      <c r="A20" s="374"/>
      <c r="B20" s="129" t="s">
        <v>192</v>
      </c>
      <c r="C20" s="123" t="s">
        <v>98</v>
      </c>
      <c r="D20" s="374"/>
      <c r="E20" s="55"/>
      <c r="F20" s="55"/>
      <c r="G20" s="55"/>
      <c r="H20" s="55"/>
      <c r="I20" s="55"/>
      <c r="J20" s="55"/>
      <c r="K20" s="55"/>
      <c r="L20" s="55"/>
    </row>
    <row r="21" spans="1:12" ht="57.5" customHeight="1" x14ac:dyDescent="0.15">
      <c r="A21" s="374"/>
      <c r="B21" s="378" t="s">
        <v>193</v>
      </c>
      <c r="C21" s="378"/>
      <c r="D21" s="374"/>
      <c r="E21" s="55"/>
      <c r="F21" s="55"/>
      <c r="G21" s="55"/>
      <c r="H21" s="55"/>
      <c r="I21" s="55"/>
      <c r="J21" s="55"/>
      <c r="K21" s="55"/>
      <c r="L21" s="55"/>
    </row>
    <row r="22" spans="1:12" ht="24.5" customHeight="1" x14ac:dyDescent="0.15">
      <c r="A22" s="374"/>
      <c r="B22" s="127" t="s">
        <v>190</v>
      </c>
      <c r="C22" s="128" t="s">
        <v>191</v>
      </c>
      <c r="D22" s="374"/>
      <c r="E22" s="55"/>
      <c r="F22" s="55"/>
      <c r="G22" s="55"/>
      <c r="H22" s="55"/>
      <c r="I22" s="55"/>
      <c r="J22" s="55"/>
      <c r="K22" s="55"/>
      <c r="L22" s="55"/>
    </row>
    <row r="23" spans="1:12" ht="27.5" customHeight="1" x14ac:dyDescent="0.15">
      <c r="A23" s="374"/>
      <c r="B23" s="370" t="s">
        <v>113</v>
      </c>
      <c r="C23" s="130" t="s">
        <v>175</v>
      </c>
      <c r="D23" s="374"/>
      <c r="E23" s="55"/>
      <c r="F23" s="55"/>
      <c r="G23" s="55"/>
      <c r="H23" s="55"/>
      <c r="I23" s="55"/>
      <c r="J23" s="55"/>
      <c r="K23" s="55"/>
      <c r="L23" s="55"/>
    </row>
    <row r="24" spans="1:12" ht="13" x14ac:dyDescent="0.15">
      <c r="A24" s="374"/>
      <c r="B24" s="370"/>
      <c r="C24" s="131" t="s">
        <v>175</v>
      </c>
      <c r="D24" s="376"/>
      <c r="E24" s="55"/>
      <c r="F24" s="55"/>
      <c r="G24" s="55"/>
      <c r="H24" s="55"/>
      <c r="I24" s="55"/>
      <c r="J24" s="55"/>
      <c r="K24" s="55"/>
      <c r="L24" s="55"/>
    </row>
  </sheetData>
  <mergeCells count="6">
    <mergeCell ref="A1:A24"/>
    <mergeCell ref="B1:C1"/>
    <mergeCell ref="D1:D24"/>
    <mergeCell ref="B18:B19"/>
    <mergeCell ref="B21:C21"/>
    <mergeCell ref="B23:B24"/>
  </mergeCells>
  <dataValidations count="7">
    <dataValidation type="list" allowBlank="1" showErrorMessage="1" sqref="C8" xr:uid="{00000000-0002-0000-0500-000000000000}">
      <formula1>"Неизвестно,Да,Нет"</formula1>
    </dataValidation>
    <dataValidation type="list" allowBlank="1" showErrorMessage="1" sqref="C7" xr:uid="{00000000-0002-0000-0500-000001000000}">
      <formula1>"Неизвестно,Высокая,Средняя,Низкая"</formula1>
    </dataValidation>
    <dataValidation type="list" allowBlank="1" showErrorMessage="1" sqref="C5" xr:uid="{00000000-0002-0000-0500-000002000000}">
      <formula1>"Неизвестно,Низкая,Средняя,Высокая"</formula1>
    </dataValidation>
    <dataValidation type="list" allowBlank="1" showErrorMessage="1" sqref="C3" xr:uid="{00000000-0002-0000-0500-000003000000}">
      <formula1>"Нет,Да"</formula1>
    </dataValidation>
    <dataValidation type="list" allowBlank="1" showErrorMessage="1" sqref="C6" xr:uid="{00000000-0002-0000-0500-000004000000}">
      <formula1>"Неизвестно,Точечное,Малое,Среднее,Крупное,Большое,Масштабное"</formula1>
    </dataValidation>
    <dataValidation type="list" allowBlank="1" showErrorMessage="1" sqref="C4" xr:uid="{00000000-0002-0000-0500-000005000000}">
      <formula1>"Неизвестно,Доработка,Новое"</formula1>
    </dataValidation>
    <dataValidation type="list" allowBlank="1" showErrorMessage="1" sqref="C9" xr:uid="{00000000-0002-0000-0500-000006000000}">
      <formula1>"Неизвестно,Непосредственно,Опосредованно"</formula1>
    </dataValidation>
  </dataValidations>
  <pageMargins left="0.70000004768371582" right="0.70000004768371582" top="0.75" bottom="0.75" header="0.30000001192092896" footer="0.300000011920928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L13"/>
  <sheetViews>
    <sheetView workbookViewId="0">
      <selection activeCell="B30" sqref="B30"/>
    </sheetView>
  </sheetViews>
  <sheetFormatPr baseColWidth="10" defaultColWidth="12.5" defaultRowHeight="15.75" customHeight="1" outlineLevelCol="1" x14ac:dyDescent="0.15"/>
  <cols>
    <col min="1" max="1" width="3.33203125" customWidth="1"/>
    <col min="2" max="2" width="61.5" customWidth="1"/>
    <col min="3" max="3" width="16" customWidth="1"/>
    <col min="4" max="4" width="3.1640625" customWidth="1"/>
    <col min="5" max="6" width="12.5" customWidth="1" outlineLevel="1"/>
    <col min="7" max="7" width="11.6640625" customWidth="1" outlineLevel="1"/>
    <col min="8" max="8" width="9" customWidth="1" outlineLevel="1"/>
    <col min="9" max="12" width="12.5" bestFit="1" customWidth="1" outlineLevel="1"/>
  </cols>
  <sheetData>
    <row r="1" spans="1:12" ht="15.75" customHeight="1" x14ac:dyDescent="0.15">
      <c r="A1" s="362"/>
      <c r="B1" s="362" t="s">
        <v>205</v>
      </c>
      <c r="C1" s="362"/>
      <c r="D1" s="362"/>
      <c r="E1" s="47"/>
      <c r="F1" s="48"/>
      <c r="G1" s="49"/>
      <c r="H1" s="49"/>
      <c r="I1" s="49"/>
      <c r="J1" s="49"/>
      <c r="K1" s="49"/>
      <c r="L1" s="49"/>
    </row>
    <row r="2" spans="1:12" ht="15.75" customHeight="1" x14ac:dyDescent="0.15">
      <c r="A2" s="379"/>
      <c r="B2" s="46" t="s">
        <v>78</v>
      </c>
      <c r="C2" s="46" t="s">
        <v>79</v>
      </c>
      <c r="D2" s="379"/>
      <c r="E2" s="47" t="s">
        <v>80</v>
      </c>
      <c r="F2" s="50" t="s">
        <v>81</v>
      </c>
      <c r="G2" s="50" t="s">
        <v>82</v>
      </c>
      <c r="H2" s="50" t="s">
        <v>83</v>
      </c>
      <c r="I2" s="50" t="s">
        <v>84</v>
      </c>
      <c r="J2" s="50" t="s">
        <v>85</v>
      </c>
      <c r="K2" s="50" t="s">
        <v>86</v>
      </c>
      <c r="L2" s="50" t="s">
        <v>87</v>
      </c>
    </row>
    <row r="3" spans="1:12" ht="15.75" customHeight="1" x14ac:dyDescent="0.15">
      <c r="A3" s="379"/>
      <c r="B3" s="132" t="s">
        <v>198</v>
      </c>
      <c r="C3" s="52" t="s">
        <v>93</v>
      </c>
      <c r="D3" s="379"/>
      <c r="E3" s="53">
        <f>IF(C3="Неизвестно", F3, IF(C3="Точечное", G3, IF(C3="Малое", H3, IF(C3="Среднее", I3, IF(C3="Крупное", J3, IF(C3="Большое", K3, IF(C3="Масштабное", L3, "")))))))</f>
        <v>1</v>
      </c>
      <c r="F3" s="54">
        <v>1.25</v>
      </c>
      <c r="G3" s="54">
        <v>0.5</v>
      </c>
      <c r="H3" s="54">
        <v>0.75</v>
      </c>
      <c r="I3" s="54">
        <v>1</v>
      </c>
      <c r="J3" s="54">
        <v>1.25</v>
      </c>
      <c r="K3" s="54">
        <v>1.5</v>
      </c>
      <c r="L3" s="54">
        <v>1.75</v>
      </c>
    </row>
    <row r="4" spans="1:12" ht="15.75" customHeight="1" x14ac:dyDescent="0.15">
      <c r="A4" s="379"/>
      <c r="B4" s="51" t="s">
        <v>195</v>
      </c>
      <c r="C4" s="52" t="s">
        <v>197</v>
      </c>
      <c r="D4" s="379"/>
      <c r="E4" s="53">
        <f>IF(C4="Неизвестно", F4, IF(C4="Да", G4, IF(C4="Нет", H4, "")))</f>
        <v>1</v>
      </c>
      <c r="F4" s="54">
        <v>1</v>
      </c>
      <c r="G4" s="54">
        <v>1</v>
      </c>
      <c r="H4" s="54">
        <v>0</v>
      </c>
      <c r="I4" s="55"/>
      <c r="J4" s="55"/>
      <c r="K4" s="55"/>
      <c r="L4" s="55"/>
    </row>
    <row r="5" spans="1:12" ht="15.75" customHeight="1" x14ac:dyDescent="0.15">
      <c r="A5" s="379"/>
      <c r="B5" s="51" t="s">
        <v>199</v>
      </c>
      <c r="C5" s="52" t="s">
        <v>197</v>
      </c>
      <c r="D5" s="379"/>
      <c r="E5" s="53">
        <f>IF(C5="Неизвестно", F5, IF(C5="Да", G5, IF(C5="Нет", H5, "")))</f>
        <v>1</v>
      </c>
      <c r="F5" s="54">
        <v>1</v>
      </c>
      <c r="G5" s="54">
        <v>1</v>
      </c>
      <c r="H5" s="54">
        <v>0</v>
      </c>
      <c r="I5" s="55"/>
      <c r="J5" s="55"/>
      <c r="K5" s="55"/>
      <c r="L5" s="55"/>
    </row>
    <row r="6" spans="1:12" ht="15.75" customHeight="1" x14ac:dyDescent="0.15">
      <c r="A6" s="379"/>
      <c r="B6" s="58" t="s">
        <v>201</v>
      </c>
      <c r="C6" s="46" t="s">
        <v>98</v>
      </c>
      <c r="D6" s="379"/>
      <c r="E6" s="59"/>
      <c r="F6" s="50" t="s">
        <v>99</v>
      </c>
      <c r="G6" s="50" t="s">
        <v>100</v>
      </c>
      <c r="H6" s="48"/>
      <c r="I6" s="49"/>
      <c r="J6" s="49"/>
      <c r="K6" s="49"/>
      <c r="L6" s="49"/>
    </row>
    <row r="7" spans="1:12" ht="15.75" customHeight="1" x14ac:dyDescent="0.15">
      <c r="A7" s="379"/>
      <c r="B7" s="62" t="s">
        <v>196</v>
      </c>
      <c r="C7" s="61">
        <f>CEILING(F7*(1+G7*(E$3+E$4+E$5))*E$3, 0.1)</f>
        <v>2</v>
      </c>
      <c r="D7" s="379"/>
      <c r="E7" s="53"/>
      <c r="F7" s="54">
        <v>1</v>
      </c>
      <c r="G7" s="54">
        <v>0.31</v>
      </c>
      <c r="H7" s="54"/>
      <c r="I7" s="55"/>
      <c r="J7" s="55"/>
      <c r="K7" s="55"/>
      <c r="L7" s="55"/>
    </row>
    <row r="8" spans="1:12" ht="15.75" customHeight="1" x14ac:dyDescent="0.15">
      <c r="A8" s="379"/>
      <c r="B8" s="62" t="s">
        <v>200</v>
      </c>
      <c r="C8" s="61">
        <f>CEILING(F8*(1+G8*(E$3+E$4+E$5))*E$3, 0.1)</f>
        <v>3.8000000000000003</v>
      </c>
      <c r="D8" s="379"/>
      <c r="E8" s="53"/>
      <c r="F8" s="54">
        <v>2</v>
      </c>
      <c r="G8" s="54">
        <v>0.3</v>
      </c>
      <c r="H8" s="54"/>
      <c r="I8" s="55"/>
      <c r="J8" s="55"/>
      <c r="K8" s="55"/>
      <c r="L8" s="55"/>
    </row>
    <row r="9" spans="1:12" ht="15.75" customHeight="1" x14ac:dyDescent="0.15">
      <c r="A9" s="379"/>
      <c r="B9" s="62" t="s">
        <v>202</v>
      </c>
      <c r="C9" s="61">
        <f>CEILING(F9*(1+G9*(E$3+E$5))*(E$3*E$4), 0.1)</f>
        <v>0.8</v>
      </c>
      <c r="D9" s="379"/>
      <c r="E9" s="53"/>
      <c r="F9" s="54">
        <v>0.5</v>
      </c>
      <c r="G9" s="54">
        <v>0.3</v>
      </c>
      <c r="H9" s="54"/>
      <c r="I9" s="55"/>
      <c r="J9" s="55"/>
      <c r="K9" s="55"/>
      <c r="L9" s="55"/>
    </row>
    <row r="10" spans="1:12" ht="15.75" customHeight="1" x14ac:dyDescent="0.15">
      <c r="A10" s="379"/>
      <c r="B10" s="62" t="s">
        <v>203</v>
      </c>
      <c r="C10" s="61">
        <f>CEILING(F10*(1+G10*(E$3+E$4+E$5))*E$3, 0.1)</f>
        <v>4.4000000000000004</v>
      </c>
      <c r="D10" s="379"/>
      <c r="E10" s="53"/>
      <c r="F10" s="54">
        <v>2</v>
      </c>
      <c r="G10" s="54">
        <v>0.4</v>
      </c>
      <c r="H10" s="54"/>
      <c r="I10" s="55"/>
      <c r="J10" s="55"/>
      <c r="K10" s="55"/>
      <c r="L10" s="55"/>
    </row>
    <row r="11" spans="1:12" ht="15.75" customHeight="1" x14ac:dyDescent="0.15">
      <c r="A11" s="379"/>
      <c r="B11" s="62" t="s">
        <v>204</v>
      </c>
      <c r="C11" s="61">
        <f>CEILING(F11*(1+G11*(E$3+E$4))*(E$5*E$3), 0.1)</f>
        <v>0.8</v>
      </c>
      <c r="D11" s="379"/>
      <c r="E11" s="53"/>
      <c r="F11" s="54">
        <v>0.5</v>
      </c>
      <c r="G11" s="54">
        <v>0.3</v>
      </c>
      <c r="H11" s="54"/>
      <c r="I11" s="55"/>
      <c r="J11" s="55"/>
      <c r="K11" s="55"/>
      <c r="L11" s="55"/>
    </row>
    <row r="12" spans="1:12" ht="15.75" customHeight="1" x14ac:dyDescent="0.15">
      <c r="A12" s="379"/>
      <c r="B12" s="363" t="s">
        <v>113</v>
      </c>
      <c r="C12" s="64">
        <f>ROUND(SUM(C7:C11), 0)</f>
        <v>12</v>
      </c>
      <c r="D12" s="379"/>
      <c r="E12" s="59"/>
      <c r="F12" s="48"/>
      <c r="G12" s="48"/>
      <c r="H12" s="48"/>
      <c r="I12" s="49"/>
      <c r="J12" s="49"/>
      <c r="K12" s="49"/>
      <c r="L12" s="49"/>
    </row>
    <row r="13" spans="1:12" ht="15.75" customHeight="1" x14ac:dyDescent="0.15">
      <c r="A13" s="379"/>
      <c r="B13" s="363"/>
      <c r="C13" s="65">
        <f>C12*Параметры!$B$2</f>
        <v>364800</v>
      </c>
      <c r="D13" s="379"/>
      <c r="E13" s="47"/>
      <c r="F13" s="48"/>
      <c r="G13" s="48"/>
      <c r="H13" s="48"/>
      <c r="I13" s="49"/>
      <c r="J13" s="49"/>
      <c r="K13" s="49"/>
      <c r="L13" s="49"/>
    </row>
  </sheetData>
  <mergeCells count="4">
    <mergeCell ref="A1:A13"/>
    <mergeCell ref="B1:C1"/>
    <mergeCell ref="D1:D13"/>
    <mergeCell ref="B12:B13"/>
  </mergeCells>
  <dataValidations count="2">
    <dataValidation type="list" allowBlank="1" showErrorMessage="1" sqref="C4:C5" xr:uid="{00000000-0002-0000-0600-000000000000}">
      <formula1>"Неизвестно,Нет,Да"</formula1>
    </dataValidation>
    <dataValidation type="list" allowBlank="1" showErrorMessage="1" sqref="C3" xr:uid="{00000000-0002-0000-0600-000001000000}">
      <formula1>"Неизвестно,Точечное,Малое,Среднее,Крупное,Большое,Масштабное"</formula1>
    </dataValidation>
  </dataValidations>
  <pageMargins left="0.70000004768371582" right="0.70000004768371582" top="0.75" bottom="0.75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L21"/>
  <sheetViews>
    <sheetView workbookViewId="0"/>
  </sheetViews>
  <sheetFormatPr baseColWidth="10" defaultColWidth="12.5" defaultRowHeight="15.75" customHeight="1" outlineLevelCol="1" x14ac:dyDescent="0.15"/>
  <cols>
    <col min="1" max="1" width="3.33203125" customWidth="1"/>
    <col min="2" max="2" width="70.1640625" customWidth="1"/>
    <col min="3" max="3" width="16" customWidth="1"/>
    <col min="4" max="4" width="3.1640625" customWidth="1"/>
    <col min="5" max="6" width="12.5" customWidth="1" outlineLevel="1"/>
    <col min="7" max="7" width="11.6640625" customWidth="1" outlineLevel="1"/>
    <col min="8" max="8" width="9" customWidth="1" outlineLevel="1"/>
    <col min="9" max="12" width="12.5" bestFit="1" customWidth="1" outlineLevel="1"/>
  </cols>
  <sheetData>
    <row r="1" spans="1:12" ht="15.75" customHeight="1" x14ac:dyDescent="0.15">
      <c r="A1" s="362"/>
      <c r="B1" s="362" t="s">
        <v>208</v>
      </c>
      <c r="C1" s="362"/>
      <c r="D1" s="362"/>
      <c r="E1" s="47"/>
      <c r="F1" s="48"/>
      <c r="G1" s="49"/>
      <c r="H1" s="49"/>
      <c r="I1" s="49"/>
      <c r="J1" s="49"/>
      <c r="K1" s="49"/>
      <c r="L1" s="49"/>
    </row>
    <row r="2" spans="1:12" ht="15.75" customHeight="1" x14ac:dyDescent="0.15">
      <c r="A2" s="362"/>
      <c r="B2" s="46" t="s">
        <v>78</v>
      </c>
      <c r="C2" s="46" t="s">
        <v>79</v>
      </c>
      <c r="D2" s="362"/>
      <c r="E2" s="47" t="s">
        <v>80</v>
      </c>
      <c r="F2" s="50" t="s">
        <v>81</v>
      </c>
      <c r="G2" s="50" t="s">
        <v>82</v>
      </c>
      <c r="H2" s="50" t="s">
        <v>83</v>
      </c>
      <c r="I2" s="50" t="s">
        <v>84</v>
      </c>
      <c r="J2" s="50" t="s">
        <v>85</v>
      </c>
      <c r="K2" s="50" t="s">
        <v>86</v>
      </c>
      <c r="L2" s="50" t="s">
        <v>87</v>
      </c>
    </row>
    <row r="3" spans="1:12" ht="15.75" customHeight="1" x14ac:dyDescent="0.15">
      <c r="A3" s="362"/>
      <c r="B3" s="51" t="s">
        <v>209</v>
      </c>
      <c r="C3" s="52" t="s">
        <v>89</v>
      </c>
      <c r="D3" s="362"/>
      <c r="E3" s="53">
        <f>IF(C3="Нет", G3, IF(C3="Да", H3, ""))</f>
        <v>1</v>
      </c>
      <c r="F3" s="54"/>
      <c r="G3" s="54">
        <v>1</v>
      </c>
      <c r="H3" s="54">
        <v>0.75</v>
      </c>
      <c r="I3" s="55"/>
      <c r="J3" s="55"/>
      <c r="K3" s="55"/>
      <c r="L3" s="55"/>
    </row>
    <row r="4" spans="1:12" ht="15.75" customHeight="1" x14ac:dyDescent="0.15">
      <c r="A4" s="362"/>
      <c r="B4" s="51" t="s">
        <v>90</v>
      </c>
      <c r="C4" s="52" t="s">
        <v>210</v>
      </c>
      <c r="D4" s="362"/>
      <c r="E4" s="53">
        <f>IF(C4="Неизвестно", F4, IF(C4="Низкая", G4, IF(C4="Средняя", H4, IF(C4="Высокая", I4, ""))))</f>
        <v>1.5</v>
      </c>
      <c r="F4" s="54">
        <v>1.25</v>
      </c>
      <c r="G4" s="54">
        <v>0.75</v>
      </c>
      <c r="H4" s="54">
        <v>1</v>
      </c>
      <c r="I4" s="54">
        <v>1.5</v>
      </c>
      <c r="J4" s="55"/>
      <c r="K4" s="55"/>
      <c r="L4" s="55"/>
    </row>
    <row r="5" spans="1:12" ht="15.75" customHeight="1" x14ac:dyDescent="0.15">
      <c r="A5" s="362"/>
      <c r="B5" s="51" t="s">
        <v>92</v>
      </c>
      <c r="C5" s="52" t="s">
        <v>211</v>
      </c>
      <c r="D5" s="362"/>
      <c r="E5" s="53">
        <f>IF(C5="Неизвестно", F5, IF(C5="Точечное", G5, IF(C5="Малое", H5, IF(C5="Среднее", I5, IF(C5="Крупное", J5, IF(C5="Большое", K5, IF(C5="Масштабное", L5, "")))))))</f>
        <v>1.75</v>
      </c>
      <c r="F5" s="54">
        <v>1.25</v>
      </c>
      <c r="G5" s="54">
        <v>0.5</v>
      </c>
      <c r="H5" s="54">
        <v>0.75</v>
      </c>
      <c r="I5" s="54">
        <v>1</v>
      </c>
      <c r="J5" s="54">
        <v>1.25</v>
      </c>
      <c r="K5" s="54">
        <v>1.5</v>
      </c>
      <c r="L5" s="54">
        <v>1.75</v>
      </c>
    </row>
    <row r="6" spans="1:12" ht="15.75" customHeight="1" x14ac:dyDescent="0.15">
      <c r="A6" s="379"/>
      <c r="B6" s="51" t="s">
        <v>94</v>
      </c>
      <c r="C6" s="52" t="s">
        <v>91</v>
      </c>
      <c r="D6" s="379"/>
      <c r="E6" s="53">
        <f>IF(C6="Неизвестно", F6, IF(C6="Низкая", G6, IF(C6="Средняя", H6, IF(C6="Высокая", I6, ""))))</f>
        <v>1.25</v>
      </c>
      <c r="F6" s="54">
        <v>1</v>
      </c>
      <c r="G6" s="54">
        <v>1.5</v>
      </c>
      <c r="H6" s="54">
        <v>1.25</v>
      </c>
      <c r="I6" s="54">
        <v>0.75</v>
      </c>
      <c r="J6" s="55"/>
      <c r="K6" s="55"/>
      <c r="L6" s="55"/>
    </row>
    <row r="7" spans="1:12" ht="15.75" customHeight="1" x14ac:dyDescent="0.15">
      <c r="A7" s="379"/>
      <c r="B7" s="51" t="s">
        <v>96</v>
      </c>
      <c r="C7" s="52" t="s">
        <v>197</v>
      </c>
      <c r="D7" s="379"/>
      <c r="E7" s="53">
        <f>IF(C7="Неизвестно", F7, IF(C7="Да", G7, IF(C7="Нет", H7, "")))</f>
        <v>0.75</v>
      </c>
      <c r="F7" s="54">
        <v>1</v>
      </c>
      <c r="G7" s="54">
        <v>0.75</v>
      </c>
      <c r="H7" s="54">
        <v>1.25</v>
      </c>
      <c r="I7" s="54"/>
      <c r="J7" s="55"/>
      <c r="K7" s="55"/>
      <c r="L7" s="55"/>
    </row>
    <row r="8" spans="1:12" ht="15.75" customHeight="1" x14ac:dyDescent="0.15">
      <c r="A8" s="379"/>
      <c r="B8" s="51" t="s">
        <v>102</v>
      </c>
      <c r="C8" s="52" t="s">
        <v>197</v>
      </c>
      <c r="D8" s="379"/>
      <c r="E8" s="53">
        <f>IF(C8="Неизвестно", F8, IF(C8="Да", G8, IF(C8="Нет", H8, "")))</f>
        <v>0.75</v>
      </c>
      <c r="F8" s="54">
        <v>1</v>
      </c>
      <c r="G8" s="54">
        <v>0.75</v>
      </c>
      <c r="H8" s="54">
        <v>1.25</v>
      </c>
      <c r="I8" s="55"/>
      <c r="J8" s="55"/>
      <c r="K8" s="55"/>
      <c r="L8" s="55"/>
    </row>
    <row r="9" spans="1:12" ht="15.75" customHeight="1" x14ac:dyDescent="0.15">
      <c r="A9" s="379"/>
      <c r="B9" s="58" t="s">
        <v>207</v>
      </c>
      <c r="C9" s="46" t="s">
        <v>98</v>
      </c>
      <c r="D9" s="379"/>
      <c r="E9" s="59"/>
      <c r="F9" s="50" t="s">
        <v>99</v>
      </c>
      <c r="G9" s="50" t="s">
        <v>100</v>
      </c>
      <c r="H9" s="48"/>
      <c r="I9" s="49"/>
      <c r="J9" s="49"/>
      <c r="K9" s="49"/>
      <c r="L9" s="49"/>
    </row>
    <row r="10" spans="1:12" ht="15.75" customHeight="1" x14ac:dyDescent="0.15">
      <c r="A10" s="379"/>
      <c r="B10" s="62" t="s">
        <v>22</v>
      </c>
      <c r="C10" s="61">
        <f>CEILING(F10*(1+G10*E4*E5*E6*E7*E8)*E3, 0.1)</f>
        <v>0.8</v>
      </c>
      <c r="D10" s="379"/>
      <c r="E10" s="53"/>
      <c r="F10" s="54">
        <v>0.5</v>
      </c>
      <c r="G10" s="54">
        <v>0.31</v>
      </c>
      <c r="H10" s="54"/>
      <c r="I10" s="55"/>
      <c r="J10" s="55"/>
      <c r="K10" s="55"/>
      <c r="L10" s="55"/>
    </row>
    <row r="11" spans="1:12" ht="15.75" customHeight="1" x14ac:dyDescent="0.15">
      <c r="A11" s="379"/>
      <c r="B11" s="62" t="s">
        <v>103</v>
      </c>
      <c r="C11" s="61">
        <f>CEILING(F11*(1+G11*(E3*E4*E5*E6*E7*E8)), 0.1)</f>
        <v>0.9</v>
      </c>
      <c r="D11" s="379"/>
      <c r="E11" s="53"/>
      <c r="F11" s="54">
        <v>0.5</v>
      </c>
      <c r="G11" s="54">
        <v>0.33</v>
      </c>
      <c r="H11" s="54"/>
      <c r="I11" s="55"/>
      <c r="J11" s="55"/>
      <c r="K11" s="55"/>
      <c r="L11" s="55"/>
    </row>
    <row r="12" spans="1:12" ht="15.75" customHeight="1" x14ac:dyDescent="0.15">
      <c r="A12" s="379"/>
      <c r="B12" s="62" t="s">
        <v>105</v>
      </c>
      <c r="C12" s="61">
        <f>CEILING(F12*(1+G12*(E4*E5*E6*E7*E8))*E3, 0.1)</f>
        <v>0.9</v>
      </c>
      <c r="D12" s="379"/>
      <c r="E12" s="53"/>
      <c r="F12" s="54">
        <v>0.5</v>
      </c>
      <c r="G12" s="54">
        <v>0.4</v>
      </c>
      <c r="H12" s="54"/>
      <c r="I12" s="55"/>
      <c r="J12" s="55"/>
      <c r="K12" s="55"/>
      <c r="L12" s="55"/>
    </row>
    <row r="13" spans="1:12" ht="15.75" customHeight="1" x14ac:dyDescent="0.15">
      <c r="A13" s="379"/>
      <c r="B13" s="62" t="s">
        <v>24</v>
      </c>
      <c r="C13" s="61">
        <f>CEILING(F13*(1+G13*(E3*E4*E6*E8))*(E5*E7), 0.1)</f>
        <v>2.4000000000000004</v>
      </c>
      <c r="D13" s="379"/>
      <c r="E13" s="53"/>
      <c r="F13" s="54">
        <v>1</v>
      </c>
      <c r="G13" s="54">
        <v>0.55000000000000004</v>
      </c>
      <c r="H13" s="54"/>
      <c r="I13" s="55"/>
      <c r="J13" s="55"/>
      <c r="K13" s="55"/>
      <c r="L13" s="55"/>
    </row>
    <row r="14" spans="1:12" ht="15.75" customHeight="1" x14ac:dyDescent="0.15">
      <c r="A14" s="379"/>
      <c r="B14" s="62" t="s">
        <v>26</v>
      </c>
      <c r="C14" s="61">
        <f>CEILING(F14*(1+G14*(E3*E4*E6*E8))*(E5*E7), 0.1)</f>
        <v>2.4000000000000004</v>
      </c>
      <c r="D14" s="379"/>
      <c r="E14" s="53"/>
      <c r="F14" s="54">
        <v>1</v>
      </c>
      <c r="G14" s="54">
        <v>0.55000000000000004</v>
      </c>
      <c r="H14" s="54"/>
      <c r="I14" s="55"/>
      <c r="J14" s="55"/>
      <c r="K14" s="55"/>
      <c r="L14" s="55"/>
    </row>
    <row r="15" spans="1:12" ht="15.75" customHeight="1" x14ac:dyDescent="0.15">
      <c r="A15" s="379"/>
      <c r="B15" s="62" t="s">
        <v>33</v>
      </c>
      <c r="C15" s="61">
        <f>CEILING(F15*(1+G15*(E3*E4*E6*E8))*(E5*E7), 0.1)</f>
        <v>2.4000000000000004</v>
      </c>
      <c r="D15" s="379"/>
      <c r="E15" s="53"/>
      <c r="F15" s="54">
        <v>1</v>
      </c>
      <c r="G15" s="54">
        <v>0.55000000000000004</v>
      </c>
      <c r="H15" s="54"/>
      <c r="I15" s="55"/>
      <c r="J15" s="55"/>
      <c r="K15" s="55"/>
      <c r="L15" s="55"/>
    </row>
    <row r="16" spans="1:12" ht="15.75" customHeight="1" x14ac:dyDescent="0.15">
      <c r="A16" s="379"/>
      <c r="B16" s="62" t="s">
        <v>206</v>
      </c>
      <c r="C16" s="61">
        <f>CEILING(F16*(1+G16*(E3*E4*E6*E8))*(E5*E7), 0.1)</f>
        <v>2.4000000000000004</v>
      </c>
      <c r="D16" s="379"/>
      <c r="E16" s="53"/>
      <c r="F16" s="54">
        <v>1</v>
      </c>
      <c r="G16" s="54">
        <v>0.55000000000000004</v>
      </c>
      <c r="H16" s="54"/>
      <c r="I16" s="55"/>
      <c r="J16" s="55"/>
      <c r="K16" s="55"/>
      <c r="L16" s="55"/>
    </row>
    <row r="17" spans="1:12" ht="15.75" customHeight="1" x14ac:dyDescent="0.15">
      <c r="A17" s="379"/>
      <c r="B17" s="62" t="s">
        <v>42</v>
      </c>
      <c r="C17" s="61">
        <f>CEILING(F17*(1+G17*E3)*(E4*E5), 0.1)</f>
        <v>1.7000000000000002</v>
      </c>
      <c r="D17" s="379"/>
      <c r="E17" s="53"/>
      <c r="F17" s="54">
        <v>0.5</v>
      </c>
      <c r="G17" s="54">
        <v>0.22</v>
      </c>
      <c r="H17" s="54"/>
      <c r="I17" s="55"/>
      <c r="J17" s="55"/>
      <c r="K17" s="55"/>
      <c r="L17" s="55"/>
    </row>
    <row r="18" spans="1:12" ht="15.75" customHeight="1" x14ac:dyDescent="0.15">
      <c r="A18" s="379"/>
      <c r="B18" s="62" t="s">
        <v>112</v>
      </c>
      <c r="C18" s="61">
        <f>CEILING(F18*(1+G18*E5)*E3, 0.1)</f>
        <v>0.9</v>
      </c>
      <c r="D18" s="379"/>
      <c r="E18" s="53"/>
      <c r="F18" s="54">
        <v>0.5</v>
      </c>
      <c r="G18" s="54">
        <v>0.45</v>
      </c>
      <c r="H18" s="54"/>
      <c r="I18" s="55"/>
      <c r="J18" s="55"/>
      <c r="K18" s="55"/>
      <c r="L18" s="55"/>
    </row>
    <row r="19" spans="1:12" ht="15.75" customHeight="1" x14ac:dyDescent="0.15">
      <c r="A19" s="379"/>
      <c r="B19" s="62" t="s">
        <v>43</v>
      </c>
      <c r="C19" s="61">
        <f>CEILING(F19*(1+G19)*(E4*E5), 0.1)</f>
        <v>6.5</v>
      </c>
      <c r="D19" s="379"/>
      <c r="E19" s="53"/>
      <c r="F19" s="54">
        <v>2</v>
      </c>
      <c r="G19" s="54">
        <v>0.22</v>
      </c>
      <c r="H19" s="54"/>
      <c r="I19" s="55"/>
      <c r="J19" s="55"/>
      <c r="K19" s="55"/>
      <c r="L19" s="55"/>
    </row>
    <row r="20" spans="1:12" ht="15.75" customHeight="1" x14ac:dyDescent="0.15">
      <c r="A20" s="379"/>
      <c r="B20" s="363" t="s">
        <v>113</v>
      </c>
      <c r="C20" s="64">
        <f>ROUND(SUM(C10:C19), 0)</f>
        <v>21</v>
      </c>
      <c r="D20" s="379"/>
      <c r="E20" s="59"/>
      <c r="F20" s="48"/>
      <c r="G20" s="48"/>
      <c r="H20" s="48"/>
      <c r="I20" s="49"/>
      <c r="J20" s="49"/>
      <c r="K20" s="49"/>
      <c r="L20" s="49"/>
    </row>
    <row r="21" spans="1:12" ht="15.75" customHeight="1" x14ac:dyDescent="0.15">
      <c r="A21" s="379"/>
      <c r="B21" s="363"/>
      <c r="C21" s="65">
        <f>C20*Параметры!$B$2</f>
        <v>638400</v>
      </c>
      <c r="D21" s="379"/>
      <c r="E21" s="47"/>
      <c r="F21" s="48"/>
      <c r="G21" s="48"/>
      <c r="H21" s="48"/>
      <c r="I21" s="49"/>
      <c r="J21" s="49"/>
      <c r="K21" s="49"/>
      <c r="L21" s="49"/>
    </row>
  </sheetData>
  <mergeCells count="4">
    <mergeCell ref="A1:A21"/>
    <mergeCell ref="B1:C1"/>
    <mergeCell ref="D1:D21"/>
    <mergeCell ref="B20:B21"/>
  </mergeCells>
  <dataValidations count="5">
    <dataValidation type="list" allowBlank="1" showErrorMessage="1" sqref="C6" xr:uid="{00000000-0002-0000-0700-000000000000}">
      <formula1>"Неизвестно,Высокая,Средняя,Низкая"</formula1>
    </dataValidation>
    <dataValidation type="list" allowBlank="1" showErrorMessage="1" sqref="C5" xr:uid="{00000000-0002-0000-0700-000001000000}">
      <formula1>"Неизвестно,Точечное,Малое,Среднее,Крупное,Большое,Масштабное"</formula1>
    </dataValidation>
    <dataValidation type="list" allowBlank="1" showErrorMessage="1" sqref="C3" xr:uid="{00000000-0002-0000-0700-000002000000}">
      <formula1>"Нет,Да"</formula1>
    </dataValidation>
    <dataValidation type="list" allowBlank="1" showErrorMessage="1" sqref="C4" xr:uid="{00000000-0002-0000-0700-000003000000}">
      <formula1>"Неизвестно,Низкая,Средняя,Высокая"</formula1>
    </dataValidation>
    <dataValidation type="list" allowBlank="1" showErrorMessage="1" sqref="C7:C8" xr:uid="{00000000-0002-0000-0700-000004000000}">
      <formula1>"Неизвестно,Да,Нет"</formula1>
    </dataValidation>
  </dataValidations>
  <pageMargins left="0.70000004768371582" right="0.70000004768371582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9"/>
  <sheetViews>
    <sheetView workbookViewId="0"/>
  </sheetViews>
  <sheetFormatPr baseColWidth="10" defaultColWidth="12.5" defaultRowHeight="15.75" customHeight="1" outlineLevelCol="1" x14ac:dyDescent="0.15"/>
  <cols>
    <col min="1" max="1" width="3" customWidth="1"/>
    <col min="2" max="2" width="50.5" customWidth="1"/>
    <col min="3" max="3" width="18.5" customWidth="1"/>
    <col min="4" max="4" width="3.6640625" customWidth="1"/>
    <col min="5" max="12" width="12.5" bestFit="1" customWidth="1" outlineLevel="1"/>
  </cols>
  <sheetData>
    <row r="1" spans="1:12" ht="15.75" customHeight="1" x14ac:dyDescent="0.15">
      <c r="A1" s="376"/>
      <c r="B1" s="380" t="s">
        <v>212</v>
      </c>
      <c r="C1" s="380"/>
      <c r="D1" s="376"/>
      <c r="E1" s="55"/>
      <c r="F1" s="55"/>
      <c r="G1" s="55"/>
      <c r="H1" s="55"/>
      <c r="I1" s="55"/>
      <c r="J1" s="55"/>
      <c r="K1" s="55"/>
      <c r="L1" s="55"/>
    </row>
    <row r="2" spans="1:12" ht="15.75" customHeight="1" x14ac:dyDescent="0.15">
      <c r="A2" s="376"/>
      <c r="B2" s="123" t="s">
        <v>78</v>
      </c>
      <c r="C2" s="123" t="s">
        <v>79</v>
      </c>
      <c r="D2" s="376"/>
      <c r="E2" s="125" t="s">
        <v>80</v>
      </c>
      <c r="F2" s="124" t="s">
        <v>81</v>
      </c>
      <c r="G2" s="124" t="s">
        <v>82</v>
      </c>
      <c r="H2" s="124" t="s">
        <v>83</v>
      </c>
      <c r="I2" s="124" t="s">
        <v>84</v>
      </c>
      <c r="J2" s="124" t="s">
        <v>85</v>
      </c>
      <c r="K2" s="124" t="s">
        <v>86</v>
      </c>
      <c r="L2" s="124" t="s">
        <v>87</v>
      </c>
    </row>
    <row r="3" spans="1:12" ht="15.75" customHeight="1" x14ac:dyDescent="0.15">
      <c r="A3" s="376"/>
      <c r="B3" s="120" t="s">
        <v>118</v>
      </c>
      <c r="C3" s="115" t="s">
        <v>197</v>
      </c>
      <c r="D3" s="376"/>
      <c r="E3" s="117">
        <f>IF(C3="Нет", G3, IF(C3="Да", H3, ""))</f>
        <v>0.75</v>
      </c>
      <c r="F3" s="55"/>
      <c r="G3" s="118">
        <v>1</v>
      </c>
      <c r="H3" s="118">
        <v>0.75</v>
      </c>
      <c r="I3" s="55"/>
      <c r="J3" s="55"/>
      <c r="K3" s="55"/>
      <c r="L3" s="55"/>
    </row>
    <row r="4" spans="1:12" ht="15.75" customHeight="1" x14ac:dyDescent="0.15">
      <c r="A4" s="376"/>
      <c r="B4" s="120" t="s">
        <v>154</v>
      </c>
      <c r="C4" s="115" t="s">
        <v>216</v>
      </c>
      <c r="D4" s="376"/>
      <c r="E4" s="117">
        <f>IF(C4="Неизвестно", F4, IF(C4="Доработка", G4, IF(C4="Новое", H4, "")))</f>
        <v>0.75</v>
      </c>
      <c r="F4" s="118">
        <v>1</v>
      </c>
      <c r="G4" s="118">
        <v>0.75</v>
      </c>
      <c r="H4" s="118">
        <v>1.1000000000000001</v>
      </c>
      <c r="I4" s="55"/>
      <c r="J4" s="55"/>
      <c r="K4" s="55"/>
      <c r="L4" s="55"/>
    </row>
    <row r="5" spans="1:12" ht="15.75" customHeight="1" x14ac:dyDescent="0.15">
      <c r="A5" s="376"/>
      <c r="B5" s="120" t="s">
        <v>186</v>
      </c>
      <c r="C5" s="115" t="s">
        <v>91</v>
      </c>
      <c r="D5" s="376"/>
      <c r="E5" s="117">
        <f>IF(C5="Неизвестно", F5, IF(C5="Низкая", G5, IF(C5="Средняя", H5, IF(C5="Высокая", I5, ""))))</f>
        <v>1</v>
      </c>
      <c r="F5" s="118">
        <v>1.25</v>
      </c>
      <c r="G5" s="118">
        <v>0.75</v>
      </c>
      <c r="H5" s="118">
        <v>1</v>
      </c>
      <c r="I5" s="118">
        <v>1.5</v>
      </c>
      <c r="J5" s="55"/>
      <c r="K5" s="55"/>
      <c r="L5" s="55"/>
    </row>
    <row r="6" spans="1:12" ht="15.75" customHeight="1" x14ac:dyDescent="0.15">
      <c r="A6" s="376"/>
      <c r="B6" s="120" t="s">
        <v>116</v>
      </c>
      <c r="C6" s="115" t="s">
        <v>218</v>
      </c>
      <c r="D6" s="376"/>
      <c r="E6" s="117">
        <f>IF(C6="Неизвестно", F6, IF(C6="Точечное", G6, IF(C6="Малое", H6, IF(C6="Среднее", I6, IF(C6="Крупное", J6, IF(C6="Большое", K6, IF(C6="Масштабное", L6, "")))))))</f>
        <v>0.5</v>
      </c>
      <c r="F6" s="118">
        <v>1.25</v>
      </c>
      <c r="G6" s="118">
        <v>0.5</v>
      </c>
      <c r="H6" s="118">
        <v>0.75</v>
      </c>
      <c r="I6" s="118">
        <v>1</v>
      </c>
      <c r="J6" s="118">
        <v>1.25</v>
      </c>
      <c r="K6" s="118">
        <v>1.5</v>
      </c>
      <c r="L6" s="118">
        <v>1.75</v>
      </c>
    </row>
    <row r="7" spans="1:12" ht="15.75" customHeight="1" x14ac:dyDescent="0.15">
      <c r="A7" s="376"/>
      <c r="B7" s="120" t="s">
        <v>94</v>
      </c>
      <c r="C7" s="115" t="s">
        <v>210</v>
      </c>
      <c r="D7" s="376"/>
      <c r="E7" s="117">
        <f>IF(C7="Неизвестно", F7, IF(C7="Низкая", G7, IF(C7="Средняя", H7, IF(C7="Высокая", I7, ""))))</f>
        <v>0.75</v>
      </c>
      <c r="F7" s="118">
        <v>1</v>
      </c>
      <c r="G7" s="118">
        <v>1.5</v>
      </c>
      <c r="H7" s="118">
        <v>1.25</v>
      </c>
      <c r="I7" s="118">
        <v>0.75</v>
      </c>
      <c r="J7" s="55"/>
      <c r="K7" s="55"/>
      <c r="L7" s="55"/>
    </row>
    <row r="8" spans="1:12" ht="15.75" customHeight="1" x14ac:dyDescent="0.15">
      <c r="A8" s="376"/>
      <c r="B8" s="120" t="s">
        <v>159</v>
      </c>
      <c r="C8" s="115" t="s">
        <v>89</v>
      </c>
      <c r="D8" s="376"/>
      <c r="E8" s="117">
        <f>IF(C8="Неизвестно", F8, IF(C8="Да", G8, IF(C8="Нет", H8, "")))</f>
        <v>1.1000000000000001</v>
      </c>
      <c r="F8" s="118">
        <v>1</v>
      </c>
      <c r="G8" s="118">
        <v>0.9</v>
      </c>
      <c r="H8" s="118">
        <v>1.1000000000000001</v>
      </c>
      <c r="I8" s="55"/>
      <c r="J8" s="55"/>
      <c r="K8" s="55"/>
      <c r="L8" s="55"/>
    </row>
    <row r="9" spans="1:12" ht="15.75" customHeight="1" x14ac:dyDescent="0.15">
      <c r="A9" s="376"/>
      <c r="B9" s="120" t="s">
        <v>185</v>
      </c>
      <c r="C9" s="115" t="s">
        <v>213</v>
      </c>
      <c r="D9" s="376"/>
      <c r="E9" s="117">
        <f>IF(C9="Неизвестно", F9, IF(C9="Непосредственно", G9, IF(C9="Опосредованно", H9, "")))</f>
        <v>0.8</v>
      </c>
      <c r="F9" s="118">
        <v>1</v>
      </c>
      <c r="G9" s="118">
        <v>0.8</v>
      </c>
      <c r="H9" s="118">
        <v>1.2</v>
      </c>
      <c r="I9" s="55"/>
      <c r="J9" s="55"/>
      <c r="K9" s="55"/>
      <c r="L9" s="55"/>
    </row>
    <row r="10" spans="1:12" ht="15.75" customHeight="1" x14ac:dyDescent="0.15">
      <c r="A10" s="376"/>
      <c r="B10" s="122" t="s">
        <v>215</v>
      </c>
      <c r="C10" s="123" t="s">
        <v>98</v>
      </c>
      <c r="D10" s="376"/>
      <c r="E10" s="55"/>
      <c r="F10" s="124" t="s">
        <v>99</v>
      </c>
      <c r="G10" s="124" t="s">
        <v>100</v>
      </c>
      <c r="H10" s="55"/>
      <c r="I10" s="55"/>
      <c r="J10" s="55"/>
      <c r="K10" s="55"/>
      <c r="L10" s="55"/>
    </row>
    <row r="11" spans="1:12" ht="15.75" customHeight="1" x14ac:dyDescent="0.15">
      <c r="A11" s="376"/>
      <c r="B11" s="116" t="s">
        <v>101</v>
      </c>
      <c r="C11" s="119">
        <f>CEILING(F11*(1+G11*(E$5*E$6*E$7*E$8*E$9))*(E$3*E$4), 0.1)</f>
        <v>0.4</v>
      </c>
      <c r="D11" s="376"/>
      <c r="E11" s="55"/>
      <c r="F11" s="118">
        <v>0.5</v>
      </c>
      <c r="G11" s="118">
        <v>0.248</v>
      </c>
      <c r="H11" s="55"/>
      <c r="I11" s="55"/>
      <c r="J11" s="55"/>
      <c r="K11" s="55"/>
      <c r="L11" s="55"/>
    </row>
    <row r="12" spans="1:12" ht="15.75" customHeight="1" x14ac:dyDescent="0.15">
      <c r="A12" s="376"/>
      <c r="B12" s="116" t="s">
        <v>103</v>
      </c>
      <c r="C12" s="119">
        <f>CEILING(F12*(1+G12*(E$3*E$4*E$5*E$7*E$8*E$9))*E$6, 0.1)</f>
        <v>0.60000000000000009</v>
      </c>
      <c r="D12" s="376"/>
      <c r="E12" s="55"/>
      <c r="F12" s="118">
        <v>1</v>
      </c>
      <c r="G12" s="118">
        <v>0.01</v>
      </c>
      <c r="H12" s="55"/>
      <c r="I12" s="55"/>
      <c r="J12" s="55"/>
      <c r="K12" s="55"/>
      <c r="L12" s="55"/>
    </row>
    <row r="13" spans="1:12" ht="15.75" customHeight="1" x14ac:dyDescent="0.15">
      <c r="A13" s="376"/>
      <c r="B13" s="116" t="s">
        <v>219</v>
      </c>
      <c r="C13" s="119">
        <f>CEILING(F13*(1+G13*(E$6*E$7*E$8*E$9))*(E$3*E$4*E$5), 0.1)</f>
        <v>1.8</v>
      </c>
      <c r="D13" s="376"/>
      <c r="E13" s="55"/>
      <c r="F13" s="118">
        <v>3</v>
      </c>
      <c r="G13" s="118">
        <v>0.08</v>
      </c>
      <c r="H13" s="55"/>
      <c r="I13" s="55"/>
      <c r="J13" s="55"/>
      <c r="K13" s="55"/>
      <c r="L13" s="55"/>
    </row>
    <row r="14" spans="1:12" ht="15.75" customHeight="1" x14ac:dyDescent="0.15">
      <c r="A14" s="376"/>
      <c r="B14" s="116" t="s">
        <v>62</v>
      </c>
      <c r="C14" s="119">
        <f>CEILING(F14*(1+G14*(E$6*E$7*E$8*E$9))*(E$3*E$4*E$5), 0.1)</f>
        <v>2.4000000000000004</v>
      </c>
      <c r="D14" s="376"/>
      <c r="E14" s="55"/>
      <c r="F14" s="118">
        <v>4</v>
      </c>
      <c r="G14" s="118">
        <v>0.08</v>
      </c>
      <c r="H14" s="55"/>
      <c r="I14" s="55"/>
      <c r="J14" s="55"/>
      <c r="K14" s="55"/>
      <c r="L14" s="55"/>
    </row>
    <row r="15" spans="1:12" ht="15.75" customHeight="1" x14ac:dyDescent="0.15">
      <c r="A15" s="374"/>
      <c r="B15" s="116" t="s">
        <v>61</v>
      </c>
      <c r="C15" s="119">
        <f>CEILING(F15*(1+G15*(E$6*E$7*E$8*E$9))*(E$3*E$4*E$5), 0.1)</f>
        <v>1.2000000000000002</v>
      </c>
      <c r="D15" s="376"/>
      <c r="E15" s="55"/>
      <c r="F15" s="118">
        <v>2</v>
      </c>
      <c r="G15" s="118">
        <v>0.08</v>
      </c>
      <c r="H15" s="55"/>
      <c r="I15" s="55"/>
      <c r="J15" s="55"/>
      <c r="K15" s="55"/>
      <c r="L15" s="55"/>
    </row>
    <row r="16" spans="1:12" ht="15.75" customHeight="1" x14ac:dyDescent="0.15">
      <c r="A16" s="376"/>
      <c r="B16" s="116" t="s">
        <v>214</v>
      </c>
      <c r="C16" s="119">
        <f>CEILING(F16*(1+G16*E$3)*(E$6*E$4*E$5), 0.1)</f>
        <v>1.3</v>
      </c>
      <c r="D16" s="376"/>
      <c r="E16" s="55"/>
      <c r="F16" s="118">
        <v>3</v>
      </c>
      <c r="G16" s="118">
        <v>0.15</v>
      </c>
      <c r="H16" s="55"/>
      <c r="I16" s="55"/>
      <c r="J16" s="55"/>
      <c r="K16" s="55"/>
      <c r="L16" s="55"/>
    </row>
    <row r="17" spans="1:12" ht="15.75" customHeight="1" x14ac:dyDescent="0.15">
      <c r="A17" s="376"/>
      <c r="B17" s="116" t="s">
        <v>72</v>
      </c>
      <c r="C17" s="119">
        <f>CEILING(F17*(1+G17*(E$3*E$6*E$8*E$9))*(E$4*E$5), 0.1)</f>
        <v>0.9</v>
      </c>
      <c r="D17" s="376"/>
      <c r="E17" s="55"/>
      <c r="F17" s="118">
        <v>1</v>
      </c>
      <c r="G17" s="118">
        <v>0.25</v>
      </c>
      <c r="H17" s="55"/>
      <c r="I17" s="55"/>
      <c r="J17" s="55"/>
      <c r="K17" s="55"/>
      <c r="L17" s="55"/>
    </row>
    <row r="18" spans="1:12" ht="15.75" customHeight="1" x14ac:dyDescent="0.15">
      <c r="A18" s="376"/>
      <c r="B18" s="116" t="s">
        <v>217</v>
      </c>
      <c r="C18" s="119">
        <f>CEILING(F18*(1+G18*(E$3*E$6*E$8*E$9))*(E$4*E$5), 0.1)</f>
        <v>3.3000000000000003</v>
      </c>
      <c r="D18" s="376"/>
      <c r="E18" s="55"/>
      <c r="F18" s="118">
        <v>4</v>
      </c>
      <c r="G18" s="118">
        <v>0.25</v>
      </c>
      <c r="H18" s="55"/>
      <c r="I18" s="55"/>
      <c r="J18" s="55"/>
      <c r="K18" s="55"/>
      <c r="L18" s="55"/>
    </row>
    <row r="19" spans="1:12" ht="15.75" customHeight="1" x14ac:dyDescent="0.15">
      <c r="A19" s="376"/>
      <c r="B19" s="116" t="s">
        <v>6</v>
      </c>
      <c r="C19" s="119">
        <f>CEILING(F19*(1+G19*(E$3*E$6*E$8*E$9))*(E$4*E$5), 0.1)</f>
        <v>2.5</v>
      </c>
      <c r="D19" s="376"/>
      <c r="E19" s="55"/>
      <c r="F19" s="118">
        <v>3</v>
      </c>
      <c r="G19" s="118">
        <v>0.25</v>
      </c>
      <c r="H19" s="55"/>
      <c r="I19" s="55"/>
      <c r="J19" s="55"/>
      <c r="K19" s="55"/>
      <c r="L19" s="55"/>
    </row>
    <row r="20" spans="1:12" ht="15.75" customHeight="1" x14ac:dyDescent="0.15">
      <c r="A20" s="376"/>
      <c r="B20" s="116" t="s">
        <v>221</v>
      </c>
      <c r="C20" s="119">
        <f>CEILING(F20*(1+G20*(E$6*E$7*E$8*E$9))*(E$3*E$4*E$5), 0.1)</f>
        <v>0.60000000000000009</v>
      </c>
      <c r="D20" s="376"/>
      <c r="E20" s="55"/>
      <c r="F20" s="118">
        <v>1</v>
      </c>
      <c r="G20" s="118">
        <v>0.08</v>
      </c>
      <c r="H20" s="55"/>
      <c r="I20" s="55"/>
      <c r="J20" s="55"/>
      <c r="K20" s="55"/>
      <c r="L20" s="55"/>
    </row>
    <row r="21" spans="1:12" ht="15.75" customHeight="1" x14ac:dyDescent="0.15">
      <c r="A21" s="376"/>
      <c r="B21" s="116" t="s">
        <v>189</v>
      </c>
      <c r="C21" s="119">
        <f>CEILING(F21*(1+G21*(E$3*E$6))*(E$4*E$5), 0.1)</f>
        <v>0.5</v>
      </c>
      <c r="D21" s="376"/>
      <c r="E21" s="55"/>
      <c r="F21" s="118">
        <v>0.5</v>
      </c>
      <c r="G21" s="118">
        <v>0.32200000000000001</v>
      </c>
      <c r="H21" s="55"/>
      <c r="I21" s="55"/>
      <c r="J21" s="55"/>
      <c r="K21" s="55"/>
      <c r="L21" s="55"/>
    </row>
    <row r="22" spans="1:12" ht="15.75" customHeight="1" x14ac:dyDescent="0.15">
      <c r="A22" s="376"/>
      <c r="B22" s="116" t="s">
        <v>126</v>
      </c>
      <c r="C22" s="119">
        <f>CEILING(F22*(1+G22*(E$3*E$6*E$9))*E$4, 0.1)</f>
        <v>0.5</v>
      </c>
      <c r="D22" s="376"/>
      <c r="E22" s="55"/>
      <c r="F22" s="118">
        <v>0.5</v>
      </c>
      <c r="G22" s="118">
        <v>0.8</v>
      </c>
      <c r="H22" s="55"/>
      <c r="I22" s="55"/>
      <c r="J22" s="55"/>
      <c r="K22" s="55"/>
      <c r="L22" s="55"/>
    </row>
    <row r="23" spans="1:12" ht="15.75" customHeight="1" x14ac:dyDescent="0.15">
      <c r="A23" s="376"/>
      <c r="B23" s="370" t="s">
        <v>113</v>
      </c>
      <c r="C23" s="123">
        <f>CEILING(SUM(C11:C22), 1)</f>
        <v>16</v>
      </c>
      <c r="D23" s="376"/>
      <c r="E23" s="55"/>
      <c r="F23" s="55"/>
      <c r="G23" s="55"/>
      <c r="H23" s="55"/>
      <c r="I23" s="55"/>
      <c r="J23" s="55"/>
      <c r="K23" s="55"/>
      <c r="L23" s="55"/>
    </row>
    <row r="24" spans="1:12" ht="15.75" customHeight="1" x14ac:dyDescent="0.15">
      <c r="A24" s="376"/>
      <c r="B24" s="370"/>
      <c r="C24" s="126">
        <f>C23*Параметры!$B$2</f>
        <v>486400</v>
      </c>
      <c r="D24" s="376"/>
      <c r="E24" s="55"/>
      <c r="F24" s="55"/>
      <c r="G24" s="55"/>
      <c r="H24" s="55"/>
      <c r="I24" s="55"/>
      <c r="J24" s="55"/>
      <c r="K24" s="55"/>
      <c r="L24" s="55"/>
    </row>
    <row r="25" spans="1:12" ht="15.75" customHeight="1" x14ac:dyDescent="0.15">
      <c r="A25" s="376"/>
      <c r="B25" s="129" t="s">
        <v>222</v>
      </c>
      <c r="C25" s="123" t="s">
        <v>98</v>
      </c>
      <c r="D25" s="376"/>
      <c r="E25" s="55"/>
      <c r="F25" s="55"/>
      <c r="G25" s="55"/>
      <c r="H25" s="55"/>
      <c r="I25" s="55"/>
      <c r="J25" s="55"/>
      <c r="K25" s="55"/>
      <c r="L25" s="55"/>
    </row>
    <row r="26" spans="1:12" ht="15.75" customHeight="1" x14ac:dyDescent="0.15">
      <c r="A26" s="376"/>
      <c r="B26" s="378" t="s">
        <v>220</v>
      </c>
      <c r="C26" s="378"/>
      <c r="D26" s="376"/>
      <c r="E26" s="55"/>
      <c r="F26" s="55"/>
      <c r="G26" s="55"/>
      <c r="H26" s="55"/>
      <c r="I26" s="55"/>
      <c r="J26" s="55"/>
      <c r="K26" s="55"/>
      <c r="L26" s="55"/>
    </row>
    <row r="27" spans="1:12" ht="15.75" customHeight="1" x14ac:dyDescent="0.15">
      <c r="A27" s="376"/>
      <c r="B27" s="127" t="s">
        <v>190</v>
      </c>
      <c r="C27" s="128" t="s">
        <v>191</v>
      </c>
      <c r="D27" s="376"/>
      <c r="E27" s="55"/>
      <c r="F27" s="55"/>
      <c r="G27" s="55"/>
      <c r="H27" s="55"/>
      <c r="I27" s="55"/>
      <c r="J27" s="55"/>
      <c r="K27" s="55"/>
      <c r="L27" s="55"/>
    </row>
    <row r="28" spans="1:12" ht="15.75" customHeight="1" x14ac:dyDescent="0.15">
      <c r="A28" s="376"/>
      <c r="B28" s="370" t="s">
        <v>113</v>
      </c>
      <c r="C28" s="130" t="s">
        <v>175</v>
      </c>
      <c r="D28" s="376"/>
      <c r="E28" s="55"/>
      <c r="F28" s="55"/>
      <c r="G28" s="55"/>
      <c r="H28" s="55"/>
      <c r="I28" s="55"/>
      <c r="J28" s="55"/>
      <c r="K28" s="55"/>
      <c r="L28" s="55"/>
    </row>
    <row r="29" spans="1:12" ht="15.75" customHeight="1" x14ac:dyDescent="0.15">
      <c r="A29" s="376"/>
      <c r="B29" s="370"/>
      <c r="C29" s="131" t="s">
        <v>175</v>
      </c>
      <c r="D29" s="376"/>
      <c r="E29" s="55"/>
      <c r="F29" s="55"/>
      <c r="G29" s="55"/>
      <c r="H29" s="55"/>
      <c r="I29" s="55"/>
      <c r="J29" s="55"/>
      <c r="K29" s="55"/>
      <c r="L29" s="55"/>
    </row>
  </sheetData>
  <mergeCells count="6">
    <mergeCell ref="A1:A29"/>
    <mergeCell ref="B1:C1"/>
    <mergeCell ref="D1:D29"/>
    <mergeCell ref="B23:B24"/>
    <mergeCell ref="B26:C26"/>
    <mergeCell ref="B28:B29"/>
  </mergeCells>
  <dataValidations count="7">
    <dataValidation type="list" allowBlank="1" showErrorMessage="1" sqref="C6" xr:uid="{00000000-0002-0000-0800-000000000000}">
      <formula1>"Неизвестно,Точечное,Малое,Среднее,Крупное,Большое,Масштабное"</formula1>
    </dataValidation>
    <dataValidation type="list" allowBlank="1" showErrorMessage="1" sqref="C3" xr:uid="{00000000-0002-0000-0800-000001000000}">
      <formula1>"Нет,Да"</formula1>
    </dataValidation>
    <dataValidation type="list" allowBlank="1" showErrorMessage="1" sqref="C7" xr:uid="{00000000-0002-0000-0800-000002000000}">
      <formula1>"Неизвестно,Высокая,Средняя,Низкая"</formula1>
    </dataValidation>
    <dataValidation type="list" allowBlank="1" showErrorMessage="1" sqref="C5" xr:uid="{00000000-0002-0000-0800-000003000000}">
      <formula1>"Неизвестно,Низкая,Средняя,Высокая"</formula1>
    </dataValidation>
    <dataValidation type="list" allowBlank="1" showErrorMessage="1" sqref="C4" xr:uid="{00000000-0002-0000-0800-000004000000}">
      <formula1>"Неизвестно,Доработка,Новое"</formula1>
    </dataValidation>
    <dataValidation type="list" allowBlank="1" showErrorMessage="1" sqref="C9" xr:uid="{00000000-0002-0000-0800-000005000000}">
      <formula1>"Неизвестно,Непосредственно,Опосредованно"</formula1>
    </dataValidation>
    <dataValidation type="list" allowBlank="1" showErrorMessage="1" sqref="C8" xr:uid="{00000000-0002-0000-0800-000006000000}">
      <formula1>"Неизвестно,Да,Нет"</formula1>
    </dataValidation>
  </dataValidations>
  <pageMargins left="0.70000004768371582" right="0.70000004768371582" top="0.75" bottom="0.75" header="0.30000001192092896" footer="0.300000011920928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16"/>
  <sheetViews>
    <sheetView workbookViewId="0"/>
  </sheetViews>
  <sheetFormatPr baseColWidth="10" defaultColWidth="12.5" defaultRowHeight="15.75" customHeight="1" outlineLevelCol="1" x14ac:dyDescent="0.15"/>
  <cols>
    <col min="1" max="1" width="4.83203125" customWidth="1"/>
    <col min="2" max="2" width="49.33203125" customWidth="1"/>
    <col min="3" max="3" width="16" customWidth="1"/>
    <col min="4" max="4" width="4.5" customWidth="1"/>
    <col min="5" max="5" width="7.1640625" hidden="1" customWidth="1" outlineLevel="1"/>
    <col min="6" max="6" width="4.1640625" hidden="1" customWidth="1" outlineLevel="1"/>
    <col min="7" max="7" width="9.83203125" hidden="1" customWidth="1" outlineLevel="1"/>
    <col min="8" max="8" width="4.5" hidden="1" customWidth="1" outlineLevel="1"/>
    <col min="9" max="9" width="4.6640625" hidden="1" customWidth="1" outlineLevel="1"/>
    <col min="10" max="12" width="4.5" hidden="1" customWidth="1" outlineLevel="1"/>
  </cols>
  <sheetData>
    <row r="1" spans="1:12" ht="15.75" customHeight="1" x14ac:dyDescent="0.15">
      <c r="A1" s="376"/>
      <c r="B1" s="380" t="s">
        <v>224</v>
      </c>
      <c r="C1" s="380"/>
      <c r="D1" s="376"/>
      <c r="E1" s="55"/>
      <c r="F1" s="55"/>
      <c r="G1" s="55"/>
      <c r="H1" s="55"/>
      <c r="I1" s="55"/>
      <c r="J1" s="55"/>
      <c r="K1" s="55"/>
      <c r="L1" s="55"/>
    </row>
    <row r="2" spans="1:12" ht="15.75" customHeight="1" x14ac:dyDescent="0.15">
      <c r="A2" s="376"/>
      <c r="B2" s="123" t="s">
        <v>78</v>
      </c>
      <c r="C2" s="123" t="s">
        <v>79</v>
      </c>
      <c r="D2" s="376"/>
      <c r="E2" s="125" t="s">
        <v>80</v>
      </c>
      <c r="F2" s="124" t="s">
        <v>81</v>
      </c>
      <c r="G2" s="124" t="s">
        <v>82</v>
      </c>
      <c r="H2" s="124" t="s">
        <v>83</v>
      </c>
      <c r="I2" s="124" t="s">
        <v>84</v>
      </c>
      <c r="J2" s="124" t="s">
        <v>85</v>
      </c>
      <c r="K2" s="124" t="s">
        <v>86</v>
      </c>
      <c r="L2" s="124" t="s">
        <v>87</v>
      </c>
    </row>
    <row r="3" spans="1:12" ht="15.75" customHeight="1" x14ac:dyDescent="0.15">
      <c r="A3" s="376"/>
      <c r="B3" s="120" t="s">
        <v>226</v>
      </c>
      <c r="C3" s="115" t="s">
        <v>227</v>
      </c>
      <c r="D3" s="376"/>
      <c r="E3" s="117">
        <f>IF(C3="L1", F3, IF(C3="L2", G3, IF(C3="L3", H3, "")))</f>
        <v>0.5</v>
      </c>
      <c r="F3" s="118">
        <v>0.5</v>
      </c>
      <c r="G3" s="118">
        <v>1</v>
      </c>
      <c r="H3" s="118">
        <v>1.5</v>
      </c>
      <c r="I3" s="55"/>
      <c r="J3" s="55"/>
      <c r="K3" s="55"/>
      <c r="L3" s="55"/>
    </row>
    <row r="4" spans="1:12" ht="15.75" customHeight="1" x14ac:dyDescent="0.15">
      <c r="A4" s="376"/>
      <c r="B4" s="122" t="s">
        <v>230</v>
      </c>
      <c r="C4" s="123" t="s">
        <v>98</v>
      </c>
      <c r="D4" s="376"/>
      <c r="E4" s="55"/>
      <c r="F4" s="124" t="s">
        <v>99</v>
      </c>
      <c r="G4" s="124" t="s">
        <v>100</v>
      </c>
      <c r="H4" s="55"/>
      <c r="I4" s="55"/>
      <c r="J4" s="55"/>
      <c r="K4" s="55"/>
      <c r="L4" s="55"/>
    </row>
    <row r="5" spans="1:12" ht="15.75" customHeight="1" x14ac:dyDescent="0.15">
      <c r="A5" s="376"/>
      <c r="B5" s="116" t="s">
        <v>30</v>
      </c>
      <c r="C5" s="119">
        <f>CEILING(F5*E$3, 0.1)</f>
        <v>1.5</v>
      </c>
      <c r="D5" s="376"/>
      <c r="E5" s="55"/>
      <c r="F5" s="118">
        <v>3</v>
      </c>
      <c r="G5" s="118"/>
      <c r="H5" s="55"/>
      <c r="I5" s="55"/>
      <c r="J5" s="55"/>
      <c r="K5" s="55"/>
      <c r="L5" s="55"/>
    </row>
    <row r="6" spans="1:12" ht="15.75" customHeight="1" x14ac:dyDescent="0.15">
      <c r="A6" s="376"/>
      <c r="B6" s="116" t="s">
        <v>225</v>
      </c>
      <c r="C6" s="119">
        <f>CEILING(F6*E$3, 0.1)</f>
        <v>2.5</v>
      </c>
      <c r="D6" s="376"/>
      <c r="E6" s="55"/>
      <c r="F6" s="118">
        <v>5</v>
      </c>
      <c r="G6" s="118"/>
      <c r="H6" s="55"/>
      <c r="I6" s="55"/>
      <c r="J6" s="55"/>
      <c r="K6" s="55"/>
      <c r="L6" s="55"/>
    </row>
    <row r="7" spans="1:12" ht="15.75" customHeight="1" x14ac:dyDescent="0.15">
      <c r="A7" s="376"/>
      <c r="B7" s="116" t="s">
        <v>229</v>
      </c>
      <c r="C7" s="119">
        <f>CEILING(F7*E$3, 0.1)</f>
        <v>2.5</v>
      </c>
      <c r="D7" s="376"/>
      <c r="E7" s="55"/>
      <c r="F7" s="118">
        <v>5</v>
      </c>
      <c r="G7" s="118"/>
      <c r="H7" s="55"/>
      <c r="I7" s="55"/>
      <c r="J7" s="55"/>
      <c r="K7" s="55"/>
      <c r="L7" s="55"/>
    </row>
    <row r="8" spans="1:12" ht="15.75" customHeight="1" x14ac:dyDescent="0.15">
      <c r="A8" s="376"/>
      <c r="B8" s="116" t="s">
        <v>36</v>
      </c>
      <c r="C8" s="119">
        <f>CEILING(F8*E$3, 0.1)</f>
        <v>2.5</v>
      </c>
      <c r="D8" s="376"/>
      <c r="E8" s="55"/>
      <c r="F8" s="118">
        <v>5</v>
      </c>
      <c r="G8" s="118"/>
      <c r="H8" s="55"/>
      <c r="I8" s="55"/>
      <c r="J8" s="55"/>
      <c r="K8" s="55"/>
      <c r="L8" s="55"/>
    </row>
    <row r="9" spans="1:12" ht="15.75" customHeight="1" x14ac:dyDescent="0.15">
      <c r="A9" s="374"/>
      <c r="B9" s="116" t="s">
        <v>223</v>
      </c>
      <c r="C9" s="119">
        <f>CEILING(F9*E$3, 0.1)</f>
        <v>2</v>
      </c>
      <c r="D9" s="376"/>
      <c r="E9" s="55"/>
      <c r="F9" s="118">
        <v>4</v>
      </c>
      <c r="G9" s="118"/>
      <c r="H9" s="55"/>
      <c r="I9" s="55"/>
      <c r="J9" s="55"/>
      <c r="K9" s="55"/>
      <c r="L9" s="55"/>
    </row>
    <row r="10" spans="1:12" ht="15.75" customHeight="1" x14ac:dyDescent="0.15">
      <c r="A10" s="376"/>
      <c r="B10" s="370" t="s">
        <v>113</v>
      </c>
      <c r="C10" s="123">
        <f>CEILING(SUM(C5:C9), 1)</f>
        <v>11</v>
      </c>
      <c r="D10" s="376"/>
      <c r="E10" s="55"/>
      <c r="F10" s="55"/>
      <c r="G10" s="55"/>
      <c r="H10" s="55"/>
      <c r="I10" s="55"/>
      <c r="J10" s="55"/>
      <c r="K10" s="55"/>
      <c r="L10" s="55"/>
    </row>
    <row r="11" spans="1:12" ht="15.75" customHeight="1" x14ac:dyDescent="0.15">
      <c r="A11" s="376"/>
      <c r="B11" s="370"/>
      <c r="C11" s="126">
        <f>C10*Параметры!$B$2</f>
        <v>334400</v>
      </c>
      <c r="D11" s="376"/>
      <c r="E11" s="55"/>
      <c r="F11" s="55"/>
      <c r="G11" s="55"/>
      <c r="H11" s="55"/>
      <c r="I11" s="55"/>
      <c r="J11" s="55"/>
      <c r="K11" s="55"/>
      <c r="L11" s="55"/>
    </row>
    <row r="12" spans="1:12" ht="15.75" customHeight="1" x14ac:dyDescent="0.15">
      <c r="A12" s="376"/>
      <c r="B12" s="133" t="s">
        <v>231</v>
      </c>
      <c r="C12" s="123" t="s">
        <v>98</v>
      </c>
      <c r="D12" s="376"/>
      <c r="E12" s="55"/>
      <c r="F12" s="55"/>
      <c r="G12" s="55"/>
      <c r="H12" s="55"/>
      <c r="I12" s="55"/>
      <c r="J12" s="55"/>
      <c r="K12" s="55"/>
      <c r="L12" s="55"/>
    </row>
    <row r="13" spans="1:12" ht="15.75" customHeight="1" x14ac:dyDescent="0.15">
      <c r="A13" s="376"/>
      <c r="B13" s="378" t="s">
        <v>228</v>
      </c>
      <c r="C13" s="378"/>
      <c r="D13" s="376"/>
      <c r="E13" s="55"/>
      <c r="F13" s="55"/>
      <c r="G13" s="55"/>
      <c r="H13" s="55"/>
      <c r="I13" s="55"/>
      <c r="J13" s="55"/>
      <c r="K13" s="55"/>
      <c r="L13" s="55"/>
    </row>
    <row r="14" spans="1:12" ht="15.75" customHeight="1" x14ac:dyDescent="0.15">
      <c r="A14" s="376"/>
      <c r="B14" s="127" t="s">
        <v>228</v>
      </c>
      <c r="C14" s="128" t="s">
        <v>228</v>
      </c>
      <c r="D14" s="376"/>
      <c r="E14" s="55"/>
      <c r="F14" s="55"/>
      <c r="G14" s="55"/>
      <c r="H14" s="55"/>
      <c r="I14" s="55"/>
      <c r="J14" s="55"/>
      <c r="K14" s="55"/>
      <c r="L14" s="55"/>
    </row>
    <row r="15" spans="1:12" ht="15.75" customHeight="1" x14ac:dyDescent="0.15">
      <c r="A15" s="376"/>
      <c r="B15" s="370" t="s">
        <v>113</v>
      </c>
      <c r="C15" s="130" t="s">
        <v>175</v>
      </c>
      <c r="D15" s="376"/>
      <c r="E15" s="55"/>
      <c r="F15" s="55"/>
      <c r="G15" s="55"/>
      <c r="H15" s="55"/>
      <c r="I15" s="55"/>
      <c r="J15" s="55"/>
      <c r="K15" s="55"/>
      <c r="L15" s="55"/>
    </row>
    <row r="16" spans="1:12" ht="15.75" customHeight="1" x14ac:dyDescent="0.15">
      <c r="A16" s="376"/>
      <c r="B16" s="370"/>
      <c r="C16" s="131" t="s">
        <v>175</v>
      </c>
      <c r="D16" s="376"/>
      <c r="E16" s="55"/>
      <c r="F16" s="55"/>
      <c r="G16" s="55"/>
      <c r="H16" s="55"/>
      <c r="I16" s="55"/>
      <c r="J16" s="55"/>
      <c r="K16" s="55"/>
      <c r="L16" s="55"/>
    </row>
  </sheetData>
  <mergeCells count="6">
    <mergeCell ref="A1:A16"/>
    <mergeCell ref="B1:C1"/>
    <mergeCell ref="D1:D16"/>
    <mergeCell ref="B10:B11"/>
    <mergeCell ref="B13:C13"/>
    <mergeCell ref="B15:B16"/>
  </mergeCells>
  <dataValidations count="1">
    <dataValidation type="list" allowBlank="1" showErrorMessage="1" sqref="C3" xr:uid="{00000000-0002-0000-0900-000000000000}">
      <formula1>"L1,L2,L3"</formula1>
    </dataValidation>
  </dataValidations>
  <pageMargins left="0.70000004768371582" right="0.70000004768371582" top="0.75" bottom="0.75" header="0.30000001192092896" footer="0.300000011920928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7"/>
  <sheetViews>
    <sheetView workbookViewId="0">
      <selection sqref="A1:B1"/>
    </sheetView>
  </sheetViews>
  <sheetFormatPr baseColWidth="10" defaultColWidth="12.5" defaultRowHeight="15.75" customHeight="1" x14ac:dyDescent="0.15"/>
  <cols>
    <col min="1" max="1" width="34.83203125" customWidth="1"/>
    <col min="2" max="2" width="15.6640625" customWidth="1"/>
  </cols>
  <sheetData>
    <row r="1" spans="1:2" ht="13" x14ac:dyDescent="0.15">
      <c r="A1" s="381" t="s">
        <v>232</v>
      </c>
      <c r="B1" s="381"/>
    </row>
    <row r="2" spans="1:2" ht="13" x14ac:dyDescent="0.15">
      <c r="A2" s="137" t="s">
        <v>233</v>
      </c>
      <c r="B2" s="138">
        <f>B3*8</f>
        <v>30400</v>
      </c>
    </row>
    <row r="3" spans="1:2" ht="13" x14ac:dyDescent="0.15">
      <c r="A3" s="137" t="s">
        <v>237</v>
      </c>
      <c r="B3" s="138">
        <v>3800</v>
      </c>
    </row>
    <row r="4" spans="1:2" ht="13" x14ac:dyDescent="0.15">
      <c r="A4" s="382" t="s">
        <v>234</v>
      </c>
      <c r="B4" s="382"/>
    </row>
    <row r="5" spans="1:2" ht="49.25" customHeight="1" x14ac:dyDescent="0.15">
      <c r="A5" s="134" t="s">
        <v>235</v>
      </c>
      <c r="B5" s="136">
        <v>0.5</v>
      </c>
    </row>
    <row r="6" spans="1:2" ht="52.25" customHeight="1" x14ac:dyDescent="0.15">
      <c r="A6" s="135" t="s">
        <v>236</v>
      </c>
      <c r="B6" s="136">
        <v>1.5</v>
      </c>
    </row>
    <row r="7" spans="1:2" ht="52.25" customHeight="1" x14ac:dyDescent="0.15">
      <c r="A7" s="139" t="s">
        <v>238</v>
      </c>
      <c r="B7" s="136">
        <v>2</v>
      </c>
    </row>
  </sheetData>
  <mergeCells count="2">
    <mergeCell ref="A1:B1"/>
    <mergeCell ref="A4:B4"/>
  </mergeCells>
  <pageMargins left="0.70000004768371582" right="0.70000004768371582" top="0.75" bottom="0.75" header="0.30000001192092896" footer="0.300000011920928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45"/>
  <sheetViews>
    <sheetView zoomScaleNormal="100" workbookViewId="0">
      <pane ySplit="1" topLeftCell="A80" activePane="bottomLeft" state="frozen"/>
      <selection activeCell="H17" sqref="H17"/>
      <selection pane="bottomLeft" activeCell="E91" sqref="E91"/>
    </sheetView>
  </sheetViews>
  <sheetFormatPr baseColWidth="10" defaultColWidth="8.83203125" defaultRowHeight="14" x14ac:dyDescent="0.2"/>
  <cols>
    <col min="1" max="1" width="14" style="143" bestFit="1" customWidth="1"/>
    <col min="2" max="2" width="20.6640625" style="144" bestFit="1" customWidth="1"/>
    <col min="3" max="3" width="39" style="144" customWidth="1"/>
    <col min="4" max="4" width="16.5" style="144" customWidth="1"/>
    <col min="5" max="5" width="44.83203125" style="186" bestFit="1" customWidth="1"/>
    <col min="6" max="6" width="29.5" style="186" customWidth="1"/>
    <col min="7" max="7" width="12.83203125" style="186" bestFit="1" customWidth="1"/>
    <col min="8" max="8" width="60.1640625" style="144" customWidth="1"/>
    <col min="9" max="9" width="43" style="143" customWidth="1"/>
    <col min="10" max="10" width="34.6640625" style="143" customWidth="1"/>
    <col min="11" max="11" width="27.1640625" style="143" customWidth="1"/>
    <col min="12" max="12" width="43" style="143" customWidth="1"/>
    <col min="13" max="13" width="8.83203125" style="143" bestFit="1" customWidth="1"/>
    <col min="14" max="16384" width="8.83203125" style="143"/>
  </cols>
  <sheetData>
    <row r="1" spans="1:11" ht="15" x14ac:dyDescent="0.2">
      <c r="A1" s="167" t="s">
        <v>298</v>
      </c>
      <c r="B1" s="168" t="s">
        <v>242</v>
      </c>
      <c r="C1" s="168" t="s">
        <v>243</v>
      </c>
      <c r="D1" s="168" t="s">
        <v>244</v>
      </c>
      <c r="E1" s="168" t="s">
        <v>351</v>
      </c>
      <c r="F1" s="168" t="s">
        <v>245</v>
      </c>
      <c r="G1" s="168" t="s">
        <v>300</v>
      </c>
      <c r="H1" s="168" t="s">
        <v>346</v>
      </c>
      <c r="I1" s="168" t="s">
        <v>247</v>
      </c>
      <c r="J1" s="167" t="s">
        <v>248</v>
      </c>
      <c r="K1" s="167" t="s">
        <v>250</v>
      </c>
    </row>
    <row r="2" spans="1:11" ht="45" x14ac:dyDescent="0.2">
      <c r="A2" s="169" t="s">
        <v>348</v>
      </c>
      <c r="B2" s="170" t="s">
        <v>240</v>
      </c>
      <c r="C2" s="170" t="s">
        <v>241</v>
      </c>
      <c r="D2" s="170" t="s">
        <v>403</v>
      </c>
      <c r="E2" s="171" t="s">
        <v>251</v>
      </c>
      <c r="F2" s="171"/>
      <c r="G2" s="171" t="s">
        <v>306</v>
      </c>
      <c r="H2" s="170" t="s">
        <v>317</v>
      </c>
      <c r="I2" s="169"/>
      <c r="J2" s="169"/>
      <c r="K2" s="169"/>
    </row>
    <row r="3" spans="1:11" ht="45" x14ac:dyDescent="0.2">
      <c r="A3" s="169" t="s">
        <v>348</v>
      </c>
      <c r="B3" s="170" t="s">
        <v>240</v>
      </c>
      <c r="C3" s="170" t="s">
        <v>241</v>
      </c>
      <c r="D3" s="170" t="s">
        <v>403</v>
      </c>
      <c r="E3" s="171" t="s">
        <v>252</v>
      </c>
      <c r="F3" s="171"/>
      <c r="G3" s="171" t="s">
        <v>306</v>
      </c>
      <c r="H3" s="170" t="s">
        <v>318</v>
      </c>
      <c r="I3" s="170" t="s">
        <v>253</v>
      </c>
      <c r="J3" s="169"/>
      <c r="K3" s="170" t="s">
        <v>254</v>
      </c>
    </row>
    <row r="4" spans="1:11" ht="45" x14ac:dyDescent="0.2">
      <c r="A4" s="169" t="s">
        <v>348</v>
      </c>
      <c r="B4" s="170" t="s">
        <v>240</v>
      </c>
      <c r="C4" s="170" t="s">
        <v>241</v>
      </c>
      <c r="D4" s="170" t="s">
        <v>403</v>
      </c>
      <c r="E4" s="171" t="s">
        <v>256</v>
      </c>
      <c r="F4" s="171"/>
      <c r="G4" s="171" t="s">
        <v>306</v>
      </c>
      <c r="H4" s="170" t="s">
        <v>319</v>
      </c>
      <c r="I4" s="170" t="s">
        <v>258</v>
      </c>
      <c r="J4" s="169"/>
      <c r="K4" s="169"/>
    </row>
    <row r="5" spans="1:11" ht="60" x14ac:dyDescent="0.2">
      <c r="A5" s="169" t="s">
        <v>348</v>
      </c>
      <c r="B5" s="170" t="s">
        <v>240</v>
      </c>
      <c r="C5" s="170" t="s">
        <v>260</v>
      </c>
      <c r="D5" s="170" t="s">
        <v>404</v>
      </c>
      <c r="E5" s="171" t="s">
        <v>69</v>
      </c>
      <c r="F5" s="171"/>
      <c r="G5" s="171" t="s">
        <v>308</v>
      </c>
      <c r="H5" s="170" t="s">
        <v>320</v>
      </c>
      <c r="I5" s="169"/>
      <c r="J5" s="170" t="s">
        <v>261</v>
      </c>
      <c r="K5" s="169"/>
    </row>
    <row r="6" spans="1:11" ht="45" x14ac:dyDescent="0.2">
      <c r="A6" s="169" t="s">
        <v>348</v>
      </c>
      <c r="B6" s="170" t="s">
        <v>240</v>
      </c>
      <c r="C6" s="170" t="s">
        <v>260</v>
      </c>
      <c r="D6" s="170" t="s">
        <v>403</v>
      </c>
      <c r="E6" s="171" t="s">
        <v>262</v>
      </c>
      <c r="F6" s="171"/>
      <c r="G6" s="171" t="s">
        <v>308</v>
      </c>
      <c r="H6" s="170" t="s">
        <v>321</v>
      </c>
      <c r="I6" s="170" t="s">
        <v>263</v>
      </c>
      <c r="J6" s="169" t="s">
        <v>265</v>
      </c>
      <c r="K6" s="169"/>
    </row>
    <row r="7" spans="1:11" ht="30" x14ac:dyDescent="0.2">
      <c r="A7" s="169" t="s">
        <v>348</v>
      </c>
      <c r="B7" s="170" t="s">
        <v>240</v>
      </c>
      <c r="C7" s="170" t="s">
        <v>266</v>
      </c>
      <c r="D7" s="170" t="s">
        <v>403</v>
      </c>
      <c r="E7" s="171" t="s">
        <v>322</v>
      </c>
      <c r="F7" s="171"/>
      <c r="G7" s="171" t="s">
        <v>308</v>
      </c>
      <c r="H7" s="170" t="s">
        <v>323</v>
      </c>
      <c r="I7" s="383" t="s">
        <v>268</v>
      </c>
      <c r="J7" s="169"/>
      <c r="K7" s="169"/>
    </row>
    <row r="8" spans="1:11" ht="30" x14ac:dyDescent="0.2">
      <c r="A8" s="169" t="s">
        <v>348</v>
      </c>
      <c r="B8" s="170" t="s">
        <v>240</v>
      </c>
      <c r="C8" s="170" t="s">
        <v>266</v>
      </c>
      <c r="D8" s="170" t="s">
        <v>403</v>
      </c>
      <c r="E8" s="171" t="s">
        <v>272</v>
      </c>
      <c r="F8" s="171"/>
      <c r="G8" s="171" t="s">
        <v>308</v>
      </c>
      <c r="H8" s="170" t="s">
        <v>324</v>
      </c>
      <c r="I8" s="383"/>
      <c r="J8" s="169"/>
      <c r="K8" s="169"/>
    </row>
    <row r="9" spans="1:11" ht="30" x14ac:dyDescent="0.2">
      <c r="A9" s="169" t="s">
        <v>348</v>
      </c>
      <c r="B9" s="170" t="s">
        <v>240</v>
      </c>
      <c r="C9" s="170" t="s">
        <v>266</v>
      </c>
      <c r="D9" s="170" t="s">
        <v>403</v>
      </c>
      <c r="E9" s="171" t="s">
        <v>274</v>
      </c>
      <c r="F9" s="171"/>
      <c r="G9" s="171" t="s">
        <v>308</v>
      </c>
      <c r="H9" s="170" t="s">
        <v>325</v>
      </c>
      <c r="I9" s="383"/>
      <c r="J9" s="169"/>
      <c r="K9" s="169"/>
    </row>
    <row r="10" spans="1:11" ht="30" x14ac:dyDescent="0.2">
      <c r="A10" s="169" t="s">
        <v>348</v>
      </c>
      <c r="B10" s="170" t="s">
        <v>240</v>
      </c>
      <c r="C10" s="170" t="s">
        <v>260</v>
      </c>
      <c r="D10" s="170" t="s">
        <v>403</v>
      </c>
      <c r="E10" s="171" t="s">
        <v>276</v>
      </c>
      <c r="F10" s="171"/>
      <c r="G10" s="171" t="s">
        <v>309</v>
      </c>
      <c r="H10" s="170" t="s">
        <v>326</v>
      </c>
      <c r="I10" s="383" t="s">
        <v>278</v>
      </c>
      <c r="J10" s="169" t="s">
        <v>279</v>
      </c>
      <c r="K10" s="169"/>
    </row>
    <row r="11" spans="1:11" ht="15" x14ac:dyDescent="0.2">
      <c r="A11" s="169" t="s">
        <v>348</v>
      </c>
      <c r="B11" s="170" t="s">
        <v>240</v>
      </c>
      <c r="C11" s="170" t="s">
        <v>260</v>
      </c>
      <c r="D11" s="170" t="s">
        <v>403</v>
      </c>
      <c r="E11" s="171" t="s">
        <v>35</v>
      </c>
      <c r="F11" s="171"/>
      <c r="G11" s="171" t="s">
        <v>309</v>
      </c>
      <c r="H11" s="170"/>
      <c r="I11" s="383"/>
      <c r="J11" s="169"/>
      <c r="K11" s="169"/>
    </row>
    <row r="12" spans="1:11" ht="30" x14ac:dyDescent="0.2">
      <c r="A12" s="169" t="s">
        <v>348</v>
      </c>
      <c r="B12" s="170" t="s">
        <v>240</v>
      </c>
      <c r="C12" s="170" t="s">
        <v>260</v>
      </c>
      <c r="D12" s="170" t="s">
        <v>403</v>
      </c>
      <c r="E12" s="171" t="s">
        <v>281</v>
      </c>
      <c r="F12" s="171"/>
      <c r="G12" s="171" t="s">
        <v>309</v>
      </c>
      <c r="H12" s="170" t="s">
        <v>327</v>
      </c>
      <c r="I12" s="383"/>
      <c r="J12" s="169"/>
      <c r="K12" s="169"/>
    </row>
    <row r="13" spans="1:11" ht="30" x14ac:dyDescent="0.2">
      <c r="A13" s="169" t="s">
        <v>348</v>
      </c>
      <c r="B13" s="170" t="s">
        <v>240</v>
      </c>
      <c r="C13" s="170" t="s">
        <v>260</v>
      </c>
      <c r="D13" s="170" t="s">
        <v>403</v>
      </c>
      <c r="E13" s="171" t="s">
        <v>282</v>
      </c>
      <c r="F13" s="171"/>
      <c r="G13" s="171" t="s">
        <v>309</v>
      </c>
      <c r="H13" s="170" t="s">
        <v>328</v>
      </c>
      <c r="I13" s="383"/>
      <c r="J13" s="169"/>
      <c r="K13" s="169"/>
    </row>
    <row r="14" spans="1:11" ht="45" x14ac:dyDescent="0.2">
      <c r="A14" s="169" t="s">
        <v>348</v>
      </c>
      <c r="B14" s="170" t="s">
        <v>240</v>
      </c>
      <c r="C14" s="173" t="s">
        <v>241</v>
      </c>
      <c r="D14" s="170" t="s">
        <v>403</v>
      </c>
      <c r="E14" s="171" t="s">
        <v>329</v>
      </c>
      <c r="F14" s="171"/>
      <c r="G14" s="171" t="s">
        <v>309</v>
      </c>
      <c r="H14" s="170" t="s">
        <v>330</v>
      </c>
      <c r="I14" s="170" t="s">
        <v>283</v>
      </c>
      <c r="J14" s="169" t="s">
        <v>279</v>
      </c>
      <c r="K14" s="169"/>
    </row>
    <row r="15" spans="1:11" ht="45" x14ac:dyDescent="0.2">
      <c r="A15" s="169" t="s">
        <v>348</v>
      </c>
      <c r="B15" s="170" t="s">
        <v>240</v>
      </c>
      <c r="C15" s="173" t="s">
        <v>241</v>
      </c>
      <c r="D15" s="170" t="s">
        <v>403</v>
      </c>
      <c r="E15" s="171" t="s">
        <v>284</v>
      </c>
      <c r="F15" s="171"/>
      <c r="G15" s="171" t="s">
        <v>309</v>
      </c>
      <c r="H15" s="170" t="s">
        <v>331</v>
      </c>
      <c r="I15" s="170" t="s">
        <v>283</v>
      </c>
      <c r="J15" s="169"/>
      <c r="K15" s="169"/>
    </row>
    <row r="16" spans="1:11" ht="45" x14ac:dyDescent="0.2">
      <c r="A16" s="169" t="s">
        <v>348</v>
      </c>
      <c r="B16" s="170" t="s">
        <v>240</v>
      </c>
      <c r="C16" s="173" t="s">
        <v>241</v>
      </c>
      <c r="D16" s="170" t="s">
        <v>403</v>
      </c>
      <c r="E16" s="171" t="s">
        <v>286</v>
      </c>
      <c r="F16" s="171"/>
      <c r="G16" s="171" t="s">
        <v>309</v>
      </c>
      <c r="H16" s="170" t="s">
        <v>332</v>
      </c>
      <c r="I16" s="170" t="s">
        <v>283</v>
      </c>
      <c r="J16" s="169"/>
      <c r="K16" s="169"/>
    </row>
    <row r="17" spans="1:12" ht="45" x14ac:dyDescent="0.2">
      <c r="A17" s="169" t="s">
        <v>348</v>
      </c>
      <c r="B17" s="170" t="s">
        <v>240</v>
      </c>
      <c r="C17" s="173" t="s">
        <v>241</v>
      </c>
      <c r="D17" s="170" t="s">
        <v>403</v>
      </c>
      <c r="E17" s="171" t="s">
        <v>287</v>
      </c>
      <c r="F17" s="171"/>
      <c r="G17" s="171" t="s">
        <v>311</v>
      </c>
      <c r="H17" s="170" t="s">
        <v>333</v>
      </c>
      <c r="I17" s="172" t="s">
        <v>288</v>
      </c>
      <c r="J17" s="169"/>
      <c r="K17" s="169"/>
    </row>
    <row r="18" spans="1:12" s="162" customFormat="1" ht="60" x14ac:dyDescent="0.2">
      <c r="A18" s="174" t="s">
        <v>347</v>
      </c>
      <c r="B18" s="175" t="s">
        <v>175</v>
      </c>
      <c r="C18" s="175" t="s">
        <v>175</v>
      </c>
      <c r="D18" s="175" t="s">
        <v>403</v>
      </c>
      <c r="E18" s="175" t="s">
        <v>118</v>
      </c>
      <c r="F18" s="175" t="s">
        <v>175</v>
      </c>
      <c r="G18" s="175" t="s">
        <v>269</v>
      </c>
      <c r="H18" s="175" t="s">
        <v>334</v>
      </c>
      <c r="I18" s="176" t="s">
        <v>361</v>
      </c>
      <c r="J18" s="174"/>
      <c r="K18" s="174" t="s">
        <v>382</v>
      </c>
      <c r="L18" s="160"/>
    </row>
    <row r="19" spans="1:12" s="162" customFormat="1" ht="60" x14ac:dyDescent="0.2">
      <c r="A19" s="174" t="s">
        <v>347</v>
      </c>
      <c r="B19" s="175" t="s">
        <v>175</v>
      </c>
      <c r="C19" s="175" t="s">
        <v>175</v>
      </c>
      <c r="D19" s="175" t="s">
        <v>403</v>
      </c>
      <c r="E19" s="175" t="s">
        <v>90</v>
      </c>
      <c r="F19" s="175" t="s">
        <v>175</v>
      </c>
      <c r="G19" s="175" t="s">
        <v>269</v>
      </c>
      <c r="H19" s="175" t="s">
        <v>335</v>
      </c>
      <c r="I19" s="160" t="s">
        <v>356</v>
      </c>
      <c r="J19" s="174"/>
      <c r="K19" s="174"/>
      <c r="L19" s="160"/>
    </row>
    <row r="20" spans="1:12" s="162" customFormat="1" ht="90" x14ac:dyDescent="0.2">
      <c r="A20" s="174" t="s">
        <v>347</v>
      </c>
      <c r="B20" s="175" t="s">
        <v>175</v>
      </c>
      <c r="C20" s="175" t="s">
        <v>175</v>
      </c>
      <c r="D20" s="175" t="s">
        <v>403</v>
      </c>
      <c r="E20" s="175" t="s">
        <v>92</v>
      </c>
      <c r="F20" s="175" t="s">
        <v>175</v>
      </c>
      <c r="G20" s="175" t="s">
        <v>269</v>
      </c>
      <c r="H20" s="175" t="s">
        <v>336</v>
      </c>
      <c r="I20" s="176" t="s">
        <v>356</v>
      </c>
      <c r="J20" s="174"/>
      <c r="K20" s="174"/>
    </row>
    <row r="21" spans="1:12" s="162" customFormat="1" ht="60" x14ac:dyDescent="0.2">
      <c r="A21" s="174" t="s">
        <v>347</v>
      </c>
      <c r="B21" s="175" t="s">
        <v>175</v>
      </c>
      <c r="C21" s="175" t="s">
        <v>175</v>
      </c>
      <c r="D21" s="175" t="s">
        <v>403</v>
      </c>
      <c r="E21" s="175" t="s">
        <v>94</v>
      </c>
      <c r="F21" s="175" t="s">
        <v>175</v>
      </c>
      <c r="G21" s="175" t="s">
        <v>269</v>
      </c>
      <c r="H21" s="175" t="s">
        <v>337</v>
      </c>
      <c r="I21" s="176" t="s">
        <v>350</v>
      </c>
      <c r="J21" s="174"/>
      <c r="K21" s="174"/>
      <c r="L21" s="160"/>
    </row>
    <row r="22" spans="1:12" ht="60" x14ac:dyDescent="0.2">
      <c r="A22" s="169" t="s">
        <v>347</v>
      </c>
      <c r="B22" s="170" t="s">
        <v>240</v>
      </c>
      <c r="C22" s="177" t="s">
        <v>289</v>
      </c>
      <c r="D22" s="170" t="s">
        <v>403</v>
      </c>
      <c r="E22" s="171" t="s">
        <v>96</v>
      </c>
      <c r="F22" s="171" t="s">
        <v>175</v>
      </c>
      <c r="G22" s="171" t="s">
        <v>269</v>
      </c>
      <c r="H22" s="170" t="s">
        <v>338</v>
      </c>
      <c r="I22" s="172" t="s">
        <v>292</v>
      </c>
      <c r="J22" s="169"/>
      <c r="K22" s="169"/>
    </row>
    <row r="23" spans="1:12" ht="60" x14ac:dyDescent="0.2">
      <c r="A23" s="169" t="s">
        <v>347</v>
      </c>
      <c r="B23" s="170" t="s">
        <v>240</v>
      </c>
      <c r="C23" s="177" t="s">
        <v>289</v>
      </c>
      <c r="D23" s="170" t="s">
        <v>403</v>
      </c>
      <c r="E23" s="171" t="s">
        <v>102</v>
      </c>
      <c r="F23" s="171" t="s">
        <v>175</v>
      </c>
      <c r="G23" s="171" t="s">
        <v>269</v>
      </c>
      <c r="H23" s="170" t="s">
        <v>338</v>
      </c>
      <c r="I23" s="172" t="s">
        <v>292</v>
      </c>
      <c r="J23" s="169"/>
      <c r="K23" s="169"/>
    </row>
    <row r="24" spans="1:12" ht="45" x14ac:dyDescent="0.2">
      <c r="A24" s="169" t="s">
        <v>347</v>
      </c>
      <c r="B24" s="170" t="s">
        <v>240</v>
      </c>
      <c r="C24" s="170" t="s">
        <v>373</v>
      </c>
      <c r="D24" s="170" t="s">
        <v>403</v>
      </c>
      <c r="E24" s="171" t="s">
        <v>104</v>
      </c>
      <c r="F24" s="171" t="s">
        <v>352</v>
      </c>
      <c r="G24" s="171" t="s">
        <v>269</v>
      </c>
      <c r="H24" s="170" t="s">
        <v>339</v>
      </c>
      <c r="I24" s="172" t="s">
        <v>353</v>
      </c>
      <c r="J24" s="169"/>
      <c r="K24" s="169"/>
    </row>
    <row r="25" spans="1:12" ht="45" x14ac:dyDescent="0.2">
      <c r="A25" s="169" t="s">
        <v>347</v>
      </c>
      <c r="B25" s="170" t="s">
        <v>240</v>
      </c>
      <c r="C25" s="170" t="s">
        <v>373</v>
      </c>
      <c r="D25" s="170" t="s">
        <v>403</v>
      </c>
      <c r="E25" s="171" t="s">
        <v>108</v>
      </c>
      <c r="F25" s="171" t="s">
        <v>352</v>
      </c>
      <c r="G25" s="171" t="s">
        <v>269</v>
      </c>
      <c r="H25" s="170" t="s">
        <v>338</v>
      </c>
      <c r="I25" s="172" t="s">
        <v>353</v>
      </c>
      <c r="J25" s="169"/>
      <c r="K25" s="169"/>
    </row>
    <row r="26" spans="1:12" ht="45" x14ac:dyDescent="0.2">
      <c r="A26" s="169" t="s">
        <v>347</v>
      </c>
      <c r="B26" s="170" t="s">
        <v>240</v>
      </c>
      <c r="C26" s="170" t="s">
        <v>373</v>
      </c>
      <c r="D26" s="170" t="s">
        <v>403</v>
      </c>
      <c r="E26" s="171" t="s">
        <v>110</v>
      </c>
      <c r="F26" s="171" t="s">
        <v>354</v>
      </c>
      <c r="G26" s="171" t="s">
        <v>269</v>
      </c>
      <c r="H26" s="170" t="s">
        <v>339</v>
      </c>
      <c r="I26" s="172"/>
      <c r="J26" s="169"/>
      <c r="K26" s="169"/>
    </row>
    <row r="27" spans="1:12" s="182" customFormat="1" ht="60" x14ac:dyDescent="0.2">
      <c r="A27" s="178" t="s">
        <v>347</v>
      </c>
      <c r="B27" s="179" t="s">
        <v>175</v>
      </c>
      <c r="C27" s="179" t="s">
        <v>373</v>
      </c>
      <c r="D27" s="179" t="s">
        <v>403</v>
      </c>
      <c r="E27" s="179" t="s">
        <v>118</v>
      </c>
      <c r="F27" s="179" t="s">
        <v>360</v>
      </c>
      <c r="G27" s="179" t="s">
        <v>349</v>
      </c>
      <c r="H27" s="179" t="s">
        <v>334</v>
      </c>
      <c r="I27" s="180" t="s">
        <v>361</v>
      </c>
      <c r="J27" s="178"/>
      <c r="K27" s="178"/>
      <c r="L27" s="181"/>
    </row>
    <row r="28" spans="1:12" s="182" customFormat="1" ht="60" x14ac:dyDescent="0.2">
      <c r="A28" s="178" t="s">
        <v>347</v>
      </c>
      <c r="B28" s="179" t="s">
        <v>175</v>
      </c>
      <c r="C28" s="179" t="s">
        <v>373</v>
      </c>
      <c r="D28" s="179" t="s">
        <v>403</v>
      </c>
      <c r="E28" s="179" t="s">
        <v>90</v>
      </c>
      <c r="F28" s="179" t="s">
        <v>360</v>
      </c>
      <c r="G28" s="179" t="s">
        <v>349</v>
      </c>
      <c r="H28" s="179" t="s">
        <v>335</v>
      </c>
      <c r="I28" s="181" t="s">
        <v>356</v>
      </c>
      <c r="J28" s="178"/>
      <c r="K28" s="178"/>
      <c r="L28" s="181"/>
    </row>
    <row r="29" spans="1:12" s="182" customFormat="1" ht="90" x14ac:dyDescent="0.2">
      <c r="A29" s="178" t="s">
        <v>347</v>
      </c>
      <c r="B29" s="179" t="s">
        <v>175</v>
      </c>
      <c r="C29" s="179" t="s">
        <v>373</v>
      </c>
      <c r="D29" s="179" t="s">
        <v>403</v>
      </c>
      <c r="E29" s="179" t="s">
        <v>92</v>
      </c>
      <c r="F29" s="179" t="s">
        <v>360</v>
      </c>
      <c r="G29" s="179" t="s">
        <v>349</v>
      </c>
      <c r="H29" s="179" t="s">
        <v>336</v>
      </c>
      <c r="I29" s="180" t="s">
        <v>356</v>
      </c>
      <c r="J29" s="178"/>
      <c r="K29" s="178"/>
    </row>
    <row r="30" spans="1:12" s="182" customFormat="1" ht="60" x14ac:dyDescent="0.2">
      <c r="A30" s="178" t="s">
        <v>347</v>
      </c>
      <c r="B30" s="179" t="s">
        <v>175</v>
      </c>
      <c r="C30" s="179" t="s">
        <v>373</v>
      </c>
      <c r="D30" s="179" t="s">
        <v>403</v>
      </c>
      <c r="E30" s="179" t="s">
        <v>94</v>
      </c>
      <c r="F30" s="179" t="s">
        <v>360</v>
      </c>
      <c r="G30" s="179" t="s">
        <v>349</v>
      </c>
      <c r="H30" s="179" t="s">
        <v>337</v>
      </c>
      <c r="I30" s="180" t="s">
        <v>350</v>
      </c>
      <c r="J30" s="178"/>
      <c r="K30" s="178"/>
      <c r="L30" s="181"/>
    </row>
    <row r="31" spans="1:12" ht="45" x14ac:dyDescent="0.2">
      <c r="A31" s="169" t="s">
        <v>347</v>
      </c>
      <c r="B31" s="170" t="s">
        <v>240</v>
      </c>
      <c r="C31" s="170" t="s">
        <v>373</v>
      </c>
      <c r="D31" s="170" t="s">
        <v>403</v>
      </c>
      <c r="E31" s="171" t="s">
        <v>124</v>
      </c>
      <c r="F31" s="171" t="s">
        <v>355</v>
      </c>
      <c r="G31" s="171" t="s">
        <v>349</v>
      </c>
      <c r="H31" s="170" t="s">
        <v>340</v>
      </c>
      <c r="I31" s="173" t="s">
        <v>374</v>
      </c>
      <c r="J31" s="170"/>
      <c r="K31" s="169"/>
      <c r="L31" s="144"/>
    </row>
    <row r="32" spans="1:12" s="182" customFormat="1" ht="45" x14ac:dyDescent="0.2">
      <c r="A32" s="178" t="s">
        <v>347</v>
      </c>
      <c r="B32" s="179" t="s">
        <v>240</v>
      </c>
      <c r="C32" s="179" t="s">
        <v>373</v>
      </c>
      <c r="D32" s="179" t="s">
        <v>403</v>
      </c>
      <c r="E32" s="179" t="s">
        <v>104</v>
      </c>
      <c r="F32" s="179" t="s">
        <v>360</v>
      </c>
      <c r="G32" s="179" t="s">
        <v>269</v>
      </c>
      <c r="H32" s="179" t="s">
        <v>339</v>
      </c>
      <c r="I32" s="180" t="s">
        <v>353</v>
      </c>
      <c r="J32" s="178"/>
      <c r="K32" s="178"/>
    </row>
    <row r="33" spans="1:12" s="182" customFormat="1" ht="45" x14ac:dyDescent="0.2">
      <c r="A33" s="178" t="s">
        <v>347</v>
      </c>
      <c r="B33" s="179" t="s">
        <v>240</v>
      </c>
      <c r="C33" s="179" t="s">
        <v>373</v>
      </c>
      <c r="D33" s="179" t="s">
        <v>403</v>
      </c>
      <c r="E33" s="179" t="s">
        <v>108</v>
      </c>
      <c r="F33" s="179" t="s">
        <v>360</v>
      </c>
      <c r="G33" s="179" t="s">
        <v>269</v>
      </c>
      <c r="H33" s="179" t="s">
        <v>338</v>
      </c>
      <c r="I33" s="180" t="s">
        <v>353</v>
      </c>
      <c r="J33" s="178"/>
      <c r="K33" s="178"/>
    </row>
    <row r="34" spans="1:12" ht="45" x14ac:dyDescent="0.2">
      <c r="A34" s="169" t="s">
        <v>347</v>
      </c>
      <c r="B34" s="170" t="s">
        <v>240</v>
      </c>
      <c r="C34" s="170" t="s">
        <v>373</v>
      </c>
      <c r="D34" s="170" t="s">
        <v>403</v>
      </c>
      <c r="E34" s="171" t="s">
        <v>123</v>
      </c>
      <c r="F34" s="171" t="s">
        <v>359</v>
      </c>
      <c r="G34" s="171" t="s">
        <v>349</v>
      </c>
      <c r="H34" s="170" t="s">
        <v>341</v>
      </c>
      <c r="I34" s="170" t="s">
        <v>246</v>
      </c>
      <c r="J34" s="169"/>
      <c r="K34" s="169"/>
    </row>
    <row r="35" spans="1:12" ht="45" x14ac:dyDescent="0.2">
      <c r="A35" s="169" t="s">
        <v>347</v>
      </c>
      <c r="B35" s="170" t="s">
        <v>240</v>
      </c>
      <c r="C35" s="170" t="s">
        <v>373</v>
      </c>
      <c r="D35" s="170" t="s">
        <v>403</v>
      </c>
      <c r="E35" s="171" t="s">
        <v>115</v>
      </c>
      <c r="F35" s="171" t="s">
        <v>354</v>
      </c>
      <c r="G35" s="171" t="s">
        <v>349</v>
      </c>
      <c r="H35" s="170" t="s">
        <v>342</v>
      </c>
      <c r="I35" s="169"/>
      <c r="J35" s="169"/>
      <c r="K35" s="169"/>
    </row>
    <row r="36" spans="1:12" ht="45" x14ac:dyDescent="0.2">
      <c r="A36" s="169" t="s">
        <v>347</v>
      </c>
      <c r="B36" s="170" t="s">
        <v>240</v>
      </c>
      <c r="C36" s="170" t="s">
        <v>373</v>
      </c>
      <c r="D36" s="170" t="s">
        <v>403</v>
      </c>
      <c r="E36" s="171" t="s">
        <v>117</v>
      </c>
      <c r="F36" s="171" t="s">
        <v>357</v>
      </c>
      <c r="G36" s="171" t="s">
        <v>349</v>
      </c>
      <c r="H36" s="170" t="s">
        <v>343</v>
      </c>
      <c r="I36" s="169"/>
      <c r="J36" s="169"/>
      <c r="K36" s="169"/>
    </row>
    <row r="37" spans="1:12" ht="45" x14ac:dyDescent="0.2">
      <c r="A37" s="169" t="s">
        <v>347</v>
      </c>
      <c r="B37" s="170" t="s">
        <v>240</v>
      </c>
      <c r="C37" s="170" t="s">
        <v>373</v>
      </c>
      <c r="D37" s="170" t="s">
        <v>403</v>
      </c>
      <c r="E37" s="171" t="s">
        <v>119</v>
      </c>
      <c r="F37" s="171" t="s">
        <v>358</v>
      </c>
      <c r="G37" s="171" t="s">
        <v>349</v>
      </c>
      <c r="H37" s="170" t="s">
        <v>343</v>
      </c>
      <c r="I37" s="169"/>
      <c r="J37" s="169"/>
      <c r="K37" s="169"/>
    </row>
    <row r="38" spans="1:12" s="162" customFormat="1" ht="30" x14ac:dyDescent="0.2">
      <c r="A38" s="174" t="s">
        <v>347</v>
      </c>
      <c r="B38" s="175" t="s">
        <v>255</v>
      </c>
      <c r="C38" s="175" t="s">
        <v>373</v>
      </c>
      <c r="D38" s="175"/>
      <c r="E38" s="175" t="s">
        <v>120</v>
      </c>
      <c r="F38" s="175"/>
      <c r="G38" s="175" t="s">
        <v>349</v>
      </c>
      <c r="H38" s="175"/>
      <c r="I38" s="183" t="s">
        <v>259</v>
      </c>
      <c r="J38" s="174"/>
      <c r="K38" s="174"/>
    </row>
    <row r="39" spans="1:12" s="182" customFormat="1" ht="60" x14ac:dyDescent="0.2">
      <c r="A39" s="178" t="s">
        <v>347</v>
      </c>
      <c r="B39" s="179" t="s">
        <v>175</v>
      </c>
      <c r="C39" s="179" t="s">
        <v>373</v>
      </c>
      <c r="D39" s="179" t="s">
        <v>403</v>
      </c>
      <c r="E39" s="179" t="s">
        <v>118</v>
      </c>
      <c r="F39" s="179" t="s">
        <v>360</v>
      </c>
      <c r="G39" s="179">
        <v>216</v>
      </c>
      <c r="H39" s="179" t="s">
        <v>334</v>
      </c>
      <c r="I39" s="180" t="s">
        <v>361</v>
      </c>
      <c r="J39" s="178"/>
      <c r="K39" s="178"/>
      <c r="L39" s="181"/>
    </row>
    <row r="40" spans="1:12" s="182" customFormat="1" ht="60" x14ac:dyDescent="0.2">
      <c r="A40" s="178" t="s">
        <v>347</v>
      </c>
      <c r="B40" s="179" t="s">
        <v>175</v>
      </c>
      <c r="C40" s="179" t="s">
        <v>373</v>
      </c>
      <c r="D40" s="179" t="s">
        <v>403</v>
      </c>
      <c r="E40" s="179" t="s">
        <v>90</v>
      </c>
      <c r="F40" s="179" t="s">
        <v>360</v>
      </c>
      <c r="G40" s="179">
        <v>216</v>
      </c>
      <c r="H40" s="179" t="s">
        <v>335</v>
      </c>
      <c r="I40" s="181" t="s">
        <v>356</v>
      </c>
      <c r="J40" s="178"/>
      <c r="K40" s="178"/>
      <c r="L40" s="181"/>
    </row>
    <row r="41" spans="1:12" s="182" customFormat="1" ht="90" x14ac:dyDescent="0.2">
      <c r="A41" s="178" t="s">
        <v>347</v>
      </c>
      <c r="B41" s="179" t="s">
        <v>175</v>
      </c>
      <c r="C41" s="179" t="s">
        <v>373</v>
      </c>
      <c r="D41" s="179" t="s">
        <v>403</v>
      </c>
      <c r="E41" s="179" t="s">
        <v>92</v>
      </c>
      <c r="F41" s="179" t="s">
        <v>360</v>
      </c>
      <c r="G41" s="179">
        <v>216</v>
      </c>
      <c r="H41" s="179" t="s">
        <v>336</v>
      </c>
      <c r="I41" s="180" t="s">
        <v>356</v>
      </c>
      <c r="J41" s="178"/>
      <c r="K41" s="178"/>
    </row>
    <row r="42" spans="1:12" s="182" customFormat="1" ht="60" x14ac:dyDescent="0.2">
      <c r="A42" s="178" t="s">
        <v>347</v>
      </c>
      <c r="B42" s="179" t="s">
        <v>175</v>
      </c>
      <c r="C42" s="179" t="s">
        <v>373</v>
      </c>
      <c r="D42" s="179" t="s">
        <v>403</v>
      </c>
      <c r="E42" s="179" t="s">
        <v>94</v>
      </c>
      <c r="F42" s="179" t="s">
        <v>360</v>
      </c>
      <c r="G42" s="179">
        <v>216</v>
      </c>
      <c r="H42" s="179" t="s">
        <v>337</v>
      </c>
      <c r="I42" s="180" t="s">
        <v>350</v>
      </c>
      <c r="J42" s="178"/>
      <c r="K42" s="178"/>
      <c r="L42" s="181"/>
    </row>
    <row r="43" spans="1:12" s="182" customFormat="1" ht="45" x14ac:dyDescent="0.2">
      <c r="A43" s="178" t="s">
        <v>347</v>
      </c>
      <c r="B43" s="179" t="s">
        <v>240</v>
      </c>
      <c r="C43" s="179" t="s">
        <v>373</v>
      </c>
      <c r="D43" s="179" t="s">
        <v>403</v>
      </c>
      <c r="E43" s="179" t="s">
        <v>104</v>
      </c>
      <c r="F43" s="179" t="s">
        <v>360</v>
      </c>
      <c r="G43" s="179">
        <v>216</v>
      </c>
      <c r="H43" s="179" t="s">
        <v>339</v>
      </c>
      <c r="I43" s="180" t="s">
        <v>353</v>
      </c>
      <c r="J43" s="178"/>
      <c r="K43" s="178"/>
    </row>
    <row r="44" spans="1:12" s="182" customFormat="1" ht="45" x14ac:dyDescent="0.2">
      <c r="A44" s="178" t="s">
        <v>347</v>
      </c>
      <c r="B44" s="179" t="s">
        <v>240</v>
      </c>
      <c r="C44" s="179" t="s">
        <v>373</v>
      </c>
      <c r="D44" s="179" t="s">
        <v>403</v>
      </c>
      <c r="E44" s="179" t="s">
        <v>108</v>
      </c>
      <c r="F44" s="179" t="s">
        <v>360</v>
      </c>
      <c r="G44" s="179">
        <v>216</v>
      </c>
      <c r="H44" s="179" t="s">
        <v>338</v>
      </c>
      <c r="I44" s="180" t="s">
        <v>353</v>
      </c>
      <c r="J44" s="178"/>
      <c r="K44" s="178"/>
    </row>
    <row r="45" spans="1:12" ht="30" x14ac:dyDescent="0.2">
      <c r="A45" s="169" t="s">
        <v>347</v>
      </c>
      <c r="B45" s="170" t="s">
        <v>240</v>
      </c>
      <c r="C45" s="170" t="s">
        <v>373</v>
      </c>
      <c r="D45" s="170" t="s">
        <v>403</v>
      </c>
      <c r="E45" s="171" t="s">
        <v>141</v>
      </c>
      <c r="F45" s="171" t="s">
        <v>378</v>
      </c>
      <c r="G45" s="171">
        <v>216</v>
      </c>
      <c r="H45" s="170"/>
      <c r="I45" s="170" t="s">
        <v>375</v>
      </c>
      <c r="J45" s="169"/>
      <c r="K45" s="169"/>
    </row>
    <row r="46" spans="1:12" ht="30" x14ac:dyDescent="0.2">
      <c r="A46" s="169" t="s">
        <v>347</v>
      </c>
      <c r="B46" s="170" t="s">
        <v>240</v>
      </c>
      <c r="C46" s="170" t="s">
        <v>373</v>
      </c>
      <c r="D46" s="170" t="s">
        <v>403</v>
      </c>
      <c r="E46" s="171" t="s">
        <v>143</v>
      </c>
      <c r="F46" s="171" t="s">
        <v>379</v>
      </c>
      <c r="G46" s="171">
        <v>216</v>
      </c>
      <c r="H46" s="170"/>
      <c r="I46" s="170"/>
      <c r="J46" s="169"/>
      <c r="K46" s="169"/>
    </row>
    <row r="47" spans="1:12" ht="30" x14ac:dyDescent="0.2">
      <c r="A47" s="169" t="s">
        <v>347</v>
      </c>
      <c r="B47" s="170" t="s">
        <v>240</v>
      </c>
      <c r="C47" s="170" t="s">
        <v>373</v>
      </c>
      <c r="D47" s="170" t="s">
        <v>403</v>
      </c>
      <c r="E47" s="171" t="s">
        <v>144</v>
      </c>
      <c r="F47" s="171" t="s">
        <v>380</v>
      </c>
      <c r="G47" s="171">
        <v>216</v>
      </c>
      <c r="H47" s="170"/>
      <c r="I47" s="170"/>
      <c r="J47" s="169"/>
      <c r="K47" s="169"/>
    </row>
    <row r="48" spans="1:12" s="182" customFormat="1" ht="45" x14ac:dyDescent="0.2">
      <c r="A48" s="178" t="s">
        <v>347</v>
      </c>
      <c r="B48" s="179" t="s">
        <v>240</v>
      </c>
      <c r="C48" s="179" t="s">
        <v>373</v>
      </c>
      <c r="D48" s="179" t="s">
        <v>403</v>
      </c>
      <c r="E48" s="179" t="s">
        <v>115</v>
      </c>
      <c r="F48" s="179" t="s">
        <v>360</v>
      </c>
      <c r="G48" s="179">
        <v>216</v>
      </c>
      <c r="H48" s="179" t="s">
        <v>342</v>
      </c>
      <c r="I48" s="178"/>
      <c r="J48" s="178"/>
      <c r="K48" s="178"/>
    </row>
    <row r="49" spans="1:12" s="182" customFormat="1" ht="45" x14ac:dyDescent="0.2">
      <c r="A49" s="178" t="s">
        <v>347</v>
      </c>
      <c r="B49" s="179" t="s">
        <v>240</v>
      </c>
      <c r="C49" s="179" t="s">
        <v>373</v>
      </c>
      <c r="D49" s="179" t="s">
        <v>403</v>
      </c>
      <c r="E49" s="179" t="s">
        <v>119</v>
      </c>
      <c r="F49" s="179" t="s">
        <v>360</v>
      </c>
      <c r="G49" s="179">
        <v>216</v>
      </c>
      <c r="H49" s="179" t="s">
        <v>343</v>
      </c>
      <c r="I49" s="178"/>
      <c r="J49" s="178"/>
      <c r="K49" s="178"/>
    </row>
    <row r="50" spans="1:12" s="182" customFormat="1" ht="60" x14ac:dyDescent="0.2">
      <c r="A50" s="178" t="s">
        <v>347</v>
      </c>
      <c r="B50" s="179" t="s">
        <v>175</v>
      </c>
      <c r="C50" s="179" t="s">
        <v>373</v>
      </c>
      <c r="D50" s="179" t="s">
        <v>403</v>
      </c>
      <c r="E50" s="179" t="s">
        <v>118</v>
      </c>
      <c r="F50" s="179" t="s">
        <v>360</v>
      </c>
      <c r="G50" s="179">
        <v>217</v>
      </c>
      <c r="H50" s="179" t="s">
        <v>334</v>
      </c>
      <c r="I50" s="180" t="s">
        <v>361</v>
      </c>
      <c r="J50" s="178"/>
      <c r="K50" s="178"/>
      <c r="L50" s="181"/>
    </row>
    <row r="51" spans="1:12" s="182" customFormat="1" ht="60" x14ac:dyDescent="0.2">
      <c r="A51" s="178" t="s">
        <v>347</v>
      </c>
      <c r="B51" s="179" t="s">
        <v>175</v>
      </c>
      <c r="C51" s="179" t="s">
        <v>373</v>
      </c>
      <c r="D51" s="179" t="s">
        <v>403</v>
      </c>
      <c r="E51" s="179" t="s">
        <v>90</v>
      </c>
      <c r="F51" s="179" t="s">
        <v>360</v>
      </c>
      <c r="G51" s="179">
        <v>217</v>
      </c>
      <c r="H51" s="179" t="s">
        <v>335</v>
      </c>
      <c r="I51" s="181" t="s">
        <v>356</v>
      </c>
      <c r="J51" s="178"/>
      <c r="K51" s="178"/>
      <c r="L51" s="181"/>
    </row>
    <row r="52" spans="1:12" s="182" customFormat="1" ht="90" x14ac:dyDescent="0.2">
      <c r="A52" s="178" t="s">
        <v>347</v>
      </c>
      <c r="B52" s="179" t="s">
        <v>175</v>
      </c>
      <c r="C52" s="179" t="s">
        <v>373</v>
      </c>
      <c r="D52" s="179" t="s">
        <v>403</v>
      </c>
      <c r="E52" s="179" t="s">
        <v>92</v>
      </c>
      <c r="F52" s="179" t="s">
        <v>360</v>
      </c>
      <c r="G52" s="179">
        <v>217</v>
      </c>
      <c r="H52" s="179" t="s">
        <v>336</v>
      </c>
      <c r="I52" s="180" t="s">
        <v>356</v>
      </c>
      <c r="J52" s="178"/>
      <c r="K52" s="178"/>
    </row>
    <row r="53" spans="1:12" s="182" customFormat="1" ht="60" x14ac:dyDescent="0.2">
      <c r="A53" s="178" t="s">
        <v>347</v>
      </c>
      <c r="B53" s="179" t="s">
        <v>175</v>
      </c>
      <c r="C53" s="179" t="s">
        <v>373</v>
      </c>
      <c r="D53" s="179" t="s">
        <v>403</v>
      </c>
      <c r="E53" s="179" t="s">
        <v>94</v>
      </c>
      <c r="F53" s="179" t="s">
        <v>360</v>
      </c>
      <c r="G53" s="179">
        <v>217</v>
      </c>
      <c r="H53" s="179" t="s">
        <v>337</v>
      </c>
      <c r="I53" s="180" t="s">
        <v>350</v>
      </c>
      <c r="J53" s="178"/>
      <c r="K53" s="178"/>
      <c r="L53" s="181"/>
    </row>
    <row r="54" spans="1:12" ht="45" x14ac:dyDescent="0.2">
      <c r="A54" s="169" t="s">
        <v>347</v>
      </c>
      <c r="B54" s="170" t="s">
        <v>240</v>
      </c>
      <c r="C54" s="170" t="s">
        <v>266</v>
      </c>
      <c r="D54" s="170" t="s">
        <v>403</v>
      </c>
      <c r="E54" s="171" t="s">
        <v>154</v>
      </c>
      <c r="F54" s="171" t="s">
        <v>385</v>
      </c>
      <c r="G54" s="171">
        <v>217</v>
      </c>
      <c r="H54" s="170" t="s">
        <v>264</v>
      </c>
      <c r="I54" s="172" t="s">
        <v>389</v>
      </c>
      <c r="J54" s="170"/>
      <c r="K54" s="169" t="s">
        <v>386</v>
      </c>
    </row>
    <row r="55" spans="1:12" ht="45" x14ac:dyDescent="0.2">
      <c r="A55" s="169" t="s">
        <v>347</v>
      </c>
      <c r="B55" s="170" t="s">
        <v>240</v>
      </c>
      <c r="C55" s="170" t="s">
        <v>260</v>
      </c>
      <c r="D55" s="170" t="s">
        <v>403</v>
      </c>
      <c r="E55" s="171" t="s">
        <v>154</v>
      </c>
      <c r="F55" s="171" t="s">
        <v>385</v>
      </c>
      <c r="G55" s="171">
        <v>217</v>
      </c>
      <c r="H55" s="170" t="s">
        <v>264</v>
      </c>
      <c r="I55" s="172" t="s">
        <v>389</v>
      </c>
      <c r="J55" s="170"/>
      <c r="K55" s="169"/>
    </row>
    <row r="56" spans="1:12" s="162" customFormat="1" ht="30" x14ac:dyDescent="0.2">
      <c r="A56" s="174" t="s">
        <v>347</v>
      </c>
      <c r="B56" s="175" t="s">
        <v>239</v>
      </c>
      <c r="C56" s="175" t="s">
        <v>2</v>
      </c>
      <c r="D56" s="175" t="s">
        <v>403</v>
      </c>
      <c r="E56" s="175" t="s">
        <v>159</v>
      </c>
      <c r="F56" s="175"/>
      <c r="G56" s="175">
        <v>217</v>
      </c>
      <c r="H56" s="175" t="s">
        <v>267</v>
      </c>
      <c r="I56" s="176" t="s">
        <v>384</v>
      </c>
      <c r="J56" s="174"/>
      <c r="K56" s="174"/>
    </row>
    <row r="57" spans="1:12" s="162" customFormat="1" ht="60" x14ac:dyDescent="0.2">
      <c r="A57" s="174" t="s">
        <v>347</v>
      </c>
      <c r="B57" s="175" t="s">
        <v>240</v>
      </c>
      <c r="C57" s="175" t="s">
        <v>249</v>
      </c>
      <c r="D57" s="175" t="s">
        <v>403</v>
      </c>
      <c r="E57" s="175" t="s">
        <v>160</v>
      </c>
      <c r="F57" s="175"/>
      <c r="G57" s="175">
        <v>217</v>
      </c>
      <c r="H57" s="175" t="s">
        <v>270</v>
      </c>
      <c r="I57" s="176" t="s">
        <v>383</v>
      </c>
      <c r="J57" s="175" t="s">
        <v>271</v>
      </c>
      <c r="K57" s="174"/>
    </row>
    <row r="58" spans="1:12" s="182" customFormat="1" ht="45" x14ac:dyDescent="0.2">
      <c r="A58" s="178" t="s">
        <v>347</v>
      </c>
      <c r="B58" s="179" t="s">
        <v>240</v>
      </c>
      <c r="C58" s="179" t="s">
        <v>373</v>
      </c>
      <c r="D58" s="179" t="s">
        <v>403</v>
      </c>
      <c r="E58" s="179" t="s">
        <v>104</v>
      </c>
      <c r="F58" s="179" t="s">
        <v>360</v>
      </c>
      <c r="G58" s="179">
        <v>216</v>
      </c>
      <c r="H58" s="179" t="s">
        <v>339</v>
      </c>
      <c r="I58" s="180" t="s">
        <v>353</v>
      </c>
      <c r="J58" s="178"/>
      <c r="K58" s="178"/>
    </row>
    <row r="59" spans="1:12" s="182" customFormat="1" ht="45" x14ac:dyDescent="0.2">
      <c r="A59" s="178" t="s">
        <v>347</v>
      </c>
      <c r="B59" s="179" t="s">
        <v>240</v>
      </c>
      <c r="C59" s="179" t="s">
        <v>373</v>
      </c>
      <c r="D59" s="179" t="s">
        <v>403</v>
      </c>
      <c r="E59" s="179" t="s">
        <v>108</v>
      </c>
      <c r="F59" s="179" t="s">
        <v>360</v>
      </c>
      <c r="G59" s="179">
        <v>216</v>
      </c>
      <c r="H59" s="179" t="s">
        <v>338</v>
      </c>
      <c r="I59" s="180" t="s">
        <v>353</v>
      </c>
      <c r="J59" s="178"/>
      <c r="K59" s="178"/>
    </row>
    <row r="60" spans="1:12" s="162" customFormat="1" ht="30" x14ac:dyDescent="0.2">
      <c r="A60" s="174" t="s">
        <v>347</v>
      </c>
      <c r="B60" s="175" t="s">
        <v>240</v>
      </c>
      <c r="C60" s="175" t="s">
        <v>249</v>
      </c>
      <c r="D60" s="175" t="s">
        <v>403</v>
      </c>
      <c r="E60" s="175" t="s">
        <v>176</v>
      </c>
      <c r="F60" s="175" t="s">
        <v>388</v>
      </c>
      <c r="G60" s="175">
        <v>217</v>
      </c>
      <c r="H60" s="175" t="s">
        <v>273</v>
      </c>
      <c r="I60" s="176" t="s">
        <v>387</v>
      </c>
      <c r="J60" s="174"/>
      <c r="K60" s="174"/>
    </row>
    <row r="61" spans="1:12" ht="30" x14ac:dyDescent="0.2">
      <c r="A61" s="169" t="s">
        <v>347</v>
      </c>
      <c r="B61" s="170" t="s">
        <v>240</v>
      </c>
      <c r="C61" s="170" t="s">
        <v>249</v>
      </c>
      <c r="D61" s="170" t="s">
        <v>403</v>
      </c>
      <c r="E61" s="171" t="s">
        <v>177</v>
      </c>
      <c r="F61" s="171" t="s">
        <v>391</v>
      </c>
      <c r="G61" s="171">
        <v>217</v>
      </c>
      <c r="H61" s="170"/>
      <c r="I61" s="172" t="s">
        <v>390</v>
      </c>
      <c r="J61" s="170" t="s">
        <v>392</v>
      </c>
      <c r="K61" s="169"/>
    </row>
    <row r="62" spans="1:12" ht="30" x14ac:dyDescent="0.2">
      <c r="A62" s="169" t="s">
        <v>347</v>
      </c>
      <c r="B62" s="170" t="s">
        <v>240</v>
      </c>
      <c r="C62" s="170" t="s">
        <v>275</v>
      </c>
      <c r="D62" s="170" t="s">
        <v>403</v>
      </c>
      <c r="E62" s="171" t="s">
        <v>177</v>
      </c>
      <c r="F62" s="171"/>
      <c r="G62" s="171">
        <v>217</v>
      </c>
      <c r="H62" s="170"/>
      <c r="I62" s="172" t="s">
        <v>390</v>
      </c>
      <c r="J62" s="170" t="s">
        <v>392</v>
      </c>
      <c r="K62" s="169"/>
    </row>
    <row r="63" spans="1:12" ht="45" x14ac:dyDescent="0.2">
      <c r="A63" s="169" t="s">
        <v>347</v>
      </c>
      <c r="B63" s="170" t="s">
        <v>240</v>
      </c>
      <c r="C63" s="170" t="s">
        <v>249</v>
      </c>
      <c r="D63" s="170" t="s">
        <v>403</v>
      </c>
      <c r="E63" s="171" t="s">
        <v>183</v>
      </c>
      <c r="F63" s="171" t="s">
        <v>354</v>
      </c>
      <c r="G63" s="171">
        <v>217</v>
      </c>
      <c r="H63" s="170"/>
      <c r="I63" s="170" t="s">
        <v>393</v>
      </c>
      <c r="J63" s="169"/>
      <c r="K63" s="169"/>
    </row>
    <row r="64" spans="1:12" ht="45" x14ac:dyDescent="0.2">
      <c r="A64" s="169" t="s">
        <v>347</v>
      </c>
      <c r="B64" s="170" t="s">
        <v>240</v>
      </c>
      <c r="C64" s="170" t="s">
        <v>249</v>
      </c>
      <c r="D64" s="170" t="s">
        <v>403</v>
      </c>
      <c r="E64" s="171" t="s">
        <v>182</v>
      </c>
      <c r="F64" s="171" t="s">
        <v>357</v>
      </c>
      <c r="G64" s="171">
        <v>217</v>
      </c>
      <c r="H64" s="170"/>
      <c r="I64" s="170" t="s">
        <v>393</v>
      </c>
      <c r="J64" s="169"/>
      <c r="K64" s="169"/>
    </row>
    <row r="65" spans="1:12" ht="45" x14ac:dyDescent="0.2">
      <c r="A65" s="169" t="s">
        <v>347</v>
      </c>
      <c r="B65" s="170" t="s">
        <v>240</v>
      </c>
      <c r="C65" s="170" t="s">
        <v>249</v>
      </c>
      <c r="D65" s="170" t="s">
        <v>403</v>
      </c>
      <c r="E65" s="171" t="s">
        <v>163</v>
      </c>
      <c r="F65" s="171" t="s">
        <v>358</v>
      </c>
      <c r="G65" s="171">
        <v>217</v>
      </c>
      <c r="H65" s="170"/>
      <c r="I65" s="170" t="s">
        <v>393</v>
      </c>
      <c r="J65" s="169"/>
      <c r="K65" s="169"/>
    </row>
    <row r="66" spans="1:12" ht="45" x14ac:dyDescent="0.2">
      <c r="A66" s="169" t="s">
        <v>347</v>
      </c>
      <c r="B66" s="170" t="s">
        <v>240</v>
      </c>
      <c r="C66" s="170" t="s">
        <v>275</v>
      </c>
      <c r="D66" s="170" t="s">
        <v>403</v>
      </c>
      <c r="E66" s="171" t="s">
        <v>183</v>
      </c>
      <c r="F66" s="171" t="s">
        <v>354</v>
      </c>
      <c r="G66" s="171">
        <v>217</v>
      </c>
      <c r="H66" s="170"/>
      <c r="I66" s="170" t="s">
        <v>393</v>
      </c>
      <c r="J66" s="169"/>
      <c r="K66" s="169"/>
    </row>
    <row r="67" spans="1:12" ht="45" x14ac:dyDescent="0.2">
      <c r="A67" s="169" t="s">
        <v>347</v>
      </c>
      <c r="B67" s="170" t="s">
        <v>240</v>
      </c>
      <c r="C67" s="170" t="s">
        <v>275</v>
      </c>
      <c r="D67" s="170" t="s">
        <v>403</v>
      </c>
      <c r="E67" s="171" t="s">
        <v>182</v>
      </c>
      <c r="F67" s="171" t="s">
        <v>357</v>
      </c>
      <c r="G67" s="171">
        <v>217</v>
      </c>
      <c r="H67" s="170"/>
      <c r="I67" s="170" t="s">
        <v>393</v>
      </c>
      <c r="J67" s="169"/>
      <c r="K67" s="169"/>
    </row>
    <row r="68" spans="1:12" s="182" customFormat="1" ht="60" x14ac:dyDescent="0.2">
      <c r="A68" s="178" t="s">
        <v>347</v>
      </c>
      <c r="B68" s="179" t="s">
        <v>175</v>
      </c>
      <c r="C68" s="179" t="s">
        <v>249</v>
      </c>
      <c r="D68" s="179" t="s">
        <v>403</v>
      </c>
      <c r="E68" s="179" t="s">
        <v>118</v>
      </c>
      <c r="F68" s="179" t="s">
        <v>360</v>
      </c>
      <c r="G68" s="179">
        <v>218</v>
      </c>
      <c r="H68" s="179"/>
      <c r="I68" s="180" t="s">
        <v>361</v>
      </c>
      <c r="J68" s="178"/>
      <c r="K68" s="178"/>
      <c r="L68" s="181"/>
    </row>
    <row r="69" spans="1:12" s="182" customFormat="1" ht="15" x14ac:dyDescent="0.2">
      <c r="A69" s="178" t="s">
        <v>347</v>
      </c>
      <c r="B69" s="179" t="s">
        <v>240</v>
      </c>
      <c r="C69" s="179" t="s">
        <v>249</v>
      </c>
      <c r="D69" s="179" t="s">
        <v>403</v>
      </c>
      <c r="E69" s="179" t="s">
        <v>154</v>
      </c>
      <c r="F69" s="179" t="s">
        <v>360</v>
      </c>
      <c r="G69" s="179">
        <v>218</v>
      </c>
      <c r="H69" s="179"/>
      <c r="I69" s="180" t="s">
        <v>389</v>
      </c>
      <c r="J69" s="179"/>
      <c r="K69" s="178" t="s">
        <v>386</v>
      </c>
    </row>
    <row r="70" spans="1:12" s="182" customFormat="1" ht="90" x14ac:dyDescent="0.2">
      <c r="A70" s="178" t="s">
        <v>347</v>
      </c>
      <c r="B70" s="179" t="s">
        <v>175</v>
      </c>
      <c r="C70" s="179" t="s">
        <v>249</v>
      </c>
      <c r="D70" s="179" t="s">
        <v>403</v>
      </c>
      <c r="E70" s="179" t="s">
        <v>92</v>
      </c>
      <c r="F70" s="179" t="s">
        <v>360</v>
      </c>
      <c r="G70" s="179">
        <v>218</v>
      </c>
      <c r="H70" s="179"/>
      <c r="I70" s="180" t="s">
        <v>356</v>
      </c>
      <c r="J70" s="178"/>
      <c r="K70" s="178"/>
    </row>
    <row r="71" spans="1:12" s="182" customFormat="1" ht="60" x14ac:dyDescent="0.2">
      <c r="A71" s="178" t="s">
        <v>347</v>
      </c>
      <c r="B71" s="179" t="s">
        <v>175</v>
      </c>
      <c r="C71" s="179" t="s">
        <v>249</v>
      </c>
      <c r="D71" s="179" t="s">
        <v>403</v>
      </c>
      <c r="E71" s="179" t="s">
        <v>94</v>
      </c>
      <c r="F71" s="179" t="s">
        <v>360</v>
      </c>
      <c r="G71" s="179">
        <v>218</v>
      </c>
      <c r="H71" s="179"/>
      <c r="I71" s="180" t="s">
        <v>350</v>
      </c>
      <c r="J71" s="178"/>
      <c r="K71" s="178"/>
      <c r="L71" s="181"/>
    </row>
    <row r="72" spans="1:12" s="182" customFormat="1" ht="30" x14ac:dyDescent="0.2">
      <c r="A72" s="178" t="s">
        <v>347</v>
      </c>
      <c r="B72" s="179" t="s">
        <v>239</v>
      </c>
      <c r="C72" s="179" t="s">
        <v>249</v>
      </c>
      <c r="D72" s="179" t="s">
        <v>403</v>
      </c>
      <c r="E72" s="179" t="s">
        <v>159</v>
      </c>
      <c r="F72" s="179" t="s">
        <v>360</v>
      </c>
      <c r="G72" s="179">
        <v>218</v>
      </c>
      <c r="H72" s="179"/>
      <c r="I72" s="180" t="s">
        <v>384</v>
      </c>
      <c r="J72" s="178"/>
      <c r="K72" s="178"/>
    </row>
    <row r="73" spans="1:12" s="182" customFormat="1" ht="60" x14ac:dyDescent="0.2">
      <c r="A73" s="178" t="s">
        <v>347</v>
      </c>
      <c r="B73" s="179" t="s">
        <v>240</v>
      </c>
      <c r="C73" s="179" t="s">
        <v>249</v>
      </c>
      <c r="D73" s="179" t="s">
        <v>403</v>
      </c>
      <c r="E73" s="179" t="s">
        <v>160</v>
      </c>
      <c r="F73" s="179" t="s">
        <v>360</v>
      </c>
      <c r="G73" s="179">
        <v>218</v>
      </c>
      <c r="H73" s="179"/>
      <c r="I73" s="180" t="s">
        <v>383</v>
      </c>
      <c r="J73" s="179" t="s">
        <v>271</v>
      </c>
      <c r="K73" s="178"/>
    </row>
    <row r="74" spans="1:12" s="182" customFormat="1" ht="60" x14ac:dyDescent="0.2">
      <c r="A74" s="178" t="s">
        <v>347</v>
      </c>
      <c r="B74" s="179" t="s">
        <v>175</v>
      </c>
      <c r="C74" s="179" t="s">
        <v>275</v>
      </c>
      <c r="D74" s="179" t="s">
        <v>403</v>
      </c>
      <c r="E74" s="179" t="s">
        <v>118</v>
      </c>
      <c r="F74" s="179" t="s">
        <v>360</v>
      </c>
      <c r="G74" s="179">
        <v>218</v>
      </c>
      <c r="H74" s="179"/>
      <c r="I74" s="180" t="s">
        <v>361</v>
      </c>
      <c r="J74" s="178"/>
      <c r="K74" s="178"/>
      <c r="L74" s="181"/>
    </row>
    <row r="75" spans="1:12" s="182" customFormat="1" ht="15" x14ac:dyDescent="0.2">
      <c r="A75" s="178" t="s">
        <v>347</v>
      </c>
      <c r="B75" s="179" t="s">
        <v>240</v>
      </c>
      <c r="C75" s="179" t="s">
        <v>275</v>
      </c>
      <c r="D75" s="179" t="s">
        <v>403</v>
      </c>
      <c r="E75" s="179" t="s">
        <v>154</v>
      </c>
      <c r="F75" s="179" t="s">
        <v>360</v>
      </c>
      <c r="G75" s="179">
        <v>218</v>
      </c>
      <c r="H75" s="179"/>
      <c r="I75" s="180" t="s">
        <v>389</v>
      </c>
      <c r="J75" s="179"/>
      <c r="K75" s="178" t="s">
        <v>386</v>
      </c>
    </row>
    <row r="76" spans="1:12" s="182" customFormat="1" ht="90" x14ac:dyDescent="0.2">
      <c r="A76" s="178" t="s">
        <v>347</v>
      </c>
      <c r="B76" s="179" t="s">
        <v>175</v>
      </c>
      <c r="C76" s="179" t="s">
        <v>275</v>
      </c>
      <c r="D76" s="179" t="s">
        <v>403</v>
      </c>
      <c r="E76" s="179" t="s">
        <v>92</v>
      </c>
      <c r="F76" s="179" t="s">
        <v>360</v>
      </c>
      <c r="G76" s="179">
        <v>218</v>
      </c>
      <c r="H76" s="179"/>
      <c r="I76" s="180" t="s">
        <v>356</v>
      </c>
      <c r="J76" s="178"/>
      <c r="K76" s="178"/>
    </row>
    <row r="77" spans="1:12" s="182" customFormat="1" ht="60" x14ac:dyDescent="0.2">
      <c r="A77" s="178" t="s">
        <v>347</v>
      </c>
      <c r="B77" s="179" t="s">
        <v>175</v>
      </c>
      <c r="C77" s="179" t="s">
        <v>275</v>
      </c>
      <c r="D77" s="179" t="s">
        <v>403</v>
      </c>
      <c r="E77" s="179" t="s">
        <v>94</v>
      </c>
      <c r="F77" s="179" t="s">
        <v>360</v>
      </c>
      <c r="G77" s="179">
        <v>218</v>
      </c>
      <c r="H77" s="179"/>
      <c r="I77" s="180" t="s">
        <v>350</v>
      </c>
      <c r="J77" s="178"/>
      <c r="K77" s="178"/>
      <c r="L77" s="181"/>
    </row>
    <row r="78" spans="1:12" s="182" customFormat="1" ht="30" x14ac:dyDescent="0.2">
      <c r="A78" s="178" t="s">
        <v>347</v>
      </c>
      <c r="B78" s="179" t="s">
        <v>239</v>
      </c>
      <c r="C78" s="179" t="s">
        <v>275</v>
      </c>
      <c r="D78" s="179" t="s">
        <v>403</v>
      </c>
      <c r="E78" s="179" t="s">
        <v>159</v>
      </c>
      <c r="F78" s="179" t="s">
        <v>360</v>
      </c>
      <c r="G78" s="179">
        <v>218</v>
      </c>
      <c r="H78" s="179"/>
      <c r="I78" s="180" t="s">
        <v>384</v>
      </c>
      <c r="J78" s="178"/>
      <c r="K78" s="178"/>
    </row>
    <row r="79" spans="1:12" s="182" customFormat="1" ht="60" x14ac:dyDescent="0.2">
      <c r="A79" s="178" t="s">
        <v>347</v>
      </c>
      <c r="B79" s="179" t="s">
        <v>240</v>
      </c>
      <c r="C79" s="179" t="s">
        <v>275</v>
      </c>
      <c r="D79" s="179" t="s">
        <v>403</v>
      </c>
      <c r="E79" s="179" t="s">
        <v>160</v>
      </c>
      <c r="F79" s="179" t="s">
        <v>360</v>
      </c>
      <c r="G79" s="179">
        <v>218</v>
      </c>
      <c r="H79" s="179"/>
      <c r="I79" s="180" t="s">
        <v>383</v>
      </c>
      <c r="J79" s="179" t="s">
        <v>271</v>
      </c>
      <c r="K79" s="178"/>
    </row>
    <row r="80" spans="1:12" s="162" customFormat="1" ht="45" x14ac:dyDescent="0.2">
      <c r="A80" s="174" t="s">
        <v>347</v>
      </c>
      <c r="B80" s="175" t="s">
        <v>240</v>
      </c>
      <c r="C80" s="175" t="s">
        <v>249</v>
      </c>
      <c r="D80" s="175" t="s">
        <v>403</v>
      </c>
      <c r="E80" s="175" t="s">
        <v>186</v>
      </c>
      <c r="F80" s="175"/>
      <c r="G80" s="175">
        <v>218</v>
      </c>
      <c r="H80" s="175" t="s">
        <v>277</v>
      </c>
      <c r="I80" s="176" t="s">
        <v>394</v>
      </c>
      <c r="J80" s="174"/>
      <c r="K80" s="174"/>
    </row>
    <row r="81" spans="1:11" s="162" customFormat="1" ht="45" x14ac:dyDescent="0.2">
      <c r="A81" s="174" t="s">
        <v>347</v>
      </c>
      <c r="B81" s="175" t="s">
        <v>240</v>
      </c>
      <c r="C81" s="175" t="s">
        <v>275</v>
      </c>
      <c r="D81" s="175" t="s">
        <v>403</v>
      </c>
      <c r="E81" s="175" t="s">
        <v>186</v>
      </c>
      <c r="F81" s="175"/>
      <c r="G81" s="175">
        <v>218</v>
      </c>
      <c r="H81" s="175" t="s">
        <v>277</v>
      </c>
      <c r="I81" s="176" t="s">
        <v>394</v>
      </c>
      <c r="J81" s="174"/>
      <c r="K81" s="174"/>
    </row>
    <row r="82" spans="1:11" s="162" customFormat="1" ht="15" x14ac:dyDescent="0.2">
      <c r="A82" s="174" t="s">
        <v>347</v>
      </c>
      <c r="B82" s="175" t="s">
        <v>175</v>
      </c>
      <c r="C82" s="175" t="s">
        <v>2</v>
      </c>
      <c r="D82" s="175" t="s">
        <v>403</v>
      </c>
      <c r="E82" s="175" t="s">
        <v>198</v>
      </c>
      <c r="F82" s="175"/>
      <c r="G82" s="175">
        <v>219</v>
      </c>
      <c r="H82" s="175"/>
      <c r="I82" s="176" t="s">
        <v>280</v>
      </c>
      <c r="J82" s="174"/>
      <c r="K82" s="174"/>
    </row>
    <row r="83" spans="1:11" s="162" customFormat="1" ht="30" x14ac:dyDescent="0.2">
      <c r="A83" s="174" t="s">
        <v>347</v>
      </c>
      <c r="B83" s="175" t="s">
        <v>175</v>
      </c>
      <c r="C83" s="175" t="s">
        <v>2</v>
      </c>
      <c r="D83" s="175" t="s">
        <v>403</v>
      </c>
      <c r="E83" s="175" t="s">
        <v>195</v>
      </c>
      <c r="F83" s="175"/>
      <c r="G83" s="175">
        <v>219</v>
      </c>
      <c r="H83" s="175"/>
      <c r="I83" s="174"/>
      <c r="J83" s="174"/>
      <c r="K83" s="174"/>
    </row>
    <row r="84" spans="1:11" s="162" customFormat="1" ht="15" x14ac:dyDescent="0.2">
      <c r="A84" s="174" t="s">
        <v>347</v>
      </c>
      <c r="B84" s="175" t="s">
        <v>175</v>
      </c>
      <c r="C84" s="175" t="s">
        <v>2</v>
      </c>
      <c r="D84" s="175" t="s">
        <v>403</v>
      </c>
      <c r="E84" s="175" t="s">
        <v>199</v>
      </c>
      <c r="F84" s="175"/>
      <c r="G84" s="175">
        <v>219</v>
      </c>
      <c r="H84" s="175"/>
      <c r="I84" s="174"/>
      <c r="J84" s="174"/>
      <c r="K84" s="174"/>
    </row>
    <row r="85" spans="1:11" ht="30" x14ac:dyDescent="0.2">
      <c r="A85" s="155" t="s">
        <v>401</v>
      </c>
      <c r="B85" s="158" t="s">
        <v>402</v>
      </c>
      <c r="C85" s="158" t="s">
        <v>2</v>
      </c>
      <c r="D85" s="158" t="s">
        <v>403</v>
      </c>
      <c r="E85" s="171" t="s">
        <v>405</v>
      </c>
      <c r="F85" s="159"/>
      <c r="G85" s="159"/>
      <c r="H85" s="170" t="s">
        <v>406</v>
      </c>
      <c r="I85" s="184"/>
      <c r="J85" s="185"/>
      <c r="K85" s="155"/>
    </row>
    <row r="86" spans="1:11" ht="30" x14ac:dyDescent="0.2">
      <c r="A86" s="155" t="s">
        <v>401</v>
      </c>
      <c r="B86" s="158" t="s">
        <v>401</v>
      </c>
      <c r="C86" s="158" t="s">
        <v>2</v>
      </c>
      <c r="D86" s="158" t="s">
        <v>403</v>
      </c>
      <c r="E86" s="159" t="s">
        <v>407</v>
      </c>
      <c r="F86" s="159"/>
      <c r="G86" s="159"/>
      <c r="H86" s="188" t="s">
        <v>469</v>
      </c>
      <c r="I86" s="184"/>
      <c r="J86" s="185"/>
      <c r="K86" s="155"/>
    </row>
    <row r="87" spans="1:11" ht="30" x14ac:dyDescent="0.2">
      <c r="A87" s="155" t="s">
        <v>401</v>
      </c>
      <c r="B87" s="158" t="s">
        <v>401</v>
      </c>
      <c r="C87" s="158" t="s">
        <v>2</v>
      </c>
      <c r="D87" s="158" t="s">
        <v>403</v>
      </c>
      <c r="E87" s="159" t="s">
        <v>408</v>
      </c>
      <c r="F87" s="159"/>
      <c r="G87" s="159"/>
      <c r="H87" s="188" t="s">
        <v>469</v>
      </c>
      <c r="I87" s="184"/>
      <c r="J87" s="185"/>
      <c r="K87" s="155"/>
    </row>
    <row r="88" spans="1:11" ht="30" x14ac:dyDescent="0.2">
      <c r="A88" s="155" t="s">
        <v>401</v>
      </c>
      <c r="B88" s="158" t="s">
        <v>401</v>
      </c>
      <c r="C88" s="158" t="s">
        <v>2</v>
      </c>
      <c r="D88" s="158" t="s">
        <v>403</v>
      </c>
      <c r="E88" s="159" t="s">
        <v>409</v>
      </c>
      <c r="F88" s="159"/>
      <c r="G88" s="159"/>
      <c r="H88" s="188" t="s">
        <v>469</v>
      </c>
      <c r="I88" s="184"/>
      <c r="J88" s="185"/>
      <c r="K88" s="155"/>
    </row>
    <row r="89" spans="1:11" ht="30" x14ac:dyDescent="0.2">
      <c r="A89" s="155" t="s">
        <v>401</v>
      </c>
      <c r="B89" s="158" t="s">
        <v>402</v>
      </c>
      <c r="C89" s="158" t="s">
        <v>412</v>
      </c>
      <c r="D89" s="158" t="s">
        <v>403</v>
      </c>
      <c r="E89" s="159" t="s">
        <v>413</v>
      </c>
      <c r="F89" s="159" t="s">
        <v>417</v>
      </c>
      <c r="G89" s="159"/>
      <c r="H89" s="159" t="s">
        <v>414</v>
      </c>
      <c r="I89" s="184"/>
      <c r="J89" s="185"/>
      <c r="K89" s="155" t="s">
        <v>472</v>
      </c>
    </row>
    <row r="90" spans="1:11" ht="15" x14ac:dyDescent="0.2">
      <c r="A90" s="155" t="s">
        <v>401</v>
      </c>
      <c r="B90" s="158" t="s">
        <v>402</v>
      </c>
      <c r="C90" s="158" t="s">
        <v>412</v>
      </c>
      <c r="D90" s="158" t="s">
        <v>403</v>
      </c>
      <c r="E90" s="159" t="s">
        <v>415</v>
      </c>
      <c r="F90" s="159" t="s">
        <v>418</v>
      </c>
      <c r="G90" s="159"/>
      <c r="H90" s="159" t="s">
        <v>416</v>
      </c>
      <c r="I90" s="184"/>
      <c r="J90" s="185"/>
      <c r="K90" s="155" t="s">
        <v>415</v>
      </c>
    </row>
    <row r="91" spans="1:11" ht="45" x14ac:dyDescent="0.2">
      <c r="A91" s="155" t="s">
        <v>401</v>
      </c>
      <c r="B91" s="158" t="s">
        <v>402</v>
      </c>
      <c r="C91" s="158" t="s">
        <v>412</v>
      </c>
      <c r="D91" s="158" t="s">
        <v>403</v>
      </c>
      <c r="E91" s="158" t="s">
        <v>419</v>
      </c>
      <c r="F91" s="158" t="s">
        <v>427</v>
      </c>
      <c r="G91" s="158"/>
      <c r="H91" s="158" t="s">
        <v>420</v>
      </c>
      <c r="I91" s="159"/>
      <c r="J91" s="185" t="s">
        <v>424</v>
      </c>
      <c r="K91" s="155" t="s">
        <v>429</v>
      </c>
    </row>
    <row r="92" spans="1:11" ht="30" x14ac:dyDescent="0.2">
      <c r="A92" s="155" t="s">
        <v>401</v>
      </c>
      <c r="B92" s="158" t="s">
        <v>402</v>
      </c>
      <c r="C92" s="158" t="s">
        <v>412</v>
      </c>
      <c r="D92" s="158" t="s">
        <v>403</v>
      </c>
      <c r="E92" s="158" t="s">
        <v>421</v>
      </c>
      <c r="F92" s="158" t="s">
        <v>428</v>
      </c>
      <c r="G92" s="158"/>
      <c r="H92" s="158" t="s">
        <v>420</v>
      </c>
      <c r="I92" s="184"/>
      <c r="J92" s="185" t="s">
        <v>425</v>
      </c>
      <c r="K92" s="155" t="s">
        <v>429</v>
      </c>
    </row>
    <row r="93" spans="1:11" ht="45" x14ac:dyDescent="0.2">
      <c r="A93" s="155" t="s">
        <v>401</v>
      </c>
      <c r="B93" s="158" t="s">
        <v>402</v>
      </c>
      <c r="C93" s="158" t="s">
        <v>412</v>
      </c>
      <c r="D93" s="158" t="s">
        <v>403</v>
      </c>
      <c r="E93" s="158" t="s">
        <v>422</v>
      </c>
      <c r="F93" s="158" t="s">
        <v>430</v>
      </c>
      <c r="G93" s="158"/>
      <c r="H93" s="158" t="s">
        <v>420</v>
      </c>
      <c r="I93" s="184"/>
      <c r="J93" s="185" t="s">
        <v>426</v>
      </c>
      <c r="K93" s="155" t="s">
        <v>429</v>
      </c>
    </row>
    <row r="94" spans="1:11" ht="30" x14ac:dyDescent="0.2">
      <c r="A94" s="155" t="s">
        <v>401</v>
      </c>
      <c r="B94" s="158" t="s">
        <v>402</v>
      </c>
      <c r="C94" s="158" t="s">
        <v>412</v>
      </c>
      <c r="D94" s="158" t="s">
        <v>403</v>
      </c>
      <c r="E94" s="158" t="s">
        <v>423</v>
      </c>
      <c r="F94" s="158" t="s">
        <v>431</v>
      </c>
      <c r="G94" s="158"/>
      <c r="H94" s="158" t="s">
        <v>420</v>
      </c>
      <c r="I94" s="184"/>
      <c r="J94" s="185"/>
      <c r="K94" s="155"/>
    </row>
    <row r="95" spans="1:11" ht="30" x14ac:dyDescent="0.2">
      <c r="A95" s="155" t="s">
        <v>401</v>
      </c>
      <c r="B95" s="158" t="s">
        <v>432</v>
      </c>
      <c r="C95" s="158" t="s">
        <v>433</v>
      </c>
      <c r="D95" s="158" t="s">
        <v>404</v>
      </c>
      <c r="E95" s="158" t="s">
        <v>434</v>
      </c>
      <c r="F95" s="158" t="s">
        <v>436</v>
      </c>
      <c r="G95" s="158"/>
      <c r="H95" s="158" t="s">
        <v>420</v>
      </c>
      <c r="I95" s="184"/>
      <c r="J95" s="158" t="s">
        <v>435</v>
      </c>
      <c r="K95" s="158" t="s">
        <v>437</v>
      </c>
    </row>
    <row r="96" spans="1:11" ht="30" x14ac:dyDescent="0.2">
      <c r="A96" s="155" t="s">
        <v>401</v>
      </c>
      <c r="B96" s="158" t="s">
        <v>401</v>
      </c>
      <c r="C96" s="158" t="s">
        <v>2</v>
      </c>
      <c r="D96" s="158" t="s">
        <v>403</v>
      </c>
      <c r="E96" s="158" t="s">
        <v>438</v>
      </c>
      <c r="F96" s="158" t="s">
        <v>439</v>
      </c>
      <c r="G96" s="158"/>
      <c r="H96" s="158" t="s">
        <v>420</v>
      </c>
      <c r="I96" s="158"/>
      <c r="J96" s="158"/>
      <c r="K96" s="158"/>
    </row>
    <row r="97" spans="1:11" ht="60" x14ac:dyDescent="0.2">
      <c r="A97" s="155" t="s">
        <v>401</v>
      </c>
      <c r="B97" s="158" t="s">
        <v>401</v>
      </c>
      <c r="C97" s="158" t="s">
        <v>440</v>
      </c>
      <c r="D97" s="158" t="s">
        <v>403</v>
      </c>
      <c r="E97" s="158" t="s">
        <v>441</v>
      </c>
      <c r="F97" s="158" t="s">
        <v>445</v>
      </c>
      <c r="G97" s="158"/>
      <c r="H97" s="158" t="s">
        <v>420</v>
      </c>
      <c r="I97" s="158"/>
      <c r="J97" s="158"/>
      <c r="K97" s="158"/>
    </row>
    <row r="98" spans="1:11" ht="60" x14ac:dyDescent="0.2">
      <c r="A98" s="155" t="s">
        <v>401</v>
      </c>
      <c r="B98" s="158" t="s">
        <v>401</v>
      </c>
      <c r="C98" s="158" t="s">
        <v>440</v>
      </c>
      <c r="D98" s="158" t="s">
        <v>403</v>
      </c>
      <c r="E98" s="158" t="s">
        <v>442</v>
      </c>
      <c r="F98" s="158" t="s">
        <v>449</v>
      </c>
      <c r="G98" s="158"/>
      <c r="H98" s="158" t="s">
        <v>420</v>
      </c>
      <c r="I98" s="158"/>
      <c r="J98" s="158"/>
      <c r="K98" s="158" t="s">
        <v>448</v>
      </c>
    </row>
    <row r="99" spans="1:11" ht="45" x14ac:dyDescent="0.2">
      <c r="A99" s="155" t="s">
        <v>401</v>
      </c>
      <c r="B99" s="158" t="s">
        <v>401</v>
      </c>
      <c r="C99" s="158" t="s">
        <v>440</v>
      </c>
      <c r="D99" s="158" t="s">
        <v>403</v>
      </c>
      <c r="E99" s="158" t="s">
        <v>443</v>
      </c>
      <c r="F99" s="158" t="s">
        <v>446</v>
      </c>
      <c r="G99" s="158"/>
      <c r="H99" s="158" t="s">
        <v>420</v>
      </c>
      <c r="I99" s="158"/>
      <c r="J99" s="158"/>
      <c r="K99" s="158"/>
    </row>
    <row r="100" spans="1:11" ht="45" x14ac:dyDescent="0.2">
      <c r="A100" s="155" t="s">
        <v>401</v>
      </c>
      <c r="B100" s="158" t="s">
        <v>401</v>
      </c>
      <c r="C100" s="158" t="s">
        <v>440</v>
      </c>
      <c r="D100" s="158" t="s">
        <v>403</v>
      </c>
      <c r="E100" s="158" t="s">
        <v>444</v>
      </c>
      <c r="F100" s="158" t="s">
        <v>447</v>
      </c>
      <c r="G100" s="158"/>
      <c r="H100" s="158" t="s">
        <v>420</v>
      </c>
      <c r="I100" s="158"/>
      <c r="J100" s="158"/>
      <c r="K100" s="158"/>
    </row>
    <row r="101" spans="1:11" x14ac:dyDescent="0.2">
      <c r="A101" s="155"/>
      <c r="B101" s="158"/>
      <c r="C101" s="158"/>
      <c r="D101" s="158"/>
      <c r="E101" s="159"/>
      <c r="F101" s="159"/>
      <c r="G101" s="159"/>
      <c r="H101" s="158"/>
      <c r="I101" s="158"/>
      <c r="J101" s="155"/>
    </row>
    <row r="102" spans="1:11" x14ac:dyDescent="0.2">
      <c r="A102" s="155"/>
      <c r="B102" s="158"/>
      <c r="C102" s="158"/>
      <c r="D102" s="158"/>
      <c r="E102" s="159"/>
      <c r="F102" s="159"/>
      <c r="G102" s="159"/>
      <c r="H102" s="158"/>
      <c r="I102" s="155"/>
      <c r="J102" s="155"/>
    </row>
    <row r="103" spans="1:11" x14ac:dyDescent="0.2">
      <c r="A103" s="155"/>
      <c r="B103" s="158"/>
      <c r="C103" s="158"/>
      <c r="D103" s="158"/>
      <c r="E103" s="159"/>
      <c r="F103" s="159"/>
      <c r="G103" s="159"/>
      <c r="H103" s="158"/>
      <c r="I103" s="155"/>
      <c r="J103" s="155"/>
    </row>
    <row r="104" spans="1:11" x14ac:dyDescent="0.2">
      <c r="A104" s="155"/>
      <c r="B104" s="158"/>
      <c r="C104" s="158"/>
      <c r="D104" s="158"/>
      <c r="E104" s="159"/>
      <c r="F104" s="159"/>
      <c r="G104" s="159"/>
      <c r="H104" s="158"/>
      <c r="I104" s="158"/>
      <c r="J104" s="155"/>
    </row>
    <row r="105" spans="1:11" x14ac:dyDescent="0.2">
      <c r="A105" s="155"/>
      <c r="B105" s="158"/>
      <c r="C105" s="158"/>
      <c r="D105" s="158"/>
      <c r="E105" s="159"/>
      <c r="F105" s="159"/>
      <c r="G105" s="159"/>
      <c r="H105" s="158"/>
      <c r="I105" s="158"/>
      <c r="J105" s="155"/>
    </row>
    <row r="106" spans="1:11" x14ac:dyDescent="0.2">
      <c r="A106" s="155"/>
      <c r="B106" s="158"/>
      <c r="C106" s="158"/>
      <c r="D106" s="158"/>
      <c r="E106" s="159"/>
      <c r="F106" s="159"/>
      <c r="G106" s="159"/>
      <c r="H106" s="158"/>
      <c r="I106" s="155"/>
      <c r="J106" s="155"/>
    </row>
    <row r="107" spans="1:11" x14ac:dyDescent="0.2">
      <c r="A107" s="155"/>
      <c r="B107" s="158"/>
      <c r="C107" s="158"/>
      <c r="D107" s="158"/>
      <c r="E107" s="159"/>
      <c r="F107" s="159"/>
      <c r="G107" s="159"/>
      <c r="H107" s="158"/>
      <c r="I107" s="155"/>
      <c r="J107" s="155"/>
    </row>
    <row r="108" spans="1:11" x14ac:dyDescent="0.2">
      <c r="A108" s="155"/>
      <c r="B108" s="158"/>
      <c r="C108" s="158"/>
      <c r="D108" s="158"/>
      <c r="E108" s="159"/>
      <c r="F108" s="159"/>
      <c r="G108" s="159"/>
      <c r="H108" s="158"/>
      <c r="I108" s="158"/>
      <c r="J108" s="155"/>
    </row>
    <row r="109" spans="1:11" x14ac:dyDescent="0.2">
      <c r="A109" s="155"/>
      <c r="B109" s="158"/>
      <c r="C109" s="158"/>
      <c r="D109" s="158"/>
      <c r="E109" s="159"/>
      <c r="F109" s="159"/>
      <c r="G109" s="159"/>
      <c r="H109" s="158"/>
      <c r="I109" s="155"/>
      <c r="J109" s="155"/>
    </row>
    <row r="110" spans="1:11" x14ac:dyDescent="0.2">
      <c r="A110" s="155"/>
      <c r="B110" s="158"/>
      <c r="C110" s="158"/>
      <c r="D110" s="158"/>
      <c r="E110" s="159"/>
      <c r="F110" s="159"/>
      <c r="G110" s="159"/>
      <c r="H110" s="158"/>
      <c r="I110" s="155"/>
      <c r="J110" s="155"/>
    </row>
    <row r="111" spans="1:11" x14ac:dyDescent="0.2">
      <c r="A111" s="155"/>
      <c r="B111" s="158"/>
      <c r="C111" s="158"/>
      <c r="D111" s="158"/>
      <c r="E111" s="159"/>
      <c r="F111" s="159"/>
      <c r="G111" s="159"/>
      <c r="H111" s="158"/>
      <c r="I111" s="155"/>
      <c r="J111" s="155"/>
    </row>
    <row r="112" spans="1:11" x14ac:dyDescent="0.2">
      <c r="A112" s="155"/>
      <c r="B112" s="158"/>
      <c r="C112" s="158"/>
      <c r="D112" s="158"/>
      <c r="E112" s="159"/>
      <c r="F112" s="159"/>
      <c r="G112" s="159"/>
      <c r="H112" s="158"/>
      <c r="I112" s="155"/>
      <c r="J112" s="155"/>
    </row>
    <row r="113" spans="1:10" x14ac:dyDescent="0.2">
      <c r="A113" s="155"/>
      <c r="B113" s="158"/>
      <c r="C113" s="158"/>
      <c r="D113" s="158"/>
      <c r="E113" s="159"/>
      <c r="F113" s="159"/>
      <c r="G113" s="159"/>
      <c r="H113" s="158"/>
      <c r="I113" s="155"/>
      <c r="J113" s="155"/>
    </row>
    <row r="114" spans="1:10" x14ac:dyDescent="0.2">
      <c r="A114" s="155"/>
      <c r="B114" s="158"/>
      <c r="C114" s="158"/>
      <c r="D114" s="158"/>
      <c r="E114" s="159"/>
      <c r="F114" s="159"/>
      <c r="G114" s="159"/>
      <c r="H114" s="158"/>
      <c r="I114" s="158"/>
      <c r="J114" s="155"/>
    </row>
    <row r="115" spans="1:10" x14ac:dyDescent="0.2">
      <c r="A115" s="155"/>
      <c r="B115" s="158"/>
      <c r="C115" s="158"/>
      <c r="D115" s="158"/>
      <c r="E115" s="159"/>
      <c r="F115" s="159"/>
      <c r="G115" s="159"/>
      <c r="H115" s="158"/>
      <c r="I115" s="155"/>
      <c r="J115" s="155"/>
    </row>
    <row r="116" spans="1:10" x14ac:dyDescent="0.2">
      <c r="A116" s="155"/>
      <c r="B116" s="158"/>
      <c r="C116" s="158"/>
      <c r="D116" s="158"/>
      <c r="E116" s="159"/>
      <c r="F116" s="159"/>
      <c r="G116" s="159"/>
      <c r="H116" s="158"/>
      <c r="I116" s="155"/>
      <c r="J116" s="155"/>
    </row>
    <row r="117" spans="1:10" x14ac:dyDescent="0.2">
      <c r="A117" s="155"/>
      <c r="B117" s="158"/>
      <c r="C117" s="158"/>
      <c r="D117" s="158"/>
      <c r="E117" s="159"/>
      <c r="F117" s="159"/>
      <c r="G117" s="159"/>
      <c r="H117" s="158"/>
      <c r="I117" s="155"/>
      <c r="J117" s="155"/>
    </row>
    <row r="118" spans="1:10" x14ac:dyDescent="0.2">
      <c r="A118" s="155"/>
      <c r="B118" s="158"/>
      <c r="C118" s="158"/>
      <c r="D118" s="158"/>
      <c r="E118" s="159"/>
      <c r="F118" s="159"/>
      <c r="G118" s="159"/>
      <c r="H118" s="158"/>
      <c r="I118" s="155"/>
      <c r="J118" s="155"/>
    </row>
    <row r="119" spans="1:10" x14ac:dyDescent="0.2">
      <c r="A119" s="155"/>
      <c r="B119" s="158"/>
      <c r="C119" s="158"/>
      <c r="D119" s="158"/>
      <c r="E119" s="159"/>
      <c r="F119" s="159"/>
      <c r="G119" s="159"/>
      <c r="H119" s="158"/>
      <c r="I119" s="155"/>
      <c r="J119" s="155"/>
    </row>
    <row r="120" spans="1:10" x14ac:dyDescent="0.2">
      <c r="A120" s="155"/>
      <c r="B120" s="158"/>
      <c r="C120" s="158"/>
      <c r="D120" s="158"/>
      <c r="E120" s="159"/>
      <c r="F120" s="159"/>
      <c r="G120" s="159"/>
      <c r="H120" s="158"/>
      <c r="I120" s="155"/>
      <c r="J120" s="155"/>
    </row>
    <row r="121" spans="1:10" x14ac:dyDescent="0.2">
      <c r="A121" s="155"/>
      <c r="B121" s="158"/>
      <c r="C121" s="158"/>
      <c r="D121" s="158"/>
      <c r="E121" s="159"/>
      <c r="F121" s="159"/>
      <c r="G121" s="159"/>
      <c r="H121" s="158"/>
      <c r="I121" s="155"/>
      <c r="J121" s="155"/>
    </row>
    <row r="122" spans="1:10" x14ac:dyDescent="0.2">
      <c r="A122" s="155"/>
      <c r="B122" s="158"/>
      <c r="C122" s="158"/>
      <c r="D122" s="158"/>
      <c r="E122" s="159"/>
      <c r="F122" s="159"/>
      <c r="G122" s="159"/>
      <c r="H122" s="158"/>
      <c r="I122" s="155"/>
      <c r="J122" s="155"/>
    </row>
    <row r="123" spans="1:10" x14ac:dyDescent="0.2">
      <c r="A123" s="155"/>
      <c r="B123" s="158"/>
      <c r="C123" s="158"/>
      <c r="D123" s="158"/>
      <c r="E123" s="159"/>
      <c r="F123" s="159"/>
      <c r="G123" s="159"/>
      <c r="H123" s="158"/>
      <c r="I123" s="155"/>
      <c r="J123" s="155"/>
    </row>
    <row r="124" spans="1:10" x14ac:dyDescent="0.2">
      <c r="A124" s="155"/>
      <c r="B124" s="158"/>
      <c r="C124" s="158"/>
      <c r="D124" s="158"/>
      <c r="E124" s="159"/>
      <c r="F124" s="159"/>
      <c r="G124" s="159"/>
      <c r="H124" s="158"/>
      <c r="I124" s="158"/>
      <c r="J124" s="155"/>
    </row>
    <row r="125" spans="1:10" x14ac:dyDescent="0.2">
      <c r="A125" s="155"/>
      <c r="B125" s="158"/>
      <c r="C125" s="158"/>
      <c r="D125" s="158"/>
      <c r="E125" s="159"/>
      <c r="F125" s="159"/>
      <c r="G125" s="159"/>
      <c r="H125" s="158"/>
      <c r="I125" s="155"/>
      <c r="J125" s="155"/>
    </row>
    <row r="126" spans="1:10" x14ac:dyDescent="0.2">
      <c r="A126" s="155"/>
      <c r="B126" s="158"/>
      <c r="C126" s="158"/>
      <c r="D126" s="158"/>
      <c r="E126" s="159"/>
      <c r="F126" s="159"/>
      <c r="G126" s="159"/>
      <c r="H126" s="158"/>
      <c r="I126" s="155"/>
      <c r="J126" s="155"/>
    </row>
    <row r="127" spans="1:10" x14ac:dyDescent="0.2">
      <c r="A127" s="155"/>
      <c r="B127" s="158"/>
      <c r="C127" s="158"/>
      <c r="D127" s="158"/>
      <c r="E127" s="159"/>
      <c r="F127" s="159"/>
      <c r="G127" s="159"/>
      <c r="H127" s="158"/>
      <c r="I127" s="155"/>
      <c r="J127" s="155"/>
    </row>
    <row r="128" spans="1:10" x14ac:dyDescent="0.2">
      <c r="A128" s="155"/>
      <c r="B128" s="158"/>
      <c r="C128" s="158"/>
      <c r="D128" s="158"/>
      <c r="E128" s="159"/>
      <c r="F128" s="159"/>
      <c r="G128" s="159"/>
      <c r="H128" s="158"/>
      <c r="I128" s="155"/>
      <c r="J128" s="155"/>
    </row>
    <row r="129" spans="1:10" x14ac:dyDescent="0.2">
      <c r="A129" s="155"/>
      <c r="B129" s="158"/>
      <c r="C129" s="158"/>
      <c r="D129" s="158"/>
      <c r="E129" s="159"/>
      <c r="F129" s="159"/>
      <c r="G129" s="159"/>
      <c r="H129" s="158"/>
      <c r="I129" s="155"/>
      <c r="J129" s="155"/>
    </row>
    <row r="130" spans="1:10" x14ac:dyDescent="0.2">
      <c r="A130" s="155"/>
      <c r="B130" s="158"/>
      <c r="C130" s="158"/>
      <c r="D130" s="158"/>
      <c r="E130" s="159"/>
      <c r="F130" s="159"/>
      <c r="G130" s="159"/>
      <c r="H130" s="158"/>
      <c r="I130" s="155"/>
      <c r="J130" s="155"/>
    </row>
    <row r="131" spans="1:10" x14ac:dyDescent="0.2">
      <c r="A131" s="155"/>
      <c r="B131" s="158"/>
      <c r="C131" s="158"/>
      <c r="D131" s="158"/>
      <c r="E131" s="159"/>
      <c r="F131" s="159"/>
      <c r="G131" s="159"/>
      <c r="H131" s="158"/>
      <c r="I131" s="155"/>
      <c r="J131" s="155"/>
    </row>
    <row r="132" spans="1:10" x14ac:dyDescent="0.2">
      <c r="A132" s="155"/>
      <c r="B132" s="158"/>
      <c r="C132" s="158"/>
      <c r="D132" s="158"/>
      <c r="E132" s="159"/>
      <c r="F132" s="159"/>
      <c r="G132" s="159"/>
      <c r="H132" s="158"/>
      <c r="I132" s="155"/>
      <c r="J132" s="155"/>
    </row>
    <row r="133" spans="1:10" x14ac:dyDescent="0.2">
      <c r="A133" s="155"/>
      <c r="B133" s="158"/>
      <c r="C133" s="158"/>
      <c r="D133" s="158"/>
      <c r="E133" s="159"/>
      <c r="F133" s="159"/>
      <c r="G133" s="159"/>
      <c r="H133" s="158"/>
      <c r="I133" s="155"/>
      <c r="J133" s="155"/>
    </row>
    <row r="134" spans="1:10" x14ac:dyDescent="0.2">
      <c r="A134" s="155"/>
      <c r="B134" s="158"/>
      <c r="C134" s="158"/>
      <c r="D134" s="158"/>
      <c r="E134" s="159"/>
      <c r="F134" s="159"/>
      <c r="G134" s="159"/>
      <c r="H134" s="158"/>
      <c r="I134" s="158"/>
      <c r="J134" s="155"/>
    </row>
    <row r="135" spans="1:10" x14ac:dyDescent="0.2">
      <c r="A135" s="155"/>
      <c r="B135" s="158"/>
      <c r="C135" s="158"/>
      <c r="D135" s="158"/>
      <c r="E135" s="159"/>
      <c r="F135" s="159"/>
      <c r="G135" s="159"/>
      <c r="H135" s="158"/>
      <c r="I135" s="155"/>
      <c r="J135" s="155"/>
    </row>
    <row r="136" spans="1:10" x14ac:dyDescent="0.2">
      <c r="A136" s="155"/>
      <c r="B136" s="158"/>
      <c r="C136" s="158"/>
      <c r="D136" s="158"/>
      <c r="E136" s="159"/>
      <c r="F136" s="159"/>
      <c r="G136" s="159"/>
      <c r="H136" s="158"/>
      <c r="I136" s="155"/>
      <c r="J136" s="155"/>
    </row>
    <row r="137" spans="1:10" x14ac:dyDescent="0.2">
      <c r="A137" s="155"/>
      <c r="B137" s="158"/>
      <c r="C137" s="158"/>
      <c r="D137" s="158"/>
      <c r="E137" s="159"/>
      <c r="F137" s="159"/>
      <c r="G137" s="159"/>
      <c r="H137" s="158"/>
      <c r="I137" s="155"/>
      <c r="J137" s="155"/>
    </row>
    <row r="138" spans="1:10" x14ac:dyDescent="0.2">
      <c r="A138" s="155"/>
      <c r="B138" s="158"/>
      <c r="C138" s="158"/>
      <c r="D138" s="158"/>
      <c r="E138" s="159"/>
      <c r="F138" s="159"/>
      <c r="G138" s="159"/>
      <c r="H138" s="158"/>
      <c r="I138" s="155"/>
      <c r="J138" s="155"/>
    </row>
    <row r="139" spans="1:10" x14ac:dyDescent="0.2">
      <c r="A139" s="155"/>
      <c r="B139" s="158"/>
      <c r="C139" s="158"/>
      <c r="D139" s="158"/>
      <c r="E139" s="159"/>
      <c r="F139" s="159"/>
      <c r="G139" s="159"/>
      <c r="H139" s="158"/>
      <c r="I139" s="155"/>
      <c r="J139" s="155"/>
    </row>
    <row r="140" spans="1:10" x14ac:dyDescent="0.2">
      <c r="A140" s="155"/>
      <c r="B140" s="158"/>
      <c r="C140" s="158"/>
      <c r="D140" s="158"/>
      <c r="E140" s="159"/>
      <c r="F140" s="159"/>
      <c r="G140" s="159"/>
      <c r="H140" s="158"/>
      <c r="I140" s="155"/>
      <c r="J140" s="155"/>
    </row>
    <row r="141" spans="1:10" x14ac:dyDescent="0.2">
      <c r="A141" s="155"/>
      <c r="B141" s="158"/>
      <c r="C141" s="158"/>
      <c r="D141" s="158"/>
      <c r="E141" s="159"/>
      <c r="F141" s="159"/>
      <c r="G141" s="159"/>
      <c r="H141" s="158"/>
      <c r="I141" s="158"/>
      <c r="J141" s="155"/>
    </row>
    <row r="142" spans="1:10" x14ac:dyDescent="0.2">
      <c r="A142" s="155"/>
      <c r="B142" s="158"/>
      <c r="C142" s="158"/>
      <c r="D142" s="158"/>
      <c r="E142" s="159"/>
      <c r="F142" s="159"/>
      <c r="G142" s="159"/>
      <c r="H142" s="158"/>
      <c r="I142" s="158"/>
      <c r="J142" s="155"/>
    </row>
    <row r="143" spans="1:10" x14ac:dyDescent="0.2">
      <c r="A143" s="155"/>
      <c r="B143" s="158"/>
      <c r="C143" s="158"/>
      <c r="D143" s="158"/>
      <c r="E143" s="159"/>
      <c r="F143" s="159"/>
      <c r="G143" s="159"/>
      <c r="H143" s="158"/>
      <c r="I143" s="158"/>
      <c r="J143" s="155"/>
    </row>
    <row r="144" spans="1:10" x14ac:dyDescent="0.2">
      <c r="A144" s="155"/>
      <c r="B144" s="158"/>
      <c r="C144" s="158"/>
      <c r="D144" s="158"/>
      <c r="E144" s="159"/>
      <c r="F144" s="159"/>
      <c r="G144" s="159"/>
      <c r="H144" s="158"/>
      <c r="I144" s="158"/>
      <c r="J144" s="155"/>
    </row>
    <row r="145" spans="1:10" x14ac:dyDescent="0.2">
      <c r="A145" s="155"/>
      <c r="B145" s="158"/>
      <c r="C145" s="158"/>
      <c r="D145" s="158"/>
      <c r="E145" s="159"/>
      <c r="F145" s="159"/>
      <c r="G145" s="159"/>
      <c r="H145" s="158"/>
      <c r="I145" s="158"/>
      <c r="J145" s="155"/>
    </row>
  </sheetData>
  <autoFilter ref="A1:L145" xr:uid="{00000000-0009-0000-0000-00000B000000}"/>
  <mergeCells count="2">
    <mergeCell ref="I7:I9"/>
    <mergeCell ref="I10:I13"/>
  </mergeCells>
  <pageMargins left="0.70000004768371582" right="0.70000004768371582" top="0.75" bottom="0.75" header="0.30000001192092896" footer="0.30000001192092896"/>
  <pageSetup paperSize="9" fitToWidth="0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96"/>
  <sheetViews>
    <sheetView tabSelected="1" topLeftCell="A90" workbookViewId="0">
      <selection activeCell="D87" sqref="D87"/>
    </sheetView>
  </sheetViews>
  <sheetFormatPr baseColWidth="10" defaultColWidth="26" defaultRowHeight="14" x14ac:dyDescent="0.2"/>
  <cols>
    <col min="1" max="1" width="14" style="143" bestFit="1" customWidth="1"/>
    <col min="2" max="2" width="28.6640625" style="143" bestFit="1" customWidth="1"/>
    <col min="3" max="4" width="39" style="143" customWidth="1"/>
    <col min="5" max="5" width="9.83203125" style="143" customWidth="1"/>
    <col min="6" max="6" width="13.5" style="143" customWidth="1"/>
    <col min="7" max="7" width="14.1640625" style="142" bestFit="1" customWidth="1"/>
    <col min="8" max="8" width="40.1640625" style="143" customWidth="1"/>
    <col min="9" max="9" width="59.1640625" style="161" customWidth="1"/>
    <col min="10" max="10" width="26" style="143"/>
    <col min="11" max="11" width="45.83203125" style="143" customWidth="1"/>
    <col min="12" max="16384" width="26" style="143"/>
  </cols>
  <sheetData>
    <row r="1" spans="1:12" s="142" customFormat="1" ht="30" x14ac:dyDescent="0.2">
      <c r="A1" s="140" t="s">
        <v>298</v>
      </c>
      <c r="B1" s="140" t="s">
        <v>299</v>
      </c>
      <c r="C1" s="140" t="s">
        <v>351</v>
      </c>
      <c r="D1" s="140" t="s">
        <v>245</v>
      </c>
      <c r="E1" s="140" t="s">
        <v>300</v>
      </c>
      <c r="F1" s="140" t="s">
        <v>301</v>
      </c>
      <c r="G1" s="140" t="s">
        <v>302</v>
      </c>
      <c r="H1" s="140" t="s">
        <v>303</v>
      </c>
      <c r="I1" s="140" t="s">
        <v>304</v>
      </c>
      <c r="J1" s="140" t="s">
        <v>305</v>
      </c>
      <c r="K1" s="140" t="s">
        <v>247</v>
      </c>
      <c r="L1" s="141" t="s">
        <v>250</v>
      </c>
    </row>
    <row r="2" spans="1:12" ht="45" x14ac:dyDescent="0.2">
      <c r="A2" s="143" t="s">
        <v>348</v>
      </c>
      <c r="B2" s="144" t="s">
        <v>241</v>
      </c>
      <c r="C2" s="145" t="s">
        <v>22</v>
      </c>
      <c r="D2" s="145"/>
      <c r="E2" s="146" t="s">
        <v>306</v>
      </c>
      <c r="F2" s="146" t="s">
        <v>310</v>
      </c>
      <c r="G2" s="147">
        <v>1</v>
      </c>
      <c r="H2" s="144" t="s">
        <v>381</v>
      </c>
      <c r="I2" s="148" t="s">
        <v>314</v>
      </c>
      <c r="K2" s="149" t="s">
        <v>344</v>
      </c>
      <c r="L2" s="143" t="s">
        <v>382</v>
      </c>
    </row>
    <row r="3" spans="1:12" ht="45" x14ac:dyDescent="0.2">
      <c r="A3" s="143" t="s">
        <v>348</v>
      </c>
      <c r="B3" s="144" t="s">
        <v>241</v>
      </c>
      <c r="C3" s="150" t="s">
        <v>24</v>
      </c>
      <c r="D3" s="150"/>
      <c r="E3" s="146" t="s">
        <v>306</v>
      </c>
      <c r="F3" s="146" t="s">
        <v>310</v>
      </c>
      <c r="G3" s="147">
        <v>2</v>
      </c>
      <c r="H3" s="144" t="s">
        <v>381</v>
      </c>
      <c r="I3" s="148" t="s">
        <v>314</v>
      </c>
      <c r="K3" s="144" t="s">
        <v>316</v>
      </c>
    </row>
    <row r="4" spans="1:12" ht="45" x14ac:dyDescent="0.2">
      <c r="A4" s="143" t="s">
        <v>348</v>
      </c>
      <c r="B4" s="144" t="s">
        <v>241</v>
      </c>
      <c r="C4" s="150" t="s">
        <v>307</v>
      </c>
      <c r="D4" s="150"/>
      <c r="E4" s="146" t="s">
        <v>306</v>
      </c>
      <c r="F4" s="146" t="s">
        <v>310</v>
      </c>
      <c r="G4" s="147">
        <v>3</v>
      </c>
      <c r="H4" s="144" t="s">
        <v>381</v>
      </c>
      <c r="I4" s="148" t="s">
        <v>314</v>
      </c>
    </row>
    <row r="5" spans="1:12" ht="45" x14ac:dyDescent="0.2">
      <c r="A5" s="143" t="s">
        <v>348</v>
      </c>
      <c r="B5" s="144" t="s">
        <v>241</v>
      </c>
      <c r="C5" s="150" t="s">
        <v>33</v>
      </c>
      <c r="D5" s="150"/>
      <c r="E5" s="146" t="s">
        <v>306</v>
      </c>
      <c r="F5" s="146" t="s">
        <v>310</v>
      </c>
      <c r="G5" s="147">
        <v>3</v>
      </c>
      <c r="H5" s="144" t="s">
        <v>381</v>
      </c>
      <c r="I5" s="148" t="s">
        <v>314</v>
      </c>
    </row>
    <row r="6" spans="1:12" ht="45" x14ac:dyDescent="0.2">
      <c r="A6" s="143" t="s">
        <v>348</v>
      </c>
      <c r="B6" s="144" t="s">
        <v>241</v>
      </c>
      <c r="C6" s="150" t="s">
        <v>38</v>
      </c>
      <c r="D6" s="150"/>
      <c r="E6" s="146" t="s">
        <v>306</v>
      </c>
      <c r="F6" s="146" t="s">
        <v>310</v>
      </c>
      <c r="G6" s="147">
        <v>2</v>
      </c>
      <c r="H6" s="144" t="s">
        <v>381</v>
      </c>
      <c r="I6" s="148" t="s">
        <v>314</v>
      </c>
    </row>
    <row r="7" spans="1:12" ht="45" x14ac:dyDescent="0.2">
      <c r="A7" s="143" t="s">
        <v>348</v>
      </c>
      <c r="B7" s="144" t="s">
        <v>241</v>
      </c>
      <c r="C7" s="150" t="s">
        <v>42</v>
      </c>
      <c r="D7" s="150"/>
      <c r="E7" s="146" t="s">
        <v>306</v>
      </c>
      <c r="F7" s="146" t="s">
        <v>310</v>
      </c>
      <c r="G7" s="147">
        <v>1</v>
      </c>
      <c r="H7" s="144" t="s">
        <v>381</v>
      </c>
      <c r="I7" s="148" t="s">
        <v>314</v>
      </c>
    </row>
    <row r="8" spans="1:12" ht="45" x14ac:dyDescent="0.2">
      <c r="A8" s="143" t="s">
        <v>348</v>
      </c>
      <c r="B8" s="144" t="s">
        <v>241</v>
      </c>
      <c r="C8" s="150" t="s">
        <v>43</v>
      </c>
      <c r="D8" s="150"/>
      <c r="E8" s="146" t="s">
        <v>306</v>
      </c>
      <c r="F8" s="146" t="s">
        <v>310</v>
      </c>
      <c r="G8" s="147">
        <v>2</v>
      </c>
      <c r="H8" s="144" t="s">
        <v>381</v>
      </c>
      <c r="I8" s="148" t="s">
        <v>314</v>
      </c>
    </row>
    <row r="9" spans="1:12" ht="60" x14ac:dyDescent="0.2">
      <c r="A9" s="143" t="s">
        <v>348</v>
      </c>
      <c r="B9" s="144" t="s">
        <v>260</v>
      </c>
      <c r="C9" s="145" t="s">
        <v>60</v>
      </c>
      <c r="D9" s="145"/>
      <c r="E9" s="146" t="s">
        <v>308</v>
      </c>
      <c r="F9" s="146" t="s">
        <v>310</v>
      </c>
      <c r="G9" s="151">
        <v>2</v>
      </c>
      <c r="H9" s="144" t="s">
        <v>381</v>
      </c>
      <c r="I9" s="152" t="s">
        <v>315</v>
      </c>
      <c r="K9" s="152"/>
    </row>
    <row r="10" spans="1:12" ht="60" x14ac:dyDescent="0.2">
      <c r="A10" s="143" t="s">
        <v>348</v>
      </c>
      <c r="B10" s="144" t="s">
        <v>260</v>
      </c>
      <c r="C10" s="153" t="s">
        <v>62</v>
      </c>
      <c r="D10" s="153"/>
      <c r="E10" s="146" t="s">
        <v>308</v>
      </c>
      <c r="F10" s="146" t="s">
        <v>310</v>
      </c>
      <c r="G10" s="151">
        <v>4</v>
      </c>
      <c r="H10" s="144" t="s">
        <v>381</v>
      </c>
      <c r="I10" s="152" t="s">
        <v>315</v>
      </c>
    </row>
    <row r="11" spans="1:12" ht="60" x14ac:dyDescent="0.2">
      <c r="A11" s="143" t="s">
        <v>348</v>
      </c>
      <c r="B11" s="144" t="s">
        <v>260</v>
      </c>
      <c r="C11" s="153" t="s">
        <v>61</v>
      </c>
      <c r="D11" s="153"/>
      <c r="E11" s="146" t="s">
        <v>308</v>
      </c>
      <c r="F11" s="146" t="s">
        <v>310</v>
      </c>
      <c r="G11" s="151">
        <v>3</v>
      </c>
      <c r="H11" s="144" t="s">
        <v>381</v>
      </c>
      <c r="I11" s="152" t="s">
        <v>315</v>
      </c>
    </row>
    <row r="12" spans="1:12" ht="60" x14ac:dyDescent="0.2">
      <c r="A12" s="143" t="s">
        <v>348</v>
      </c>
      <c r="B12" s="144" t="s">
        <v>260</v>
      </c>
      <c r="C12" s="153" t="s">
        <v>72</v>
      </c>
      <c r="D12" s="153"/>
      <c r="E12" s="146" t="s">
        <v>308</v>
      </c>
      <c r="F12" s="146" t="s">
        <v>310</v>
      </c>
      <c r="G12" s="151">
        <v>1</v>
      </c>
      <c r="H12" s="144" t="s">
        <v>381</v>
      </c>
      <c r="I12" s="152" t="s">
        <v>315</v>
      </c>
    </row>
    <row r="13" spans="1:12" ht="60" x14ac:dyDescent="0.2">
      <c r="A13" s="143" t="s">
        <v>348</v>
      </c>
      <c r="B13" s="144" t="s">
        <v>260</v>
      </c>
      <c r="C13" s="153" t="s">
        <v>73</v>
      </c>
      <c r="D13" s="153"/>
      <c r="E13" s="146" t="s">
        <v>308</v>
      </c>
      <c r="F13" s="146" t="s">
        <v>310</v>
      </c>
      <c r="G13" s="151">
        <v>4</v>
      </c>
      <c r="H13" s="144" t="s">
        <v>381</v>
      </c>
      <c r="I13" s="152" t="s">
        <v>315</v>
      </c>
    </row>
    <row r="14" spans="1:12" ht="60" x14ac:dyDescent="0.2">
      <c r="A14" s="143" t="s">
        <v>348</v>
      </c>
      <c r="B14" s="144" t="s">
        <v>260</v>
      </c>
      <c r="C14" s="145" t="s">
        <v>0</v>
      </c>
      <c r="D14" s="145"/>
      <c r="E14" s="146" t="s">
        <v>308</v>
      </c>
      <c r="F14" s="146" t="s">
        <v>310</v>
      </c>
      <c r="G14" s="151">
        <v>5</v>
      </c>
      <c r="H14" s="144" t="s">
        <v>381</v>
      </c>
      <c r="I14" s="152" t="s">
        <v>315</v>
      </c>
    </row>
    <row r="15" spans="1:12" ht="60" x14ac:dyDescent="0.2">
      <c r="A15" s="143" t="s">
        <v>348</v>
      </c>
      <c r="B15" s="144" t="s">
        <v>260</v>
      </c>
      <c r="C15" s="153" t="s">
        <v>6</v>
      </c>
      <c r="D15" s="153"/>
      <c r="E15" s="146" t="s">
        <v>308</v>
      </c>
      <c r="F15" s="146" t="s">
        <v>310</v>
      </c>
      <c r="G15" s="151">
        <v>2</v>
      </c>
      <c r="H15" s="144" t="s">
        <v>381</v>
      </c>
      <c r="I15" s="152" t="s">
        <v>315</v>
      </c>
    </row>
    <row r="16" spans="1:12" ht="60" x14ac:dyDescent="0.2">
      <c r="A16" s="143" t="s">
        <v>348</v>
      </c>
      <c r="B16" s="144" t="s">
        <v>260</v>
      </c>
      <c r="C16" s="153" t="s">
        <v>8</v>
      </c>
      <c r="D16" s="153"/>
      <c r="E16" s="146" t="s">
        <v>308</v>
      </c>
      <c r="F16" s="146" t="s">
        <v>310</v>
      </c>
      <c r="G16" s="151">
        <v>1</v>
      </c>
      <c r="H16" s="144" t="s">
        <v>381</v>
      </c>
      <c r="I16" s="152" t="s">
        <v>315</v>
      </c>
    </row>
    <row r="17" spans="1:11" ht="30" x14ac:dyDescent="0.2">
      <c r="A17" s="143" t="s">
        <v>348</v>
      </c>
      <c r="B17" s="144" t="s">
        <v>241</v>
      </c>
      <c r="C17" s="145" t="s">
        <v>30</v>
      </c>
      <c r="D17" s="145"/>
      <c r="E17" s="146" t="s">
        <v>309</v>
      </c>
      <c r="F17" s="146" t="s">
        <v>310</v>
      </c>
      <c r="G17" s="154">
        <v>3</v>
      </c>
      <c r="H17" s="144" t="s">
        <v>381</v>
      </c>
      <c r="I17" s="152" t="s">
        <v>312</v>
      </c>
      <c r="K17" s="152" t="s">
        <v>257</v>
      </c>
    </row>
    <row r="18" spans="1:11" ht="30" x14ac:dyDescent="0.2">
      <c r="A18" s="143" t="s">
        <v>348</v>
      </c>
      <c r="B18" s="144" t="s">
        <v>241</v>
      </c>
      <c r="C18" s="145" t="s">
        <v>32</v>
      </c>
      <c r="D18" s="145"/>
      <c r="E18" s="146" t="s">
        <v>309</v>
      </c>
      <c r="F18" s="146" t="s">
        <v>310</v>
      </c>
      <c r="G18" s="154">
        <v>5</v>
      </c>
      <c r="H18" s="144" t="s">
        <v>381</v>
      </c>
      <c r="I18" s="152" t="s">
        <v>313</v>
      </c>
      <c r="K18" s="155"/>
    </row>
    <row r="19" spans="1:11" ht="30" x14ac:dyDescent="0.2">
      <c r="A19" s="143" t="s">
        <v>348</v>
      </c>
      <c r="B19" s="144" t="s">
        <v>241</v>
      </c>
      <c r="C19" s="145" t="s">
        <v>34</v>
      </c>
      <c r="D19" s="145"/>
      <c r="E19" s="146" t="s">
        <v>309</v>
      </c>
      <c r="F19" s="146" t="s">
        <v>310</v>
      </c>
      <c r="G19" s="154">
        <v>5</v>
      </c>
      <c r="H19" s="144" t="s">
        <v>381</v>
      </c>
      <c r="I19" s="152" t="s">
        <v>313</v>
      </c>
      <c r="K19" s="155"/>
    </row>
    <row r="20" spans="1:11" ht="30" x14ac:dyDescent="0.2">
      <c r="A20" s="143" t="s">
        <v>348</v>
      </c>
      <c r="B20" s="144" t="s">
        <v>241</v>
      </c>
      <c r="C20" s="145" t="s">
        <v>36</v>
      </c>
      <c r="D20" s="145"/>
      <c r="E20" s="146" t="s">
        <v>309</v>
      </c>
      <c r="F20" s="146" t="s">
        <v>310</v>
      </c>
      <c r="G20" s="154">
        <v>5</v>
      </c>
      <c r="H20" s="144" t="s">
        <v>381</v>
      </c>
      <c r="I20" s="152" t="s">
        <v>313</v>
      </c>
      <c r="K20" s="155"/>
    </row>
    <row r="21" spans="1:11" ht="15" x14ac:dyDescent="0.2">
      <c r="A21" s="143" t="s">
        <v>348</v>
      </c>
      <c r="B21" s="144" t="s">
        <v>241</v>
      </c>
      <c r="C21" s="145" t="s">
        <v>39</v>
      </c>
      <c r="D21" s="145"/>
      <c r="E21" s="146" t="s">
        <v>309</v>
      </c>
      <c r="F21" s="146" t="s">
        <v>310</v>
      </c>
      <c r="G21" s="154">
        <v>4</v>
      </c>
      <c r="H21" s="144" t="s">
        <v>381</v>
      </c>
      <c r="I21" s="152" t="s">
        <v>313</v>
      </c>
      <c r="K21" s="155"/>
    </row>
    <row r="22" spans="1:11" s="162" customFormat="1" ht="15" x14ac:dyDescent="0.2">
      <c r="A22" s="162" t="s">
        <v>348</v>
      </c>
      <c r="B22" s="160" t="s">
        <v>241</v>
      </c>
      <c r="C22" s="160" t="s">
        <v>74</v>
      </c>
      <c r="D22" s="160"/>
      <c r="E22" s="164" t="s">
        <v>311</v>
      </c>
      <c r="F22" s="164" t="s">
        <v>310</v>
      </c>
      <c r="G22" s="189">
        <v>3</v>
      </c>
      <c r="H22" s="160" t="s">
        <v>381</v>
      </c>
    </row>
    <row r="23" spans="1:11" s="162" customFormat="1" ht="15" x14ac:dyDescent="0.2">
      <c r="A23" s="162" t="s">
        <v>348</v>
      </c>
      <c r="B23" s="160" t="s">
        <v>260</v>
      </c>
      <c r="C23" s="160" t="s">
        <v>74</v>
      </c>
      <c r="D23" s="160"/>
      <c r="E23" s="164" t="s">
        <v>311</v>
      </c>
      <c r="F23" s="164" t="s">
        <v>310</v>
      </c>
      <c r="G23" s="189">
        <v>3</v>
      </c>
      <c r="H23" s="160" t="s">
        <v>381</v>
      </c>
    </row>
    <row r="24" spans="1:11" ht="45" x14ac:dyDescent="0.2">
      <c r="A24" s="143" t="s">
        <v>347</v>
      </c>
      <c r="B24" s="144" t="s">
        <v>241</v>
      </c>
      <c r="C24" s="145" t="s">
        <v>101</v>
      </c>
      <c r="D24" s="145"/>
      <c r="E24" s="143" t="s">
        <v>269</v>
      </c>
      <c r="F24" s="146" t="s">
        <v>310</v>
      </c>
      <c r="G24" s="156">
        <v>0.7</v>
      </c>
      <c r="H24" s="143" t="s">
        <v>377</v>
      </c>
      <c r="I24" s="162"/>
      <c r="K24" s="144" t="s">
        <v>316</v>
      </c>
    </row>
    <row r="25" spans="1:11" ht="90" x14ac:dyDescent="0.2">
      <c r="A25" s="143" t="s">
        <v>347</v>
      </c>
      <c r="B25" s="144" t="s">
        <v>241</v>
      </c>
      <c r="C25" s="145" t="s">
        <v>103</v>
      </c>
      <c r="D25" s="145"/>
      <c r="E25" s="143" t="s">
        <v>269</v>
      </c>
      <c r="F25" s="146" t="s">
        <v>310</v>
      </c>
      <c r="G25" s="156">
        <v>1</v>
      </c>
      <c r="H25" s="143" t="s">
        <v>377</v>
      </c>
      <c r="I25" s="162"/>
      <c r="K25" s="157" t="s">
        <v>396</v>
      </c>
    </row>
    <row r="26" spans="1:11" ht="15" x14ac:dyDescent="0.2">
      <c r="A26" s="143" t="s">
        <v>347</v>
      </c>
      <c r="B26" s="144" t="s">
        <v>241</v>
      </c>
      <c r="C26" s="145" t="s">
        <v>105</v>
      </c>
      <c r="D26" s="145"/>
      <c r="E26" s="143" t="s">
        <v>269</v>
      </c>
      <c r="F26" s="146" t="s">
        <v>310</v>
      </c>
      <c r="G26" s="156">
        <v>0.9</v>
      </c>
      <c r="H26" s="143" t="s">
        <v>377</v>
      </c>
      <c r="I26" s="162"/>
    </row>
    <row r="27" spans="1:11" ht="15" x14ac:dyDescent="0.2">
      <c r="A27" s="143" t="s">
        <v>347</v>
      </c>
      <c r="B27" s="144" t="s">
        <v>241</v>
      </c>
      <c r="C27" s="145" t="s">
        <v>106</v>
      </c>
      <c r="D27" s="145"/>
      <c r="E27" s="143" t="s">
        <v>269</v>
      </c>
      <c r="F27" s="146" t="s">
        <v>310</v>
      </c>
      <c r="G27" s="156">
        <v>2.7</v>
      </c>
      <c r="H27" s="143" t="s">
        <v>377</v>
      </c>
      <c r="I27" s="162"/>
    </row>
    <row r="28" spans="1:11" ht="30" x14ac:dyDescent="0.2">
      <c r="A28" s="143" t="s">
        <v>347</v>
      </c>
      <c r="B28" s="144" t="s">
        <v>241</v>
      </c>
      <c r="C28" s="145" t="s">
        <v>107</v>
      </c>
      <c r="D28" s="145"/>
      <c r="E28" s="143" t="s">
        <v>269</v>
      </c>
      <c r="F28" s="146" t="s">
        <v>310</v>
      </c>
      <c r="G28" s="156">
        <v>0.6</v>
      </c>
      <c r="H28" s="143" t="s">
        <v>377</v>
      </c>
      <c r="I28" s="162"/>
    </row>
    <row r="29" spans="1:11" ht="30" x14ac:dyDescent="0.2">
      <c r="A29" s="143" t="s">
        <v>347</v>
      </c>
      <c r="B29" s="144" t="s">
        <v>241</v>
      </c>
      <c r="C29" s="145" t="s">
        <v>109</v>
      </c>
      <c r="D29" s="145"/>
      <c r="E29" s="143" t="s">
        <v>269</v>
      </c>
      <c r="F29" s="146" t="s">
        <v>310</v>
      </c>
      <c r="G29" s="156">
        <v>0.7</v>
      </c>
      <c r="H29" s="143" t="s">
        <v>377</v>
      </c>
      <c r="I29" s="162"/>
      <c r="K29" s="158"/>
    </row>
    <row r="30" spans="1:11" ht="30" x14ac:dyDescent="0.2">
      <c r="A30" s="143" t="s">
        <v>347</v>
      </c>
      <c r="B30" s="144" t="s">
        <v>241</v>
      </c>
      <c r="C30" s="145" t="s">
        <v>111</v>
      </c>
      <c r="D30" s="145"/>
      <c r="E30" s="143" t="s">
        <v>269</v>
      </c>
      <c r="F30" s="146" t="s">
        <v>310</v>
      </c>
      <c r="G30" s="156">
        <v>0.8</v>
      </c>
      <c r="H30" s="143" t="s">
        <v>377</v>
      </c>
      <c r="I30" s="162"/>
    </row>
    <row r="31" spans="1:11" ht="30" x14ac:dyDescent="0.2">
      <c r="A31" s="143" t="s">
        <v>347</v>
      </c>
      <c r="B31" s="144" t="s">
        <v>241</v>
      </c>
      <c r="C31" s="145" t="s">
        <v>112</v>
      </c>
      <c r="D31" s="145"/>
      <c r="E31" s="143" t="s">
        <v>269</v>
      </c>
      <c r="F31" s="146" t="s">
        <v>310</v>
      </c>
      <c r="G31" s="156">
        <v>1</v>
      </c>
      <c r="H31" s="143" t="s">
        <v>377</v>
      </c>
      <c r="I31" s="162"/>
    </row>
    <row r="32" spans="1:11" ht="30" x14ac:dyDescent="0.2">
      <c r="A32" s="143" t="s">
        <v>347</v>
      </c>
      <c r="B32" s="144" t="s">
        <v>372</v>
      </c>
      <c r="C32" s="159" t="s">
        <v>101</v>
      </c>
      <c r="D32" s="159" t="s">
        <v>362</v>
      </c>
      <c r="E32" s="143" t="s">
        <v>285</v>
      </c>
      <c r="F32" s="146" t="s">
        <v>310</v>
      </c>
      <c r="G32" s="156">
        <v>0.7</v>
      </c>
      <c r="H32" s="144" t="s">
        <v>376</v>
      </c>
      <c r="I32" s="162" t="s">
        <v>397</v>
      </c>
      <c r="K32" s="158" t="s">
        <v>345</v>
      </c>
    </row>
    <row r="33" spans="1:11" ht="60" x14ac:dyDescent="0.2">
      <c r="A33" s="143" t="s">
        <v>347</v>
      </c>
      <c r="B33" s="144" t="s">
        <v>372</v>
      </c>
      <c r="C33" s="159" t="s">
        <v>103</v>
      </c>
      <c r="D33" s="159" t="s">
        <v>363</v>
      </c>
      <c r="E33" s="143" t="s">
        <v>285</v>
      </c>
      <c r="F33" s="146" t="s">
        <v>310</v>
      </c>
      <c r="G33" s="156">
        <v>0.9</v>
      </c>
      <c r="H33" s="144" t="s">
        <v>376</v>
      </c>
      <c r="I33" s="162" t="s">
        <v>397</v>
      </c>
      <c r="K33" s="158" t="s">
        <v>395</v>
      </c>
    </row>
    <row r="34" spans="1:11" ht="30" x14ac:dyDescent="0.2">
      <c r="A34" s="143" t="s">
        <v>347</v>
      </c>
      <c r="B34" s="144" t="s">
        <v>372</v>
      </c>
      <c r="C34" s="159" t="s">
        <v>105</v>
      </c>
      <c r="D34" s="159" t="s">
        <v>364</v>
      </c>
      <c r="E34" s="143" t="s">
        <v>285</v>
      </c>
      <c r="F34" s="146" t="s">
        <v>310</v>
      </c>
      <c r="G34" s="156">
        <v>0.9</v>
      </c>
      <c r="H34" s="144" t="s">
        <v>376</v>
      </c>
      <c r="I34" s="162" t="s">
        <v>397</v>
      </c>
    </row>
    <row r="35" spans="1:11" ht="30" x14ac:dyDescent="0.2">
      <c r="A35" s="143" t="s">
        <v>347</v>
      </c>
      <c r="B35" s="144" t="s">
        <v>372</v>
      </c>
      <c r="C35" s="159" t="s">
        <v>107</v>
      </c>
      <c r="D35" s="159" t="s">
        <v>365</v>
      </c>
      <c r="E35" s="143" t="s">
        <v>285</v>
      </c>
      <c r="F35" s="146" t="s">
        <v>310</v>
      </c>
      <c r="G35" s="156">
        <v>0.6</v>
      </c>
      <c r="H35" s="144" t="s">
        <v>376</v>
      </c>
      <c r="I35" s="162" t="s">
        <v>397</v>
      </c>
    </row>
    <row r="36" spans="1:11" ht="30" x14ac:dyDescent="0.2">
      <c r="A36" s="143" t="s">
        <v>347</v>
      </c>
      <c r="B36" s="144" t="s">
        <v>372</v>
      </c>
      <c r="C36" s="159" t="s">
        <v>138</v>
      </c>
      <c r="D36" s="159" t="s">
        <v>366</v>
      </c>
      <c r="E36" s="143" t="s">
        <v>285</v>
      </c>
      <c r="F36" s="146" t="s">
        <v>310</v>
      </c>
      <c r="G36" s="156">
        <v>0.7</v>
      </c>
      <c r="H36" s="144" t="s">
        <v>376</v>
      </c>
      <c r="I36" s="162" t="s">
        <v>397</v>
      </c>
    </row>
    <row r="37" spans="1:11" ht="30" x14ac:dyDescent="0.2">
      <c r="A37" s="143" t="s">
        <v>347</v>
      </c>
      <c r="B37" s="144" t="s">
        <v>372</v>
      </c>
      <c r="C37" s="159" t="s">
        <v>136</v>
      </c>
      <c r="D37" s="159" t="s">
        <v>371</v>
      </c>
      <c r="E37" s="143" t="s">
        <v>285</v>
      </c>
      <c r="F37" s="146" t="s">
        <v>310</v>
      </c>
      <c r="G37" s="156">
        <v>0.7</v>
      </c>
      <c r="H37" s="144" t="s">
        <v>376</v>
      </c>
      <c r="I37" s="162" t="s">
        <v>397</v>
      </c>
    </row>
    <row r="38" spans="1:11" ht="30" x14ac:dyDescent="0.2">
      <c r="A38" s="143" t="s">
        <v>347</v>
      </c>
      <c r="B38" s="144" t="s">
        <v>372</v>
      </c>
      <c r="C38" s="159" t="s">
        <v>129</v>
      </c>
      <c r="D38" s="159" t="s">
        <v>367</v>
      </c>
      <c r="E38" s="143" t="s">
        <v>285</v>
      </c>
      <c r="F38" s="146" t="s">
        <v>310</v>
      </c>
      <c r="G38" s="156">
        <v>1.6</v>
      </c>
      <c r="H38" s="144" t="s">
        <v>376</v>
      </c>
      <c r="I38" s="162" t="s">
        <v>397</v>
      </c>
    </row>
    <row r="39" spans="1:11" ht="30" x14ac:dyDescent="0.2">
      <c r="A39" s="143" t="s">
        <v>347</v>
      </c>
      <c r="B39" s="144" t="s">
        <v>372</v>
      </c>
      <c r="C39" s="159" t="s">
        <v>131</v>
      </c>
      <c r="D39" s="159" t="s">
        <v>368</v>
      </c>
      <c r="E39" s="143" t="s">
        <v>285</v>
      </c>
      <c r="F39" s="146" t="s">
        <v>310</v>
      </c>
      <c r="G39" s="156">
        <v>0.7</v>
      </c>
      <c r="H39" s="144" t="s">
        <v>376</v>
      </c>
      <c r="I39" s="162" t="s">
        <v>397</v>
      </c>
    </row>
    <row r="40" spans="1:11" ht="30" x14ac:dyDescent="0.2">
      <c r="A40" s="143" t="s">
        <v>347</v>
      </c>
      <c r="B40" s="144" t="s">
        <v>372</v>
      </c>
      <c r="C40" s="159" t="s">
        <v>134</v>
      </c>
      <c r="D40" s="159" t="s">
        <v>369</v>
      </c>
      <c r="E40" s="143" t="s">
        <v>285</v>
      </c>
      <c r="F40" s="146" t="s">
        <v>310</v>
      </c>
      <c r="G40" s="156">
        <v>0.7</v>
      </c>
      <c r="H40" s="144" t="s">
        <v>376</v>
      </c>
      <c r="I40" s="162" t="s">
        <v>397</v>
      </c>
    </row>
    <row r="41" spans="1:11" ht="30" x14ac:dyDescent="0.2">
      <c r="A41" s="143" t="s">
        <v>347</v>
      </c>
      <c r="B41" s="144" t="s">
        <v>372</v>
      </c>
      <c r="C41" s="159" t="s">
        <v>126</v>
      </c>
      <c r="D41" s="159" t="s">
        <v>370</v>
      </c>
      <c r="E41" s="143" t="s">
        <v>285</v>
      </c>
      <c r="F41" s="146" t="s">
        <v>310</v>
      </c>
      <c r="G41" s="156">
        <v>0.8</v>
      </c>
      <c r="H41" s="144" t="s">
        <v>376</v>
      </c>
      <c r="I41" s="162" t="s">
        <v>397</v>
      </c>
    </row>
    <row r="42" spans="1:11" ht="30" x14ac:dyDescent="0.2">
      <c r="A42" s="143" t="s">
        <v>347</v>
      </c>
      <c r="B42" s="144" t="s">
        <v>241</v>
      </c>
      <c r="C42" s="159" t="s">
        <v>101</v>
      </c>
      <c r="D42" s="159"/>
      <c r="E42" s="143" t="s">
        <v>291</v>
      </c>
      <c r="F42" s="146" t="s">
        <v>310</v>
      </c>
      <c r="G42" s="156">
        <v>0.7</v>
      </c>
      <c r="H42" s="143" t="s">
        <v>377</v>
      </c>
      <c r="I42" s="162"/>
      <c r="K42" s="158" t="s">
        <v>290</v>
      </c>
    </row>
    <row r="43" spans="1:11" ht="15" x14ac:dyDescent="0.2">
      <c r="A43" s="143" t="s">
        <v>347</v>
      </c>
      <c r="B43" s="144" t="s">
        <v>241</v>
      </c>
      <c r="C43" s="159" t="s">
        <v>103</v>
      </c>
      <c r="D43" s="159"/>
      <c r="E43" s="143" t="s">
        <v>291</v>
      </c>
      <c r="F43" s="146" t="s">
        <v>310</v>
      </c>
      <c r="G43" s="156">
        <v>0.6</v>
      </c>
      <c r="H43" s="143" t="s">
        <v>377</v>
      </c>
      <c r="I43" s="162"/>
    </row>
    <row r="44" spans="1:11" ht="15" x14ac:dyDescent="0.2">
      <c r="A44" s="143" t="s">
        <v>347</v>
      </c>
      <c r="B44" s="144" t="s">
        <v>241</v>
      </c>
      <c r="C44" s="159" t="s">
        <v>105</v>
      </c>
      <c r="D44" s="159"/>
      <c r="E44" s="143" t="s">
        <v>291</v>
      </c>
      <c r="F44" s="146" t="s">
        <v>310</v>
      </c>
      <c r="G44" s="156">
        <v>1</v>
      </c>
      <c r="H44" s="143" t="s">
        <v>377</v>
      </c>
      <c r="I44" s="162"/>
    </row>
    <row r="45" spans="1:11" ht="30" x14ac:dyDescent="0.2">
      <c r="A45" s="143" t="s">
        <v>347</v>
      </c>
      <c r="B45" s="144" t="s">
        <v>241</v>
      </c>
      <c r="C45" s="159" t="s">
        <v>107</v>
      </c>
      <c r="D45" s="159"/>
      <c r="E45" s="143" t="s">
        <v>291</v>
      </c>
      <c r="F45" s="146" t="s">
        <v>310</v>
      </c>
      <c r="G45" s="156">
        <v>0.6</v>
      </c>
      <c r="H45" s="143" t="s">
        <v>377</v>
      </c>
      <c r="I45" s="162"/>
    </row>
    <row r="46" spans="1:11" ht="15" x14ac:dyDescent="0.2">
      <c r="A46" s="143" t="s">
        <v>347</v>
      </c>
      <c r="B46" s="144" t="s">
        <v>241</v>
      </c>
      <c r="C46" s="159" t="s">
        <v>140</v>
      </c>
      <c r="D46" s="159"/>
      <c r="E46" s="143" t="s">
        <v>291</v>
      </c>
      <c r="F46" s="146" t="s">
        <v>310</v>
      </c>
      <c r="G46" s="156">
        <v>0.6</v>
      </c>
      <c r="H46" s="143" t="s">
        <v>377</v>
      </c>
      <c r="I46" s="162"/>
    </row>
    <row r="47" spans="1:11" ht="30" x14ac:dyDescent="0.2">
      <c r="A47" s="143" t="s">
        <v>347</v>
      </c>
      <c r="B47" s="144" t="s">
        <v>241</v>
      </c>
      <c r="C47" s="159" t="s">
        <v>142</v>
      </c>
      <c r="D47" s="159"/>
      <c r="E47" s="143" t="s">
        <v>291</v>
      </c>
      <c r="F47" s="146" t="s">
        <v>310</v>
      </c>
      <c r="G47" s="156">
        <v>0.9</v>
      </c>
      <c r="H47" s="143" t="s">
        <v>377</v>
      </c>
      <c r="I47" s="162"/>
    </row>
    <row r="48" spans="1:11" ht="15" x14ac:dyDescent="0.2">
      <c r="A48" s="143" t="s">
        <v>347</v>
      </c>
      <c r="B48" s="144" t="s">
        <v>241</v>
      </c>
      <c r="C48" s="159" t="s">
        <v>146</v>
      </c>
      <c r="D48" s="159"/>
      <c r="E48" s="143" t="s">
        <v>291</v>
      </c>
      <c r="F48" s="146" t="s">
        <v>310</v>
      </c>
      <c r="G48" s="156">
        <v>0.9</v>
      </c>
      <c r="H48" s="143" t="s">
        <v>377</v>
      </c>
      <c r="I48" s="162"/>
    </row>
    <row r="49" spans="1:11" ht="30" x14ac:dyDescent="0.2">
      <c r="A49" s="143" t="s">
        <v>347</v>
      </c>
      <c r="B49" s="144" t="s">
        <v>241</v>
      </c>
      <c r="C49" s="159" t="s">
        <v>149</v>
      </c>
      <c r="D49" s="159"/>
      <c r="E49" s="143" t="s">
        <v>291</v>
      </c>
      <c r="F49" s="146" t="s">
        <v>310</v>
      </c>
      <c r="G49" s="156">
        <v>0.7</v>
      </c>
      <c r="H49" s="143" t="s">
        <v>377</v>
      </c>
      <c r="I49" s="162"/>
    </row>
    <row r="50" spans="1:11" ht="15" x14ac:dyDescent="0.2">
      <c r="A50" s="143" t="s">
        <v>347</v>
      </c>
      <c r="B50" s="144" t="s">
        <v>241</v>
      </c>
      <c r="C50" s="159" t="s">
        <v>151</v>
      </c>
      <c r="D50" s="159"/>
      <c r="E50" s="143" t="s">
        <v>291</v>
      </c>
      <c r="F50" s="146" t="s">
        <v>310</v>
      </c>
      <c r="G50" s="156">
        <v>0.7</v>
      </c>
      <c r="H50" s="143" t="s">
        <v>377</v>
      </c>
      <c r="I50" s="162"/>
    </row>
    <row r="51" spans="1:11" ht="30" x14ac:dyDescent="0.2">
      <c r="A51" s="143" t="s">
        <v>347</v>
      </c>
      <c r="B51" s="144" t="s">
        <v>241</v>
      </c>
      <c r="C51" s="159" t="s">
        <v>126</v>
      </c>
      <c r="D51" s="159"/>
      <c r="E51" s="143" t="s">
        <v>291</v>
      </c>
      <c r="F51" s="146" t="s">
        <v>310</v>
      </c>
      <c r="G51" s="156">
        <v>0.8</v>
      </c>
      <c r="H51" s="143" t="s">
        <v>377</v>
      </c>
      <c r="I51" s="162"/>
    </row>
    <row r="52" spans="1:11" ht="30" x14ac:dyDescent="0.2">
      <c r="A52" s="143" t="s">
        <v>347</v>
      </c>
      <c r="B52" s="144" t="s">
        <v>249</v>
      </c>
      <c r="C52" s="159" t="s">
        <v>101</v>
      </c>
      <c r="D52" s="159"/>
      <c r="E52" s="143" t="s">
        <v>293</v>
      </c>
      <c r="F52" s="146" t="s">
        <v>310</v>
      </c>
      <c r="G52" s="156">
        <v>0.9</v>
      </c>
      <c r="H52" s="143" t="s">
        <v>377</v>
      </c>
      <c r="I52" s="162"/>
      <c r="K52" s="158" t="s">
        <v>296</v>
      </c>
    </row>
    <row r="53" spans="1:11" ht="30" x14ac:dyDescent="0.2">
      <c r="A53" s="143" t="s">
        <v>347</v>
      </c>
      <c r="B53" s="144" t="s">
        <v>249</v>
      </c>
      <c r="C53" s="159" t="s">
        <v>103</v>
      </c>
      <c r="D53" s="159"/>
      <c r="E53" s="143" t="s">
        <v>293</v>
      </c>
      <c r="F53" s="146" t="s">
        <v>310</v>
      </c>
      <c r="G53" s="156">
        <v>1.1000000000000001</v>
      </c>
      <c r="H53" s="143" t="s">
        <v>377</v>
      </c>
      <c r="I53" s="162"/>
    </row>
    <row r="54" spans="1:11" ht="30" x14ac:dyDescent="0.2">
      <c r="A54" s="143" t="s">
        <v>347</v>
      </c>
      <c r="B54" s="144" t="s">
        <v>249</v>
      </c>
      <c r="C54" s="159" t="s">
        <v>105</v>
      </c>
      <c r="D54" s="159"/>
      <c r="E54" s="143" t="s">
        <v>293</v>
      </c>
      <c r="F54" s="146" t="s">
        <v>310</v>
      </c>
      <c r="G54" s="156">
        <v>1.2</v>
      </c>
      <c r="H54" s="143" t="s">
        <v>377</v>
      </c>
      <c r="I54" s="162"/>
    </row>
    <row r="55" spans="1:11" ht="30" x14ac:dyDescent="0.2">
      <c r="A55" s="143" t="s">
        <v>347</v>
      </c>
      <c r="B55" s="144" t="s">
        <v>249</v>
      </c>
      <c r="C55" s="159" t="s">
        <v>136</v>
      </c>
      <c r="D55" s="159"/>
      <c r="E55" s="143" t="s">
        <v>293</v>
      </c>
      <c r="F55" s="146" t="s">
        <v>310</v>
      </c>
      <c r="G55" s="156">
        <v>0.6</v>
      </c>
      <c r="H55" s="143" t="s">
        <v>377</v>
      </c>
      <c r="I55" s="162"/>
    </row>
    <row r="56" spans="1:11" ht="30" x14ac:dyDescent="0.2">
      <c r="A56" s="143" t="s">
        <v>347</v>
      </c>
      <c r="B56" s="144" t="s">
        <v>249</v>
      </c>
      <c r="C56" s="159" t="s">
        <v>179</v>
      </c>
      <c r="D56" s="159"/>
      <c r="E56" s="143" t="s">
        <v>293</v>
      </c>
      <c r="F56" s="146" t="s">
        <v>310</v>
      </c>
      <c r="G56" s="156">
        <v>1.2</v>
      </c>
      <c r="H56" s="143" t="s">
        <v>377</v>
      </c>
      <c r="I56" s="162"/>
    </row>
    <row r="57" spans="1:11" ht="30" x14ac:dyDescent="0.2">
      <c r="A57" s="143" t="s">
        <v>347</v>
      </c>
      <c r="B57" s="144" t="s">
        <v>249</v>
      </c>
      <c r="C57" s="159" t="s">
        <v>181</v>
      </c>
      <c r="D57" s="159"/>
      <c r="E57" s="143" t="s">
        <v>293</v>
      </c>
      <c r="F57" s="146" t="s">
        <v>310</v>
      </c>
      <c r="G57" s="156">
        <v>1.5</v>
      </c>
      <c r="H57" s="143" t="s">
        <v>377</v>
      </c>
      <c r="I57" s="162"/>
    </row>
    <row r="58" spans="1:11" ht="30" x14ac:dyDescent="0.2">
      <c r="A58" s="143" t="s">
        <v>347</v>
      </c>
      <c r="B58" s="144" t="s">
        <v>249</v>
      </c>
      <c r="C58" s="159" t="s">
        <v>107</v>
      </c>
      <c r="D58" s="159"/>
      <c r="E58" s="143" t="s">
        <v>293</v>
      </c>
      <c r="F58" s="146" t="s">
        <v>310</v>
      </c>
      <c r="G58" s="156">
        <v>0.6</v>
      </c>
      <c r="H58" s="143" t="s">
        <v>377</v>
      </c>
      <c r="I58" s="162"/>
    </row>
    <row r="59" spans="1:11" ht="30" x14ac:dyDescent="0.2">
      <c r="A59" s="143" t="s">
        <v>347</v>
      </c>
      <c r="B59" s="144" t="s">
        <v>249</v>
      </c>
      <c r="C59" s="159" t="s">
        <v>140</v>
      </c>
      <c r="D59" s="159"/>
      <c r="E59" s="143" t="s">
        <v>293</v>
      </c>
      <c r="F59" s="146" t="s">
        <v>310</v>
      </c>
      <c r="G59" s="156">
        <v>0.6</v>
      </c>
      <c r="H59" s="143" t="s">
        <v>377</v>
      </c>
      <c r="I59" s="162"/>
    </row>
    <row r="60" spans="1:11" ht="30" x14ac:dyDescent="0.2">
      <c r="A60" s="143" t="s">
        <v>347</v>
      </c>
      <c r="B60" s="144" t="s">
        <v>249</v>
      </c>
      <c r="C60" s="159" t="s">
        <v>184</v>
      </c>
      <c r="D60" s="159"/>
      <c r="E60" s="143" t="s">
        <v>293</v>
      </c>
      <c r="F60" s="146" t="s">
        <v>310</v>
      </c>
      <c r="G60" s="156">
        <v>0.9</v>
      </c>
      <c r="H60" s="143" t="s">
        <v>377</v>
      </c>
      <c r="I60" s="162"/>
    </row>
    <row r="61" spans="1:11" ht="30" x14ac:dyDescent="0.2">
      <c r="A61" s="143" t="s">
        <v>347</v>
      </c>
      <c r="B61" s="144" t="s">
        <v>249</v>
      </c>
      <c r="C61" s="159" t="s">
        <v>126</v>
      </c>
      <c r="D61" s="159"/>
      <c r="E61" s="143" t="s">
        <v>293</v>
      </c>
      <c r="F61" s="146" t="s">
        <v>310</v>
      </c>
      <c r="G61" s="156">
        <v>0.9</v>
      </c>
      <c r="H61" s="143" t="s">
        <v>377</v>
      </c>
      <c r="I61" s="162"/>
    </row>
    <row r="62" spans="1:11" ht="45" x14ac:dyDescent="0.2">
      <c r="A62" s="143" t="s">
        <v>347</v>
      </c>
      <c r="B62" s="144" t="s">
        <v>260</v>
      </c>
      <c r="C62" s="159" t="s">
        <v>101</v>
      </c>
      <c r="D62" s="159"/>
      <c r="E62" s="143" t="s">
        <v>295</v>
      </c>
      <c r="F62" s="146" t="s">
        <v>310</v>
      </c>
      <c r="G62" s="156">
        <v>0.7</v>
      </c>
      <c r="H62" s="143" t="s">
        <v>377</v>
      </c>
      <c r="I62" s="162"/>
      <c r="K62" s="158" t="s">
        <v>294</v>
      </c>
    </row>
    <row r="63" spans="1:11" ht="15" x14ac:dyDescent="0.2">
      <c r="A63" s="143" t="s">
        <v>347</v>
      </c>
      <c r="B63" s="144" t="s">
        <v>260</v>
      </c>
      <c r="C63" s="159" t="s">
        <v>103</v>
      </c>
      <c r="D63" s="159"/>
      <c r="E63" s="143" t="s">
        <v>295</v>
      </c>
      <c r="F63" s="146" t="s">
        <v>310</v>
      </c>
      <c r="G63" s="156">
        <v>1.1000000000000001</v>
      </c>
      <c r="H63" s="143" t="s">
        <v>377</v>
      </c>
      <c r="I63" s="162"/>
    </row>
    <row r="64" spans="1:11" ht="15" x14ac:dyDescent="0.2">
      <c r="A64" s="143" t="s">
        <v>347</v>
      </c>
      <c r="B64" s="144" t="s">
        <v>260</v>
      </c>
      <c r="C64" s="159" t="s">
        <v>105</v>
      </c>
      <c r="D64" s="159"/>
      <c r="E64" s="143" t="s">
        <v>295</v>
      </c>
      <c r="F64" s="146" t="s">
        <v>310</v>
      </c>
      <c r="G64" s="156">
        <v>1.1000000000000001</v>
      </c>
      <c r="H64" s="143" t="s">
        <v>377</v>
      </c>
      <c r="I64" s="162"/>
    </row>
    <row r="65" spans="1:11" ht="15" x14ac:dyDescent="0.2">
      <c r="A65" s="143" t="s">
        <v>347</v>
      </c>
      <c r="B65" s="144" t="s">
        <v>260</v>
      </c>
      <c r="C65" s="159" t="s">
        <v>179</v>
      </c>
      <c r="D65" s="159"/>
      <c r="E65" s="143" t="s">
        <v>295</v>
      </c>
      <c r="F65" s="146" t="s">
        <v>310</v>
      </c>
      <c r="G65" s="156">
        <v>1.2</v>
      </c>
      <c r="H65" s="143" t="s">
        <v>377</v>
      </c>
      <c r="I65" s="162"/>
    </row>
    <row r="66" spans="1:11" ht="15" x14ac:dyDescent="0.2">
      <c r="A66" s="143" t="s">
        <v>347</v>
      </c>
      <c r="B66" s="144" t="s">
        <v>260</v>
      </c>
      <c r="C66" s="159" t="s">
        <v>187</v>
      </c>
      <c r="D66" s="159"/>
      <c r="E66" s="143" t="s">
        <v>295</v>
      </c>
      <c r="F66" s="146" t="s">
        <v>310</v>
      </c>
      <c r="G66" s="156">
        <v>1.3</v>
      </c>
      <c r="H66" s="143" t="s">
        <v>377</v>
      </c>
      <c r="I66" s="162"/>
    </row>
    <row r="67" spans="1:11" ht="30" x14ac:dyDescent="0.2">
      <c r="A67" s="143" t="s">
        <v>347</v>
      </c>
      <c r="B67" s="144" t="s">
        <v>260</v>
      </c>
      <c r="C67" s="159" t="s">
        <v>189</v>
      </c>
      <c r="D67" s="159"/>
      <c r="E67" s="143" t="s">
        <v>295</v>
      </c>
      <c r="F67" s="146" t="s">
        <v>310</v>
      </c>
      <c r="G67" s="156">
        <v>0.7</v>
      </c>
      <c r="H67" s="143" t="s">
        <v>377</v>
      </c>
      <c r="I67" s="162"/>
    </row>
    <row r="68" spans="1:11" ht="30" x14ac:dyDescent="0.2">
      <c r="A68" s="143" t="s">
        <v>347</v>
      </c>
      <c r="B68" s="144" t="s">
        <v>260</v>
      </c>
      <c r="C68" s="159" t="s">
        <v>126</v>
      </c>
      <c r="D68" s="159"/>
      <c r="E68" s="143" t="s">
        <v>295</v>
      </c>
      <c r="F68" s="146" t="s">
        <v>310</v>
      </c>
      <c r="G68" s="156">
        <v>0.9</v>
      </c>
      <c r="H68" s="143" t="s">
        <v>377</v>
      </c>
      <c r="I68" s="162"/>
    </row>
    <row r="69" spans="1:11" ht="30" x14ac:dyDescent="0.2">
      <c r="A69" s="143" t="s">
        <v>347</v>
      </c>
      <c r="B69" s="158" t="s">
        <v>255</v>
      </c>
      <c r="C69" s="145" t="s">
        <v>196</v>
      </c>
      <c r="D69" s="145"/>
      <c r="E69" s="143" t="s">
        <v>297</v>
      </c>
      <c r="F69" s="146" t="s">
        <v>310</v>
      </c>
      <c r="G69" s="156">
        <v>2</v>
      </c>
      <c r="H69" s="160" t="s">
        <v>399</v>
      </c>
      <c r="I69" s="166"/>
      <c r="K69" s="158"/>
    </row>
    <row r="70" spans="1:11" ht="15" x14ac:dyDescent="0.2">
      <c r="A70" s="143" t="s">
        <v>347</v>
      </c>
      <c r="B70" s="158" t="s">
        <v>255</v>
      </c>
      <c r="C70" s="145" t="s">
        <v>200</v>
      </c>
      <c r="D70" s="145"/>
      <c r="E70" s="143" t="s">
        <v>297</v>
      </c>
      <c r="F70" s="146" t="s">
        <v>310</v>
      </c>
      <c r="G70" s="156">
        <v>3.8</v>
      </c>
      <c r="H70" s="162" t="s">
        <v>377</v>
      </c>
      <c r="I70" s="166"/>
    </row>
    <row r="71" spans="1:11" ht="30" x14ac:dyDescent="0.2">
      <c r="A71" s="143" t="s">
        <v>347</v>
      </c>
      <c r="B71" s="158" t="s">
        <v>255</v>
      </c>
      <c r="C71" s="145" t="s">
        <v>202</v>
      </c>
      <c r="D71" s="145"/>
      <c r="E71" s="143" t="s">
        <v>297</v>
      </c>
      <c r="F71" s="146" t="s">
        <v>310</v>
      </c>
      <c r="G71" s="156">
        <v>0.8</v>
      </c>
      <c r="H71" s="162" t="s">
        <v>377</v>
      </c>
      <c r="I71" s="166"/>
    </row>
    <row r="72" spans="1:11" ht="15" x14ac:dyDescent="0.2">
      <c r="A72" s="143" t="s">
        <v>347</v>
      </c>
      <c r="B72" s="158" t="s">
        <v>255</v>
      </c>
      <c r="C72" s="145" t="s">
        <v>203</v>
      </c>
      <c r="D72" s="145"/>
      <c r="E72" s="143" t="s">
        <v>297</v>
      </c>
      <c r="F72" s="146" t="s">
        <v>310</v>
      </c>
      <c r="G72" s="156">
        <v>4.4000000000000004</v>
      </c>
      <c r="H72" s="162" t="s">
        <v>377</v>
      </c>
      <c r="I72" s="166"/>
    </row>
    <row r="73" spans="1:11" ht="15" x14ac:dyDescent="0.2">
      <c r="A73" s="143" t="s">
        <v>347</v>
      </c>
      <c r="B73" s="158" t="s">
        <v>255</v>
      </c>
      <c r="C73" s="145" t="s">
        <v>204</v>
      </c>
      <c r="D73" s="145"/>
      <c r="E73" s="143" t="s">
        <v>297</v>
      </c>
      <c r="F73" s="146" t="s">
        <v>310</v>
      </c>
      <c r="G73" s="156">
        <v>0.8</v>
      </c>
      <c r="H73" s="162" t="s">
        <v>377</v>
      </c>
      <c r="I73" s="166"/>
    </row>
    <row r="74" spans="1:11" s="162" customFormat="1" ht="15" x14ac:dyDescent="0.2">
      <c r="A74" s="162" t="s">
        <v>347</v>
      </c>
      <c r="C74" s="163" t="s">
        <v>103</v>
      </c>
      <c r="E74" s="162" t="s">
        <v>400</v>
      </c>
      <c r="F74" s="164" t="s">
        <v>310</v>
      </c>
      <c r="G74" s="165">
        <v>0.70000000000000007</v>
      </c>
      <c r="H74" s="162" t="s">
        <v>377</v>
      </c>
      <c r="I74" s="166"/>
    </row>
    <row r="75" spans="1:11" s="162" customFormat="1" ht="30" x14ac:dyDescent="0.2">
      <c r="A75" s="162" t="s">
        <v>347</v>
      </c>
      <c r="C75" s="163" t="s">
        <v>125</v>
      </c>
      <c r="E75" s="162" t="s">
        <v>400</v>
      </c>
      <c r="F75" s="164" t="s">
        <v>310</v>
      </c>
      <c r="G75" s="165">
        <v>0.8</v>
      </c>
      <c r="H75" s="162" t="s">
        <v>377</v>
      </c>
      <c r="I75" s="166"/>
    </row>
    <row r="76" spans="1:11" s="162" customFormat="1" ht="15" x14ac:dyDescent="0.2">
      <c r="A76" s="162" t="s">
        <v>347</v>
      </c>
      <c r="C76" s="163" t="s">
        <v>127</v>
      </c>
      <c r="E76" s="162" t="s">
        <v>400</v>
      </c>
      <c r="F76" s="164" t="s">
        <v>310</v>
      </c>
      <c r="G76" s="165">
        <v>0.5</v>
      </c>
      <c r="H76" s="162" t="s">
        <v>377</v>
      </c>
      <c r="I76" s="166"/>
    </row>
    <row r="77" spans="1:11" s="162" customFormat="1" ht="15" x14ac:dyDescent="0.2">
      <c r="A77" s="162" t="s">
        <v>347</v>
      </c>
      <c r="C77" s="163" t="s">
        <v>156</v>
      </c>
      <c r="E77" s="162" t="s">
        <v>400</v>
      </c>
      <c r="F77" s="164" t="s">
        <v>310</v>
      </c>
      <c r="G77" s="165">
        <v>2.3000000000000003</v>
      </c>
      <c r="H77" s="162" t="s">
        <v>377</v>
      </c>
      <c r="I77" s="166"/>
    </row>
    <row r="78" spans="1:11" s="162" customFormat="1" ht="15" x14ac:dyDescent="0.2">
      <c r="A78" s="162" t="s">
        <v>347</v>
      </c>
      <c r="C78" s="163" t="s">
        <v>158</v>
      </c>
      <c r="E78" s="162" t="s">
        <v>400</v>
      </c>
      <c r="F78" s="164" t="s">
        <v>310</v>
      </c>
      <c r="G78" s="165">
        <v>1</v>
      </c>
      <c r="H78" s="162" t="s">
        <v>377</v>
      </c>
      <c r="I78" s="166"/>
    </row>
    <row r="79" spans="1:11" s="162" customFormat="1" ht="30" x14ac:dyDescent="0.2">
      <c r="A79" s="162" t="s">
        <v>347</v>
      </c>
      <c r="C79" s="163" t="s">
        <v>128</v>
      </c>
      <c r="E79" s="162" t="s">
        <v>400</v>
      </c>
      <c r="F79" s="164" t="s">
        <v>310</v>
      </c>
      <c r="G79" s="165">
        <v>1.7000000000000002</v>
      </c>
      <c r="H79" s="162" t="s">
        <v>377</v>
      </c>
      <c r="I79" s="166"/>
    </row>
    <row r="80" spans="1:11" s="162" customFormat="1" ht="30" x14ac:dyDescent="0.2">
      <c r="A80" s="162" t="s">
        <v>347</v>
      </c>
      <c r="C80" s="163" t="s">
        <v>161</v>
      </c>
      <c r="E80" s="162" t="s">
        <v>400</v>
      </c>
      <c r="F80" s="164" t="s">
        <v>310</v>
      </c>
      <c r="G80" s="165">
        <v>1</v>
      </c>
      <c r="H80" s="162" t="s">
        <v>377</v>
      </c>
      <c r="I80" s="166"/>
    </row>
    <row r="81" spans="1:12" s="162" customFormat="1" ht="15" x14ac:dyDescent="0.2">
      <c r="A81" s="162" t="s">
        <v>347</v>
      </c>
      <c r="C81" s="163" t="s">
        <v>162</v>
      </c>
      <c r="E81" s="162" t="s">
        <v>400</v>
      </c>
      <c r="F81" s="164" t="s">
        <v>310</v>
      </c>
      <c r="G81" s="165">
        <v>6</v>
      </c>
      <c r="H81" s="162" t="s">
        <v>377</v>
      </c>
      <c r="I81" s="166"/>
    </row>
    <row r="82" spans="1:12" s="162" customFormat="1" ht="15" x14ac:dyDescent="0.2">
      <c r="A82" s="162" t="s">
        <v>347</v>
      </c>
      <c r="C82" s="163" t="s">
        <v>164</v>
      </c>
      <c r="E82" s="162" t="s">
        <v>400</v>
      </c>
      <c r="F82" s="164" t="s">
        <v>310</v>
      </c>
      <c r="G82" s="165">
        <v>1.5</v>
      </c>
      <c r="H82" s="162" t="s">
        <v>377</v>
      </c>
      <c r="I82" s="166"/>
    </row>
    <row r="83" spans="1:12" s="162" customFormat="1" ht="15" x14ac:dyDescent="0.2">
      <c r="A83" s="162" t="s">
        <v>347</v>
      </c>
      <c r="C83" s="163" t="s">
        <v>166</v>
      </c>
      <c r="E83" s="162" t="s">
        <v>400</v>
      </c>
      <c r="F83" s="164" t="s">
        <v>310</v>
      </c>
      <c r="G83" s="165">
        <v>0.8</v>
      </c>
      <c r="H83" s="162" t="s">
        <v>377</v>
      </c>
      <c r="I83" s="166"/>
    </row>
    <row r="84" spans="1:12" s="162" customFormat="1" ht="15" x14ac:dyDescent="0.2">
      <c r="A84" s="162" t="s">
        <v>347</v>
      </c>
      <c r="C84" s="163" t="s">
        <v>178</v>
      </c>
      <c r="E84" s="162" t="s">
        <v>400</v>
      </c>
      <c r="F84" s="164" t="s">
        <v>310</v>
      </c>
      <c r="G84" s="165">
        <v>1</v>
      </c>
      <c r="H84" s="162" t="s">
        <v>377</v>
      </c>
      <c r="I84" s="166"/>
    </row>
    <row r="85" spans="1:12" s="162" customFormat="1" ht="15" x14ac:dyDescent="0.2">
      <c r="A85" s="162" t="s">
        <v>347</v>
      </c>
      <c r="C85" s="163" t="s">
        <v>180</v>
      </c>
      <c r="E85" s="162" t="s">
        <v>400</v>
      </c>
      <c r="F85" s="164" t="s">
        <v>310</v>
      </c>
      <c r="G85" s="165">
        <v>0.4</v>
      </c>
      <c r="H85" s="162" t="s">
        <v>377</v>
      </c>
      <c r="I85" s="166"/>
    </row>
    <row r="86" spans="1:12" s="162" customFormat="1" ht="30" x14ac:dyDescent="0.2">
      <c r="A86" s="162" t="s">
        <v>347</v>
      </c>
      <c r="C86" s="163" t="s">
        <v>126</v>
      </c>
      <c r="E86" s="162" t="s">
        <v>400</v>
      </c>
      <c r="F86" s="164" t="s">
        <v>310</v>
      </c>
      <c r="G86" s="165">
        <v>0.4</v>
      </c>
      <c r="H86" s="162" t="s">
        <v>377</v>
      </c>
      <c r="I86" s="166"/>
    </row>
    <row r="87" spans="1:12" s="162" customFormat="1" ht="15" x14ac:dyDescent="0.2">
      <c r="A87" s="162" t="s">
        <v>347</v>
      </c>
      <c r="C87" s="163" t="s">
        <v>103</v>
      </c>
      <c r="E87" s="162" t="s">
        <v>311</v>
      </c>
      <c r="F87" s="164" t="s">
        <v>310</v>
      </c>
      <c r="G87" s="165">
        <v>0.4</v>
      </c>
      <c r="H87" s="162" t="s">
        <v>377</v>
      </c>
      <c r="I87" s="166"/>
    </row>
    <row r="88" spans="1:12" s="162" customFormat="1" ht="15" x14ac:dyDescent="0.2">
      <c r="A88" s="162" t="s">
        <v>347</v>
      </c>
      <c r="C88" s="163" t="s">
        <v>157</v>
      </c>
      <c r="E88" s="162" t="s">
        <v>311</v>
      </c>
      <c r="F88" s="164" t="s">
        <v>310</v>
      </c>
      <c r="G88" s="165">
        <v>3.9000000000000004</v>
      </c>
      <c r="H88" s="162" t="s">
        <v>377</v>
      </c>
      <c r="I88" s="166"/>
    </row>
    <row r="89" spans="1:12" s="162" customFormat="1" ht="30" x14ac:dyDescent="0.2">
      <c r="A89" s="162" t="s">
        <v>347</v>
      </c>
      <c r="C89" s="163" t="s">
        <v>126</v>
      </c>
      <c r="E89" s="162" t="s">
        <v>311</v>
      </c>
      <c r="F89" s="164" t="s">
        <v>310</v>
      </c>
      <c r="G89" s="165">
        <v>0.30000000000000004</v>
      </c>
      <c r="H89" s="162" t="s">
        <v>377</v>
      </c>
      <c r="I89" s="166"/>
    </row>
    <row r="90" spans="1:12" ht="32" x14ac:dyDescent="0.2">
      <c r="A90" s="153" t="s">
        <v>401</v>
      </c>
      <c r="B90" s="145" t="s">
        <v>451</v>
      </c>
      <c r="C90" s="145" t="s">
        <v>452</v>
      </c>
      <c r="D90" s="145" t="s">
        <v>457</v>
      </c>
      <c r="E90" s="145"/>
      <c r="F90" s="146" t="s">
        <v>310</v>
      </c>
      <c r="G90" s="142" t="s">
        <v>197</v>
      </c>
      <c r="H90" s="145" t="s">
        <v>463</v>
      </c>
      <c r="I90" s="187" t="s">
        <v>470</v>
      </c>
      <c r="J90" s="145"/>
      <c r="K90" s="145"/>
      <c r="L90" s="145"/>
    </row>
    <row r="91" spans="1:12" ht="32" x14ac:dyDescent="0.2">
      <c r="A91" s="153" t="s">
        <v>401</v>
      </c>
      <c r="B91" s="145" t="s">
        <v>451</v>
      </c>
      <c r="C91" s="145" t="s">
        <v>453</v>
      </c>
      <c r="D91" s="145" t="s">
        <v>458</v>
      </c>
      <c r="E91" s="145"/>
      <c r="F91" s="146" t="s">
        <v>310</v>
      </c>
      <c r="G91" s="142" t="s">
        <v>197</v>
      </c>
      <c r="H91" s="145" t="s">
        <v>464</v>
      </c>
      <c r="I91" s="187" t="s">
        <v>470</v>
      </c>
      <c r="J91" s="145"/>
      <c r="K91" s="145"/>
      <c r="L91" s="145"/>
    </row>
    <row r="92" spans="1:12" ht="105" x14ac:dyDescent="0.2">
      <c r="A92" s="153" t="s">
        <v>401</v>
      </c>
      <c r="B92" s="145" t="s">
        <v>451</v>
      </c>
      <c r="C92" s="145" t="s">
        <v>454</v>
      </c>
      <c r="D92" s="145" t="s">
        <v>459</v>
      </c>
      <c r="E92" s="145"/>
      <c r="F92" s="146" t="s">
        <v>310</v>
      </c>
      <c r="G92" s="142" t="s">
        <v>197</v>
      </c>
      <c r="H92" s="145" t="s">
        <v>465</v>
      </c>
      <c r="I92" s="145" t="s">
        <v>471</v>
      </c>
      <c r="J92" s="145"/>
      <c r="K92" s="145"/>
      <c r="L92" s="145"/>
    </row>
    <row r="93" spans="1:12" ht="105" x14ac:dyDescent="0.2">
      <c r="A93" s="153" t="s">
        <v>401</v>
      </c>
      <c r="B93" s="145" t="s">
        <v>451</v>
      </c>
      <c r="C93" s="145" t="s">
        <v>455</v>
      </c>
      <c r="D93" s="145" t="s">
        <v>460</v>
      </c>
      <c r="E93" s="145"/>
      <c r="F93" s="146" t="s">
        <v>310</v>
      </c>
      <c r="G93" s="142" t="s">
        <v>197</v>
      </c>
      <c r="H93" s="145" t="s">
        <v>466</v>
      </c>
      <c r="I93" s="145" t="s">
        <v>471</v>
      </c>
      <c r="J93" s="145"/>
      <c r="K93" s="145"/>
      <c r="L93" s="145"/>
    </row>
    <row r="94" spans="1:12" ht="105" x14ac:dyDescent="0.2">
      <c r="A94" s="153" t="s">
        <v>401</v>
      </c>
      <c r="B94" s="145" t="s">
        <v>451</v>
      </c>
      <c r="C94" s="145" t="s">
        <v>456</v>
      </c>
      <c r="D94" s="145" t="s">
        <v>461</v>
      </c>
      <c r="E94" s="145"/>
      <c r="F94" s="146" t="s">
        <v>310</v>
      </c>
      <c r="G94" s="142" t="s">
        <v>197</v>
      </c>
      <c r="H94" s="145" t="s">
        <v>467</v>
      </c>
      <c r="I94" s="145" t="s">
        <v>471</v>
      </c>
      <c r="J94" s="145"/>
      <c r="K94" s="145"/>
      <c r="L94" s="145"/>
    </row>
    <row r="95" spans="1:12" ht="32" x14ac:dyDescent="0.2">
      <c r="A95" s="153" t="s">
        <v>401</v>
      </c>
      <c r="B95" s="145" t="s">
        <v>451</v>
      </c>
      <c r="C95" s="145" t="s">
        <v>450</v>
      </c>
      <c r="D95" s="145" t="s">
        <v>462</v>
      </c>
      <c r="E95" s="145"/>
      <c r="F95" s="146" t="s">
        <v>310</v>
      </c>
      <c r="G95" s="142" t="s">
        <v>197</v>
      </c>
      <c r="H95" s="145" t="s">
        <v>468</v>
      </c>
      <c r="I95" s="187" t="s">
        <v>470</v>
      </c>
      <c r="J95" s="145"/>
      <c r="K95" s="145"/>
      <c r="L95" s="145"/>
    </row>
    <row r="96" spans="1:12" ht="30" x14ac:dyDescent="0.2">
      <c r="A96" s="143" t="s">
        <v>401</v>
      </c>
      <c r="B96" s="162"/>
      <c r="C96" s="145" t="s">
        <v>410</v>
      </c>
      <c r="D96" s="145" t="s">
        <v>410</v>
      </c>
      <c r="F96" s="143" t="s">
        <v>310</v>
      </c>
      <c r="G96" s="142" t="s">
        <v>197</v>
      </c>
      <c r="H96" s="162" t="s">
        <v>175</v>
      </c>
      <c r="I96" s="144" t="s">
        <v>411</v>
      </c>
    </row>
  </sheetData>
  <autoFilter ref="A1:K73" xr:uid="{00000000-0009-0000-0000-00000C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IND</vt:lpstr>
      <vt:lpstr>OUT 214 И. внеш</vt:lpstr>
      <vt:lpstr>OUT 21520 Пилот</vt:lpstr>
      <vt:lpstr>OUT 216 ЮО</vt:lpstr>
      <vt:lpstr>OUT 2172030 ТР</vt:lpstr>
      <vt:lpstr>OUT 218 БТ внеш</vt:lpstr>
      <vt:lpstr>OUT 219 ТИС</vt:lpstr>
      <vt:lpstr>INN 210 И. внут</vt:lpstr>
      <vt:lpstr>INN 211 БТ внут</vt:lpstr>
      <vt:lpstr>INN 212 Загрузка</vt:lpstr>
      <vt:lpstr>Параметры</vt:lpstr>
      <vt:lpstr>СА Параметры</vt:lpstr>
      <vt:lpstr>СА Работы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Бобокалонов Артем Владимирович</dc:creator>
  <cp:lastModifiedBy>Microsoft Office User</cp:lastModifiedBy>
  <dcterms:created xsi:type="dcterms:W3CDTF">2026-05-27T15:12:53Z</dcterms:created>
  <dcterms:modified xsi:type="dcterms:W3CDTF">2026-06-02T08:37:07Z</dcterms:modified>
</cp:coreProperties>
</file>