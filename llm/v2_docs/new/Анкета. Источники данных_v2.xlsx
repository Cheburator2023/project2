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Bobokalonov\Desktop\СУМ\Смарт анкета\"/>
    </mc:Choice>
  </mc:AlternateContent>
  <xr:revisionPtr revIDLastSave="0" documentId="13_ncr:1_{A993E958-63DD-42EA-BB42-0A1A65D17B1C}" xr6:coauthVersionLast="36" xr6:coauthVersionMax="36" xr10:uidLastSave="{00000000-0000-0000-0000-000000000000}"/>
  <bookViews>
    <workbookView xWindow="0" yWindow="0" windowWidth="38400" windowHeight="17892" activeTab="11" xr2:uid="{00000000-000D-0000-FFFF-FFFF00000000}"/>
  </bookViews>
  <sheets>
    <sheet name="IND" sheetId="13" r:id="rId1"/>
    <sheet name="OUT 214 И. внеш" sheetId="1" r:id="rId2"/>
    <sheet name="OUT 21520 Пилот" sheetId="2" r:id="rId3"/>
    <sheet name="OUT 216 ЮО" sheetId="3" r:id="rId4"/>
    <sheet name="OUT 2172030 ТР" sheetId="4" r:id="rId5"/>
    <sheet name="OUT 218 БТ внеш" sheetId="5" r:id="rId6"/>
    <sheet name="OUT 219 ТИС" sheetId="6" r:id="rId7"/>
    <sheet name="INN 210 И. внут" sheetId="7" state="hidden" r:id="rId8"/>
    <sheet name="INN 211 БТ внут" sheetId="8" state="hidden" r:id="rId9"/>
    <sheet name="INN 212 Загрузка" sheetId="9" state="hidden" r:id="rId10"/>
    <sheet name="Параметры" sheetId="10" r:id="rId11"/>
    <sheet name="SA 2.0" sheetId="12" r:id="rId12"/>
    <sheet name="SA Вопросы общ" sheetId="14" r:id="rId13"/>
  </sheets>
  <definedNames>
    <definedName name="_xlnm._FilterDatabase" localSheetId="11" hidden="1">'SA 2.0'!$A$1:$K$85</definedName>
  </definedNames>
  <calcPr calcId="191029"/>
</workbook>
</file>

<file path=xl/calcChain.xml><?xml version="1.0" encoding="utf-8"?>
<calcChain xmlns="http://schemas.openxmlformats.org/spreadsheetml/2006/main">
  <c r="C20" i="4" l="1"/>
  <c r="C15" i="3"/>
  <c r="C18" i="2"/>
  <c r="C13" i="1"/>
  <c r="C11" i="5"/>
  <c r="E5" i="1" l="1"/>
  <c r="E4" i="1" l="1"/>
  <c r="G87" i="13" l="1"/>
  <c r="G82" i="13"/>
  <c r="G71" i="13"/>
  <c r="G70" i="13"/>
  <c r="G69" i="13"/>
  <c r="G68" i="13"/>
  <c r="G62" i="13"/>
  <c r="G61" i="13"/>
  <c r="G60" i="13"/>
  <c r="G59" i="13"/>
  <c r="G51" i="13"/>
  <c r="G37" i="13" s="1"/>
  <c r="G35" i="13"/>
  <c r="G30" i="13"/>
  <c r="G29" i="13"/>
  <c r="G31" i="13" s="1"/>
  <c r="G21" i="13"/>
  <c r="G64" i="13" l="1"/>
  <c r="G72" i="13"/>
  <c r="G91" i="13" s="1"/>
  <c r="G36" i="13"/>
  <c r="G8" i="13"/>
  <c r="G7" i="13"/>
  <c r="G6" i="13"/>
  <c r="G38" i="13"/>
  <c r="G9" i="13"/>
  <c r="G10" i="13" l="1"/>
  <c r="E3" i="1"/>
  <c r="E6" i="1"/>
  <c r="B2" i="10"/>
  <c r="E8" i="3" l="1"/>
  <c r="E3" i="9" l="1"/>
  <c r="C9" i="9" s="1"/>
  <c r="E9" i="8"/>
  <c r="E8" i="8"/>
  <c r="E7" i="8"/>
  <c r="E6" i="8"/>
  <c r="E5" i="8"/>
  <c r="E4" i="8"/>
  <c r="E3" i="8"/>
  <c r="C16" i="8" s="1"/>
  <c r="E8" i="7"/>
  <c r="E7" i="7"/>
  <c r="E6" i="7"/>
  <c r="E5" i="7"/>
  <c r="E4" i="7"/>
  <c r="C19" i="7" s="1"/>
  <c r="E3" i="7"/>
  <c r="E5" i="6"/>
  <c r="E4" i="6"/>
  <c r="E3" i="6"/>
  <c r="C7" i="6" s="1"/>
  <c r="E9" i="5"/>
  <c r="E8" i="5"/>
  <c r="E7" i="5"/>
  <c r="E6" i="5"/>
  <c r="E5" i="5"/>
  <c r="E4" i="5"/>
  <c r="E3" i="5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13" i="3"/>
  <c r="E12" i="3"/>
  <c r="E11" i="3"/>
  <c r="E10" i="3"/>
  <c r="E9" i="3"/>
  <c r="E7" i="3"/>
  <c r="E6" i="3"/>
  <c r="E5" i="3"/>
  <c r="E4" i="3"/>
  <c r="E3" i="3"/>
  <c r="E14" i="2"/>
  <c r="E13" i="2"/>
  <c r="E12" i="2"/>
  <c r="E11" i="2"/>
  <c r="E10" i="2"/>
  <c r="E9" i="2"/>
  <c r="E8" i="2"/>
  <c r="E7" i="2"/>
  <c r="E6" i="2"/>
  <c r="E5" i="2"/>
  <c r="E4" i="2"/>
  <c r="E3" i="2"/>
  <c r="E11" i="1"/>
  <c r="E10" i="1"/>
  <c r="E9" i="1"/>
  <c r="C20" i="1" s="1"/>
  <c r="E8" i="1"/>
  <c r="E7" i="1"/>
  <c r="C35" i="2" l="1"/>
  <c r="C36" i="2"/>
  <c r="C31" i="2"/>
  <c r="C13" i="5"/>
  <c r="C11" i="8"/>
  <c r="C14" i="1"/>
  <c r="C15" i="1"/>
  <c r="C17" i="8"/>
  <c r="C16" i="1"/>
  <c r="C25" i="2"/>
  <c r="C23" i="4"/>
  <c r="C29" i="4"/>
  <c r="C28" i="4"/>
  <c r="C27" i="4"/>
  <c r="C26" i="4"/>
  <c r="C25" i="4"/>
  <c r="C24" i="4"/>
  <c r="C21" i="4"/>
  <c r="C11" i="7"/>
  <c r="C19" i="8"/>
  <c r="C27" i="2"/>
  <c r="C19" i="1"/>
  <c r="C18" i="1"/>
  <c r="C17" i="1"/>
  <c r="C21" i="2"/>
  <c r="C23" i="2"/>
  <c r="C24" i="2"/>
  <c r="C33" i="4"/>
  <c r="C22" i="4"/>
  <c r="C12" i="5"/>
  <c r="C17" i="5"/>
  <c r="C16" i="5"/>
  <c r="C15" i="5"/>
  <c r="C14" i="5"/>
  <c r="C6" i="9"/>
  <c r="C38" i="4"/>
  <c r="C36" i="4"/>
  <c r="C45" i="4"/>
  <c r="C44" i="4"/>
  <c r="C43" i="4"/>
  <c r="C42" i="4"/>
  <c r="C41" i="4"/>
  <c r="C40" i="4"/>
  <c r="F34" i="4"/>
  <c r="C34" i="4" s="1"/>
  <c r="C39" i="4"/>
  <c r="F35" i="4"/>
  <c r="C35" i="4" s="1"/>
  <c r="C37" i="4"/>
  <c r="C11" i="6"/>
  <c r="C10" i="6"/>
  <c r="C22" i="2"/>
  <c r="C50" i="4"/>
  <c r="C23" i="3"/>
  <c r="C19" i="2"/>
  <c r="C20" i="2"/>
  <c r="C26" i="2"/>
  <c r="C32" i="2"/>
  <c r="C34" i="2"/>
  <c r="C33" i="2"/>
  <c r="C19" i="3"/>
  <c r="C22" i="3"/>
  <c r="C21" i="3"/>
  <c r="C24" i="3"/>
  <c r="C16" i="3"/>
  <c r="C18" i="8"/>
  <c r="C5" i="9"/>
  <c r="C10" i="9" s="1"/>
  <c r="C11" i="9" s="1"/>
  <c r="C12" i="7"/>
  <c r="C49" i="4"/>
  <c r="C13" i="7"/>
  <c r="C17" i="3"/>
  <c r="C8" i="6"/>
  <c r="C14" i="7"/>
  <c r="C12" i="8"/>
  <c r="C20" i="8"/>
  <c r="C7" i="9"/>
  <c r="C18" i="3"/>
  <c r="C51" i="4"/>
  <c r="C9" i="6"/>
  <c r="C15" i="7"/>
  <c r="C13" i="8"/>
  <c r="C21" i="8"/>
  <c r="C8" i="9"/>
  <c r="C14" i="8"/>
  <c r="C22" i="8"/>
  <c r="C16" i="7"/>
  <c r="C20" i="3"/>
  <c r="C17" i="7"/>
  <c r="C15" i="8"/>
  <c r="C10" i="7"/>
  <c r="C18" i="7"/>
  <c r="C23" i="8" l="1"/>
  <c r="C24" i="8" s="1"/>
  <c r="C28" i="2"/>
  <c r="C29" i="2" s="1"/>
  <c r="C30" i="4"/>
  <c r="C31" i="4" s="1"/>
  <c r="C18" i="5"/>
  <c r="C19" i="5" s="1"/>
  <c r="C37" i="2"/>
  <c r="C38" i="2" s="1"/>
  <c r="C21" i="1"/>
  <c r="C22" i="1" s="1"/>
  <c r="C12" i="6"/>
  <c r="C13" i="6" s="1"/>
  <c r="C20" i="7"/>
  <c r="C21" i="7" s="1"/>
  <c r="C52" i="4"/>
  <c r="C53" i="4" s="1"/>
  <c r="C46" i="4"/>
  <c r="C47" i="4" s="1"/>
  <c r="C25" i="3"/>
  <c r="C26" i="3" s="1"/>
  <c r="C15" i="2" l="1"/>
  <c r="C16" i="2" s="1"/>
  <c r="C17" i="4"/>
  <c r="C18" i="4" s="1"/>
</calcChain>
</file>

<file path=xl/sharedStrings.xml><?xml version="1.0" encoding="utf-8"?>
<sst xmlns="http://schemas.openxmlformats.org/spreadsheetml/2006/main" count="1090" uniqueCount="360">
  <si>
    <t>Исследование и описание внешних источников, выгрузка тестовых данных, мониторинг изменений источников</t>
  </si>
  <si>
    <t>Параметр работ</t>
  </si>
  <si>
    <t>Значение параметра</t>
  </si>
  <si>
    <t>Влияние</t>
  </si>
  <si>
    <t>вар 1</t>
  </si>
  <si>
    <t>вар 2</t>
  </si>
  <si>
    <t>вар 3</t>
  </si>
  <si>
    <t>вар 4</t>
  </si>
  <si>
    <t>вар 5</t>
  </si>
  <si>
    <t>вар 6</t>
  </si>
  <si>
    <t>вар 7</t>
  </si>
  <si>
    <t>Нет</t>
  </si>
  <si>
    <t>Сложность предметной области. Оценивается лидером команды/стрима исполнителя на основании опыта и профиля команды.</t>
  </si>
  <si>
    <t>Высокая</t>
  </si>
  <si>
    <t>Объем запроса по сущностям. Ориентировочное соответствие оценки к сущностям: Т: 1-4 М: 5-9 С: 9-15 К: 15-20 Б: 20-25 М: 25+. Соответствие не точное и может отличаться. Оценивается лидером команды/стрима исполнителя на опыте работы с подобными сущностями и количества описывающих сущность атрибутов.</t>
  </si>
  <si>
    <t>Масштабное</t>
  </si>
  <si>
    <t>Детализация и ясность запроса в RDS или ином артефакте, предоставляемые заказчиком</t>
  </si>
  <si>
    <t>Определены ли исследуемые источник(и) или исследование предполагает их поиск</t>
  </si>
  <si>
    <t>Да</t>
  </si>
  <si>
    <t>Конкретизированы ли искомые данные или состав/объём данных понадобится в каждом источнике определять в согласовании с заказчиком</t>
  </si>
  <si>
    <t>Необходимо ли заключение NDA</t>
  </si>
  <si>
    <t>Согласен ли Источник на стандартную форму NDA</t>
  </si>
  <si>
    <t>Предмет исследования включает в себя конфиденциальные данные</t>
  </si>
  <si>
    <t>214 Состав работ команды Внешние Данные</t>
  </si>
  <si>
    <t>Объём, чд</t>
  </si>
  <si>
    <t>база</t>
  </si>
  <si>
    <t>зависимость</t>
  </si>
  <si>
    <t>Интервьюирование заказчика, подтверждение финансирования и обработка RDS</t>
  </si>
  <si>
    <t>Планирование и работа с бэклогом</t>
  </si>
  <si>
    <t>Сбор и анализ требований</t>
  </si>
  <si>
    <t>Поиск и анализ источника(ов) и данных</t>
  </si>
  <si>
    <t>Подготовка АЗ для заключения NDA, согласование содержания NDA</t>
  </si>
  <si>
    <t>Получение визы от ИБ и ЮБ по возможности обмена конфиденциальными данными</t>
  </si>
  <si>
    <t>Подготовка Отчета о проведенном Исследовании и согласование результата</t>
  </si>
  <si>
    <t>Доработка внутренней документации и информационных ресурсов группы</t>
  </si>
  <si>
    <t>ИТОГО:</t>
  </si>
  <si>
    <t>Проведение пилота по внешним данным</t>
  </si>
  <si>
    <t>Инициировано предыдущим этапом (например, инициировано загрузкой, в которой уже прошла часть аналитики)</t>
  </si>
  <si>
    <t>Новый пилот или повторный</t>
  </si>
  <si>
    <t>Объем запроса по сущностям. Ориентировочное соотвествие оценки к сущностям: Т: 1-4 М: 5-9 С: 9-15 К: 15-20 Б: 20-25 М: 25+. Соотвествие не точное и может отличаться. Оценивается лидером команды/стрима исполнителя на опыта работы с подобными сущностями и количества описывающих сущность атрибутов.</t>
  </si>
  <si>
    <t>Есть ли юридические основания для проведения пилота / разовой загрузки</t>
  </si>
  <si>
    <t>Пилот / разовая загрузка предусматривает обмен конфиденциальными данными</t>
  </si>
  <si>
    <t>Пилот / разовая загрузка предусматривает хэширование/шифрование</t>
  </si>
  <si>
    <t>Пилот / разовая загрузка предусматривает двусторонний обмен данными</t>
  </si>
  <si>
    <t>Предусматривает ли пилот разовую загрузку командой Облако в ИС харнения Банка?</t>
  </si>
  <si>
    <t>ИТОГО по стриму "Источники данных":</t>
  </si>
  <si>
    <t>215 Состав работ команды Внешние Данные</t>
  </si>
  <si>
    <t>Согласование пилота / разовой загрузки с ИБ и ЮБ</t>
  </si>
  <si>
    <t>Оперативное обеспечение юридического основания или инициация этапа</t>
  </si>
  <si>
    <t>Организация и контроль проведения пилота / разовой загрузки</t>
  </si>
  <si>
    <t>Прием и анализ результатов пилота / разовой загрузки</t>
  </si>
  <si>
    <t>Подготовка Отчета о проведении пилота / разовой загрузки и согласование результата</t>
  </si>
  <si>
    <t>Доработка внутренней документации и инфрмационных ресурсов группы</t>
  </si>
  <si>
    <t>220 Состав работ команды Облако данных ETL / DANN</t>
  </si>
  <si>
    <t>макс</t>
  </si>
  <si>
    <t>Согласование и корректировка входящих требований</t>
  </si>
  <si>
    <t>Согласование и проверка модели данных s2t</t>
  </si>
  <si>
    <t>Работы по разворачиванию и настройке новой инфраструктуры</t>
  </si>
  <si>
    <t>Загрузка данных в ИС хранения Банка</t>
  </si>
  <si>
    <t>Сопровождение юридического обеспечения (ЮО) отношений Банка с Источником внешних данных</t>
  </si>
  <si>
    <t>Неизвестно</t>
  </si>
  <si>
    <t>Договор предусматривает регламентную или разовую загрузу</t>
  </si>
  <si>
    <t>Предусмотрено ли проведение соревновательной процедуры (конкурса)</t>
  </si>
  <si>
    <t>Согласен ли Источник на стандартную форму договора Банка</t>
  </si>
  <si>
    <t>Договор предусматривает обмен конфиденциальными данными</t>
  </si>
  <si>
    <t>Договор предусматривает двусторонний обмен данными</t>
  </si>
  <si>
    <t>216 Состав работ команды Внешние Данные</t>
  </si>
  <si>
    <t>Согласование интеграции с ИБ и ЮБ</t>
  </si>
  <si>
    <t>Подготовка ТЗ для проведения соревновательной процедуры</t>
  </si>
  <si>
    <t>Анализ ТЗ по результатам отборочной процедуры</t>
  </si>
  <si>
    <t>Подготовка АЗ для договора, согласование содержания договора</t>
  </si>
  <si>
    <t>Подготовка приложения к договору</t>
  </si>
  <si>
    <t>260 Решение по обмену данными</t>
  </si>
  <si>
    <t>Новое решение или доработка существующего</t>
  </si>
  <si>
    <t>Известны ли все стеикхолдеры (владелец сервиса, разработчик модели / витрин, РП и тд.)</t>
  </si>
  <si>
    <t>Данные необходимы заказчику непосредственно или через витрины / модель</t>
  </si>
  <si>
    <t>Есть ли юридические основания для реализация решения по обмену данными</t>
  </si>
  <si>
    <t>Сложность реализации. Определяется техническим лидом команды/стрима исполнителя.</t>
  </si>
  <si>
    <t>Решение предусматривает обмен конфиденциальными данными</t>
  </si>
  <si>
    <t>Решение предусматривает хэширование/шифрование</t>
  </si>
  <si>
    <t>Решение предусматривает двусторонний обмен данными</t>
  </si>
  <si>
    <t>217 Состав работ команды Внешние Данные</t>
  </si>
  <si>
    <t>Составление модели данных s2t</t>
  </si>
  <si>
    <t>Составление ТР</t>
  </si>
  <si>
    <t>Согласование АР, участие в Тестировании и ПСИ</t>
  </si>
  <si>
    <r>
      <rPr>
        <b/>
        <sz val="8"/>
        <color theme="1"/>
        <rFont val="Montserrat"/>
      </rPr>
      <t xml:space="preserve">220 Состав работ команды "Облако данных ETL" / "Облако данных" * (ИС 1505)
</t>
    </r>
    <r>
      <rPr>
        <i/>
        <sz val="8"/>
        <color theme="1"/>
        <rFont val="Montserrat"/>
      </rPr>
      <t>* Оценка делится пополам и распределяется по обеим командам. Какая именно команда будет реализовывать решение определяется после проработки запроса командой Внешние данные</t>
    </r>
  </si>
  <si>
    <t>Работа над артефактом АР</t>
  </si>
  <si>
    <t>Работа над артефактами ТПиС, ПМИ</t>
  </si>
  <si>
    <t>Согласование артефактов и заведение заявок на доступы</t>
  </si>
  <si>
    <t>Разработка Решения</t>
  </si>
  <si>
    <t>Тестирование и отладка Решения</t>
  </si>
  <si>
    <t>Проведение ИФТ Решения</t>
  </si>
  <si>
    <t>Проведение Тестирования Решения и ПСИ</t>
  </si>
  <si>
    <t>Вывод Решения в Промышленную эксплуатацию</t>
  </si>
  <si>
    <t>230 Состав работ команды "Мониторинг источников данных"</t>
  </si>
  <si>
    <t>Постановка источника на мониторинг</t>
  </si>
  <si>
    <t>Состав работ стрима "Поддержка хранилищ данных и систем отчетности" (ПХДиСО)
команды "Поддержка систем и сервисов больших данных ЛПА" (ПС и СБД ЛПА)</t>
  </si>
  <si>
    <t>Работы команды ПС и СБД ЛПА обязательны для реализации вывода решение в пром, а также осуществления прикладной поддержки. Перечень и оценка работ осуществляется командой ПС и СБД ЛПА по обращению.</t>
  </si>
  <si>
    <t>Работы команды на этапе внедрения Решения</t>
  </si>
  <si>
    <t>~ 5-10 чд</t>
  </si>
  <si>
    <t>Прикладная поддержка на время действия проекта</t>
  </si>
  <si>
    <t>~ 1 чд на каждый месяц действия проекта</t>
  </si>
  <si>
    <r>
      <rPr>
        <i/>
        <sz val="8"/>
        <color theme="1"/>
        <rFont val="Montserrat"/>
      </rPr>
      <t>Потспроектная прикладная поддержка (</t>
    </r>
    <r>
      <rPr>
        <i/>
        <sz val="8"/>
        <color rgb="FF980000"/>
        <rFont val="Montserrat"/>
      </rPr>
      <t>отдельный пункт бюджета проекта</t>
    </r>
    <r>
      <rPr>
        <i/>
        <sz val="8"/>
        <color theme="1"/>
        <rFont val="Montserrat"/>
      </rPr>
      <t>)</t>
    </r>
  </si>
  <si>
    <t>~ 1-2 чд на каждый месяц на 3 года ~ 36-72 чд</t>
  </si>
  <si>
    <t>?</t>
  </si>
  <si>
    <t>Разработка БТ для витрин на внешних данных</t>
  </si>
  <si>
    <t>Доработка</t>
  </si>
  <si>
    <t>Сложность логики формирования витрины и предметной области. Оценивается лидером команды/стрима исполнителя на основании опыта и профиля команды.</t>
  </si>
  <si>
    <t>Средняя</t>
  </si>
  <si>
    <t>Точечное</t>
  </si>
  <si>
    <t>Данные необходимы заказчику непосредственно или через вторичные витрины / модель</t>
  </si>
  <si>
    <t>Непосредственно</t>
  </si>
  <si>
    <t>218 Состав работ команды "Внешние Данные"</t>
  </si>
  <si>
    <t>Составление БТ</t>
  </si>
  <si>
    <t>Согласование артефактов Озера данных, участие в Тестировании и ПСИ</t>
  </si>
  <si>
    <t>Состав работ стрима "Витрины и сервисы озера данных" (ВиСОД)
команды "Витрины внешних данных"</t>
  </si>
  <si>
    <r>
      <rPr>
        <i/>
        <sz val="8"/>
        <color rgb="FF980000"/>
        <rFont val="Montserrat"/>
      </rPr>
      <t xml:space="preserve">Работы команды "Витрины внешних данных" обязательны для реализации витрин. Перечень и оценка работ осуществляется командой "Витрины внешних данных" по обращению (обычно это 60+ чд).
Исключением является только случай создания витрин для построяения моделей </t>
    </r>
    <r>
      <rPr>
        <b/>
        <i/>
        <sz val="8"/>
        <color rgb="FF980000"/>
        <rFont val="Montserrat"/>
      </rPr>
      <t>командами ДАДМ</t>
    </r>
    <r>
      <rPr>
        <i/>
        <sz val="8"/>
        <color rgb="FF980000"/>
        <rFont val="Montserrat"/>
      </rPr>
      <t>. В таком случае не пишутся БТ, а дорабатывается или пишется ТР. Перечень работ осуществляется 217/220/230 этопами.</t>
    </r>
  </si>
  <si>
    <t>Создание витрин</t>
  </si>
  <si>
    <t>~ 50-100 чд</t>
  </si>
  <si>
    <t>Ведение артефактов ТИС</t>
  </si>
  <si>
    <t>Объем изменения, вносимого в ТИС</t>
  </si>
  <si>
    <t>Среднее</t>
  </si>
  <si>
    <t>Необходимо ли изучение регламентов Банка по ведению радактируемого раздела</t>
  </si>
  <si>
    <t>Необходимо ли пеерсогласование артефакта</t>
  </si>
  <si>
    <t>219 Состав работ команды Внешние Данные</t>
  </si>
  <si>
    <t>Сбор и анализ требований по изменениям</t>
  </si>
  <si>
    <t>Системный анализ</t>
  </si>
  <si>
    <t>Изучение регламентов Банка по ведению редактируемого раздела/ов</t>
  </si>
  <si>
    <t>Редактирование артефакта</t>
  </si>
  <si>
    <t>Согласование артефакта</t>
  </si>
  <si>
    <t>Исследование и описание внутренних источников, выгрузка тестовых данных, мониторинг изменений источников</t>
  </si>
  <si>
    <r>
      <rPr>
        <sz val="8"/>
        <color theme="1"/>
        <rFont val="Montserrat"/>
      </rPr>
      <t>Инициировано предыдущим этапом (</t>
    </r>
    <r>
      <rPr>
        <i/>
        <sz val="8"/>
        <color theme="1"/>
        <rFont val="Montserrat"/>
      </rPr>
      <t>например, инициировано загрузкой, в которой уже прошла часть аналитики</t>
    </r>
    <r>
      <rPr>
        <sz val="8"/>
        <color theme="1"/>
        <rFont val="Montserrat"/>
      </rPr>
      <t>)</t>
    </r>
  </si>
  <si>
    <t>210 Состав работ команды Внутренние Данные</t>
  </si>
  <si>
    <t>Уточнение требований, сбор первичной информации</t>
  </si>
  <si>
    <t>Исследование Источника/Поиск Данных</t>
  </si>
  <si>
    <t>Анализ Данных/Связок/Проверка качества</t>
  </si>
  <si>
    <t>Проработка вопросов с контрагентами</t>
  </si>
  <si>
    <t>Запрос выгрузок, контроль получения</t>
  </si>
  <si>
    <t>Оформление Аналитической Записки</t>
  </si>
  <si>
    <t>Расследование проблем с качеством/контроль устранения</t>
  </si>
  <si>
    <t>Разработка БТ (ТР) по реализации процесса загрузки данных и по витринам на внешних/внутренних данных</t>
  </si>
  <si>
    <t>211 Состав работ команды "Внутренние Данные"</t>
  </si>
  <si>
    <t>Сбор Требований</t>
  </si>
  <si>
    <t xml:space="preserve">Анализ Источников </t>
  </si>
  <si>
    <t>Постановка RDS/План/Сроки</t>
  </si>
  <si>
    <t>Проработка связок</t>
  </si>
  <si>
    <t>Описание Бизнес Требования (Шаблон)</t>
  </si>
  <si>
    <t xml:space="preserve">Формирование прототипа </t>
  </si>
  <si>
    <t>Проработка проверок</t>
  </si>
  <si>
    <t>Передача БТ в разработку</t>
  </si>
  <si>
    <t>Состав работ стрима "Витрины и сервисы озера данных" (ВиСОД)
команды "Витрины внутренних данных"</t>
  </si>
  <si>
    <r>
      <rPr>
        <i/>
        <sz val="8"/>
        <color rgb="FF980000"/>
        <rFont val="Montserrat"/>
      </rPr>
      <t xml:space="preserve">Работы команды "Витрины внутренних данных" обязательны для реализации витрин для любых задач. Перечень и оценка работ осуществляется командой "Витрины внутренних данных" по обращению (обычно это 60+ чд).
Исключением является только случай создания витрин для построяения моделей </t>
    </r>
    <r>
      <rPr>
        <b/>
        <i/>
        <sz val="8"/>
        <color rgb="FF980000"/>
        <rFont val="Montserrat"/>
      </rPr>
      <t xml:space="preserve">командами ДАДМ </t>
    </r>
    <r>
      <rPr>
        <i/>
        <sz val="8"/>
        <color rgb="FF980000"/>
        <rFont val="Montserrat"/>
      </rPr>
      <t>при условии использования в них и внешних данных. В таком случае не пишутся БТ, а дорабатывается или пишется ТР. Перечень работ осуществляется 217/220/230 этопами.</t>
    </r>
  </si>
  <si>
    <t>Организация процесса загрузки внутренних данных в Платформу данных для целей моделирования</t>
  </si>
  <si>
    <t>Сложность</t>
  </si>
  <si>
    <t>L1</t>
  </si>
  <si>
    <t>212 Состав работ команды "Внутренние Данные"</t>
  </si>
  <si>
    <t>Формирование плана интеграций/согласование сроков</t>
  </si>
  <si>
    <t>Корректировка/Согласование документации (АИС/Протоколы/Ролевая Модель))</t>
  </si>
  <si>
    <t>Ведение активностей по интеграции (Лидирование/Сопровождение)</t>
  </si>
  <si>
    <t>Тестирование (ПРЕДПСИ/ПСИ/Доработки после тестирования)</t>
  </si>
  <si>
    <t>Проверка на ПРОМ Контуре</t>
  </si>
  <si>
    <t>А кто делает загрузку? ВиСОД</t>
  </si>
  <si>
    <t>...</t>
  </si>
  <si>
    <t>Финансовые параметры</t>
  </si>
  <si>
    <t>Ставка за день</t>
  </si>
  <si>
    <t>Ставка за час</t>
  </si>
  <si>
    <t>Коэф.сложности INN</t>
  </si>
  <si>
    <r>
      <rPr>
        <b/>
        <sz val="8"/>
        <color theme="1"/>
        <rFont val="Montserrat"/>
      </rPr>
      <t xml:space="preserve">L1
</t>
    </r>
    <r>
      <rPr>
        <sz val="8"/>
        <color theme="1"/>
        <rFont val="Montserrat"/>
      </rPr>
      <t>Например: Исследование интегрированного Источника/Ранее было похожее исследование + наличие активных контрагентов</t>
    </r>
  </si>
  <si>
    <r>
      <rPr>
        <b/>
        <sz val="8"/>
        <color theme="1"/>
        <rFont val="Montserrat"/>
      </rPr>
      <t xml:space="preserve">L2
</t>
    </r>
    <r>
      <rPr>
        <sz val="8"/>
        <color theme="1"/>
        <rFont val="Montserrat"/>
      </rPr>
      <t>Например: Значительное кол-во открытых вопросов/Ранее не исслед тематика, проблемы с качеством/Необходим поиск консультантов</t>
    </r>
  </si>
  <si>
    <r>
      <rPr>
        <b/>
        <sz val="8"/>
        <color theme="1"/>
        <rFont val="Montserrat"/>
      </rPr>
      <t xml:space="preserve">L3
</t>
    </r>
    <r>
      <rPr>
        <sz val="8"/>
        <color theme="1"/>
        <rFont val="Montserrat"/>
      </rPr>
      <t>Например: Исследование неинтегрированного источника,отсутсвие консультантов,необх получение выгрузкок (СЗ и т.д.)</t>
    </r>
  </si>
  <si>
    <t>Блок</t>
  </si>
  <si>
    <t>Раздел</t>
  </si>
  <si>
    <t>Тип</t>
  </si>
  <si>
    <t>Название</t>
  </si>
  <si>
    <t>Результат выбора</t>
  </si>
  <si>
    <t>Вопросы</t>
  </si>
  <si>
    <t>Комментарий</t>
  </si>
  <si>
    <r>
      <t>Инициировано предыдущим этапом (</t>
    </r>
    <r>
      <rPr>
        <i/>
        <sz val="8"/>
        <color theme="1"/>
        <rFont val="Montserrat"/>
      </rPr>
      <t>например, инициировано загрузкой, в которой уже прошла часть аналитики</t>
    </r>
    <r>
      <rPr>
        <sz val="8"/>
        <color theme="1"/>
        <rFont val="Montserrat"/>
      </rPr>
      <t>)</t>
    </r>
  </si>
  <si>
    <r>
      <rPr>
        <b/>
        <sz val="10"/>
        <color theme="1"/>
        <rFont val="Montserrat"/>
        <charset val="204"/>
      </rPr>
      <t>Этап_210. Исследование</t>
    </r>
    <r>
      <rPr>
        <b/>
        <sz val="8"/>
        <color theme="1"/>
        <rFont val="Montserrat"/>
      </rPr>
      <t xml:space="preserve">
Исследование и описание внутренних источников, выгрузка тестовых данных, мониторинг изменений источников</t>
    </r>
  </si>
  <si>
    <t>Параметр</t>
  </si>
  <si>
    <r>
      <t xml:space="preserve">Кол-во
</t>
    </r>
    <r>
      <rPr>
        <b/>
        <u/>
        <sz val="8"/>
        <color rgb="FF000000"/>
        <rFont val="Arial"/>
        <family val="2"/>
        <charset val="204"/>
        <scheme val="minor"/>
      </rPr>
      <t>Указать</t>
    </r>
  </si>
  <si>
    <r>
      <t xml:space="preserve">Коэф. К Базе
</t>
    </r>
    <r>
      <rPr>
        <b/>
        <sz val="8"/>
        <color rgb="FF000000"/>
        <rFont val="Arial"/>
        <family val="2"/>
        <charset val="204"/>
        <scheme val="minor"/>
      </rPr>
      <t>Фиксир.</t>
    </r>
  </si>
  <si>
    <t>Оценка, чд</t>
  </si>
  <si>
    <t>1. Кол-во Источников к Исследованию (с репликой в ДАПП)</t>
  </si>
  <si>
    <t>2. Кол-во Источников к Исследованию (без реплики в ДАПП)</t>
  </si>
  <si>
    <r>
      <t xml:space="preserve">3. Требования по Источникам не понятны (кол-во Источников)
*Доп трудозатраты на сбор требований/аналитику по 1 источнику/тематике
</t>
    </r>
    <r>
      <rPr>
        <b/>
        <sz val="8"/>
        <color rgb="FF000000"/>
        <rFont val="Arial"/>
        <family val="2"/>
        <charset val="204"/>
        <scheme val="minor"/>
      </rPr>
      <t>Из п.1+п.2</t>
    </r>
  </si>
  <si>
    <t>4.Кол-во доп неопределенных на данный момент Источников/Тематик (риск привнесения новых требований)</t>
  </si>
  <si>
    <t>Оценка,чд</t>
  </si>
  <si>
    <t>Дополнительно</t>
  </si>
  <si>
    <r>
      <t xml:space="preserve">Перечень стандартных задач (База)
</t>
    </r>
    <r>
      <rPr>
        <b/>
        <sz val="8"/>
        <color rgb="FF000000"/>
        <rFont val="Arial"/>
        <family val="2"/>
        <charset val="204"/>
        <scheme val="minor"/>
      </rPr>
      <t>Исследование 1 Источника, с репликой в ДАПП и четко определенными требованиями</t>
    </r>
  </si>
  <si>
    <t>Задача</t>
  </si>
  <si>
    <t>Емкость, ч/д</t>
  </si>
  <si>
    <t>Организация выгрузок</t>
  </si>
  <si>
    <t>База,чд</t>
  </si>
  <si>
    <r>
      <t xml:space="preserve">Этап_211. Разработка БТ (Витрина/Интеграция)
</t>
    </r>
    <r>
      <rPr>
        <b/>
        <sz val="8"/>
        <color theme="1"/>
        <rFont val="Montserrat"/>
        <charset val="204"/>
      </rPr>
      <t>Разработка БТ (ТР) по реализации процесса загрузки данных или по витринам на внешних/внутренних данных</t>
    </r>
  </si>
  <si>
    <t>A. Требуется БТ на разработку витрины
!Первый этап - заложить исследование Источников для БТ на витрину (См. этап 210)</t>
  </si>
  <si>
    <t>Кол-во источников в витрине</t>
  </si>
  <si>
    <t>формула</t>
  </si>
  <si>
    <t>Если иточников &lt;6, берем чд из базы, если больше получает коэф и умножаем на базу чд + округление</t>
  </si>
  <si>
    <t>Кол-во неопределенных на данный момент Источников/Метрик с неопредел.логикой расчета (риск привнесения новых требований)</t>
  </si>
  <si>
    <t>Оценка БТ Витрина,чд</t>
  </si>
  <si>
    <t>След.шаг по выводу витрины/оценке работ
- Запрос оценки Смежного Стрима (Витрины и Сервисы Озера Данных)
- Проработка возможности вывода витрины силами Стрима Облако Данных - только с участием внешних данных в витрине + только цели ДАДМ</t>
  </si>
  <si>
    <t xml:space="preserve">B. Требуется БТ на интеграцию Источника в ПД
</t>
  </si>
  <si>
    <t>Кол-во источников к интеграции в ПД(Высокая готовность (не требуются доработки)+простая архитектура)</t>
  </si>
  <si>
    <t>Кол-во источников к интеграции в ПД(Доработки ИС  (ЛМД,и т.д)+простая архитектура)</t>
  </si>
  <si>
    <t>Кол-во источников сложная интеграция (проработка архитектуры,доработка источника)</t>
  </si>
  <si>
    <t>Оценка БТ Интеграция,чд</t>
  </si>
  <si>
    <t xml:space="preserve">След.шаг по выводу интеграции в ПРОМ/оценке работ
- Запрос оценки Смежного Стрима (Озера Данных+Поддержка Озера ДАнных+доп Стримы, если участвуют)
</t>
  </si>
  <si>
    <r>
      <t xml:space="preserve">Перечень стандартных задач (База)
</t>
    </r>
    <r>
      <rPr>
        <b/>
        <sz val="8"/>
        <color rgb="FF000000"/>
        <rFont val="Arial"/>
        <family val="2"/>
        <charset val="204"/>
        <scheme val="minor"/>
      </rPr>
      <t xml:space="preserve">База для БТ Стандартная Витрина(не более 5 понятных источников)/БТ Источник Готов к Интеграции </t>
    </r>
  </si>
  <si>
    <t>Сбор начальных требований</t>
  </si>
  <si>
    <t>Проработка связок/Архитектуры</t>
  </si>
  <si>
    <t>Формирование прототипа/Проработка Технич вопросов</t>
  </si>
  <si>
    <t>Согласование БТ/Передача БТ в разработку</t>
  </si>
  <si>
    <r>
      <t xml:space="preserve">Этап_212. Сопровождение Интеграции (Витрина/Интеграция)+Этап_230(Мониторинг)
</t>
    </r>
    <r>
      <rPr>
        <b/>
        <sz val="8"/>
        <color theme="1"/>
        <rFont val="Montserrat"/>
        <charset val="204"/>
      </rPr>
      <t>Организация процесса загрузки внутренних данных в Платформу данных для целей моделирования</t>
    </r>
  </si>
  <si>
    <t>A. Требуется Вывод Витрины в Пром
!Первый этап - заложить исследование Источников для БТ на витрину (См. этап 210)
!!Второй этап - заложить формирование БТ на витрину (См. этап 211)</t>
  </si>
  <si>
    <t>Кол-во витрин к выводу в ПРОМ (общее)</t>
  </si>
  <si>
    <t>Кол-во витрин до 20 метрик</t>
  </si>
  <si>
    <t>Кол-во витрин 20-50 метрик</t>
  </si>
  <si>
    <t>Кол-во витрин &gt;50 метрик</t>
  </si>
  <si>
    <t>Оценка Сопровождение вывода Витрина,чд</t>
  </si>
  <si>
    <t>Можно ли положить этот параметр в общую информацию с коэф как в КМ 30% или это будет локальный параметр витрины</t>
  </si>
  <si>
    <t>Напоминание:
- Смежный Стрим (Витрины и Сервисы Озера Данных) осуществляют разработку и подготовку документации
- Проработка возможности вывода витрины силами Стрима Облако Данных - только с участием внешних данных в витрине + только цели ДАДМ</t>
  </si>
  <si>
    <t xml:space="preserve">В. Требуется Вывод Источника в Пром ПД
!Первый этап - заложить формирование БТ на интеграцию (См. этап 211)
</t>
  </si>
  <si>
    <t>1. Кол-во источников к выводу в ПРОМ (готовы к интеграции, доработки выполнены)</t>
  </si>
  <si>
    <t>2. Кол-во источников к выводу в ПРОМ (необходима доработка)</t>
  </si>
  <si>
    <r>
      <t xml:space="preserve">Кол-во интеграций с промежуточными системами (например СХК,СФП, и тд) 
</t>
    </r>
    <r>
      <rPr>
        <b/>
        <sz val="8"/>
        <color rgb="FF000000"/>
        <rFont val="Arial"/>
        <family val="2"/>
        <charset val="204"/>
        <scheme val="minor"/>
      </rPr>
      <t>Из п.1+п.2</t>
    </r>
    <r>
      <rPr>
        <sz val="8"/>
        <color rgb="FF000000"/>
        <rFont val="Arial"/>
        <family val="2"/>
        <charset val="204"/>
        <scheme val="minor"/>
      </rPr>
      <t xml:space="preserve">
</t>
    </r>
  </si>
  <si>
    <t>3.Мониторинг таблиц (закладываем ниже, см.этап 230)</t>
  </si>
  <si>
    <t>этап 230, кол-во таблиц умножает на коэф 3, потому что другая команда</t>
  </si>
  <si>
    <t>Оценка Сопровождение Интеграции+Мониторинг,чд</t>
  </si>
  <si>
    <r>
      <rPr>
        <sz val="8"/>
        <color rgb="FFC00000"/>
        <rFont val="Arial"/>
        <family val="2"/>
        <charset val="204"/>
        <scheme val="minor"/>
      </rPr>
      <t>*** Также требуется вовлечение команды Мониторинг источников данных (Стрим Источники Данных),см.этап 230 ниже</t>
    </r>
    <r>
      <rPr>
        <sz val="8"/>
        <color rgb="FF000000"/>
        <rFont val="Arial"/>
        <family val="2"/>
        <charset val="204"/>
        <scheme val="minor"/>
      </rPr>
      <t xml:space="preserve">
Напоминание:
Разработку и подготовку документации осуществляют команд Смежного Стрима (Озера Данных+Поддержка Озера ДАнных+доп Стримы, если участвуют)
</t>
    </r>
  </si>
  <si>
    <t>Корректировка/Согласование документации (АИС/Протоколы/Ролевая Модель)</t>
  </si>
  <si>
    <t>Ведение активностей по интеграции (Статусные встречи)</t>
  </si>
  <si>
    <t>Проверка на ПРОМ Контуре/Заведение инцидентов</t>
  </si>
  <si>
    <r>
      <rPr>
        <b/>
        <sz val="10"/>
        <color theme="1"/>
        <rFont val="Montserrat"/>
        <charset val="204"/>
      </rPr>
      <t>Этап_230. Мониторинг Источников (для Этапа_212)</t>
    </r>
    <r>
      <rPr>
        <b/>
        <sz val="8"/>
        <color theme="1"/>
        <rFont val="Montserrat"/>
      </rPr>
      <t xml:space="preserve">
Процесс организации мониторинга источника/Витрины после вывода на пром</t>
    </r>
  </si>
  <si>
    <t xml:space="preserve">Коэф. </t>
  </si>
  <si>
    <t>Кол-во объектов для мониторинга (таблиц)</t>
  </si>
  <si>
    <t>Общая оценка 212+230</t>
  </si>
  <si>
    <t>Коэффициенты к базе по всем этапам - может как-то меняться или нет, как их высчитали? Справочник коэффициентов.</t>
  </si>
  <si>
    <t>Этап 2 - перечень стандартных задач, почему не более 5 источников? 5 это стандарт?</t>
  </si>
  <si>
    <t>Детальная Информация</t>
  </si>
  <si>
    <t>Арх.Компонент.Система источник</t>
  </si>
  <si>
    <t>Параметр.Ручной</t>
  </si>
  <si>
    <t>Источник с репликой в ДАПП, да/нет?</t>
  </si>
  <si>
    <t xml:space="preserve">Требования по Источникам не понятны </t>
  </si>
  <si>
    <r>
      <t xml:space="preserve">1а. Если чекбокс не стоит, базовые чд источников из констант этапа </t>
    </r>
    <r>
      <rPr>
        <b/>
        <sz val="10"/>
        <color rgb="FF000000"/>
        <rFont val="Arial"/>
        <family val="2"/>
        <charset val="204"/>
        <scheme val="minor"/>
      </rPr>
      <t>210</t>
    </r>
    <r>
      <rPr>
        <sz val="10"/>
        <color rgb="FF000000"/>
        <rFont val="Arial"/>
        <family val="2"/>
        <charset val="204"/>
        <scheme val="minor"/>
      </rPr>
      <t xml:space="preserve">
1б. Если стоит, умножаем базовые чд на 0.3, итоговую цифру добавляем к общим чд источника</t>
    </r>
  </si>
  <si>
    <t>Кол-во доп неопределенных на данный момент Источников/Тематик (риск привнесения новых требований)</t>
  </si>
  <si>
    <r>
      <t xml:space="preserve">Берем чд из списка констант стандартных задач источников этапа </t>
    </r>
    <r>
      <rPr>
        <b/>
        <sz val="10"/>
        <color rgb="FF000000"/>
        <rFont val="Arial"/>
        <family val="2"/>
        <charset val="204"/>
        <scheme val="minor"/>
      </rPr>
      <t>210</t>
    </r>
    <r>
      <rPr>
        <sz val="10"/>
        <color rgb="FF000000"/>
        <rFont val="Arial"/>
        <family val="2"/>
        <charset val="204"/>
        <scheme val="minor"/>
      </rPr>
      <t xml:space="preserve">
Если да, то базовые чд уножаем на х1.5
Остальные параметры не участвуют в рассчете</t>
    </r>
  </si>
  <si>
    <t>Арх.Компонент.Объект/Витрина данных</t>
  </si>
  <si>
    <t>Параметр.Вычисляемый</t>
  </si>
  <si>
    <r>
      <t xml:space="preserve">Кол-во источников умножается на базовый коэф х10, этап </t>
    </r>
    <r>
      <rPr>
        <b/>
        <sz val="10"/>
        <color rgb="FF000000"/>
        <rFont val="Arial"/>
        <family val="2"/>
        <charset val="204"/>
        <scheme val="minor"/>
      </rPr>
      <t>211</t>
    </r>
    <r>
      <rPr>
        <sz val="10"/>
        <color rgb="FF000000"/>
        <rFont val="Arial"/>
        <family val="2"/>
        <charset val="204"/>
        <scheme val="minor"/>
      </rPr>
      <t xml:space="preserve">
</t>
    </r>
  </si>
  <si>
    <t>Что значит не определенной логикой расчета? Почему коэффициент х10, а не 0.5 от Базовых по аналогии с этапом 210?</t>
  </si>
  <si>
    <r>
      <t xml:space="preserve">Если да, Берем итоговый чд из списка констант стандартных задач витрин, этапа </t>
    </r>
    <r>
      <rPr>
        <b/>
        <sz val="10"/>
        <color rgb="FF000000"/>
        <rFont val="Arial"/>
        <family val="2"/>
        <charset val="204"/>
        <scheme val="minor"/>
      </rPr>
      <t>211</t>
    </r>
    <r>
      <rPr>
        <sz val="10"/>
        <color rgb="FF000000"/>
        <rFont val="Arial"/>
        <family val="2"/>
        <charset val="204"/>
        <scheme val="minor"/>
      </rPr>
      <t xml:space="preserve"> и умножаем на коэф 0.5</t>
    </r>
  </si>
  <si>
    <t>Объеденить 3 параметра в один - простая интеграция коэф 0.5, средняя коэф 0.8, сложная коэф 1.2</t>
  </si>
  <si>
    <r>
      <t xml:space="preserve">Если да, Берем итоговый чд из списка констант стандартных задач витрин, этапа </t>
    </r>
    <r>
      <rPr>
        <b/>
        <sz val="10"/>
        <color rgb="FF000000"/>
        <rFont val="Arial"/>
        <family val="2"/>
        <charset val="204"/>
        <scheme val="minor"/>
      </rPr>
      <t>211</t>
    </r>
    <r>
      <rPr>
        <sz val="10"/>
        <color rgb="FF000000"/>
        <rFont val="Arial"/>
        <family val="2"/>
        <charset val="204"/>
        <scheme val="minor"/>
      </rPr>
      <t xml:space="preserve"> и умножаем на коэф 0.8</t>
    </r>
  </si>
  <si>
    <r>
      <t xml:space="preserve">Если да, Берем итоговый чд из списка констант стандартных задач витрин, этапа </t>
    </r>
    <r>
      <rPr>
        <b/>
        <sz val="10"/>
        <color rgb="FF000000"/>
        <rFont val="Arial"/>
        <family val="2"/>
        <charset val="204"/>
        <scheme val="minor"/>
      </rPr>
      <t>211</t>
    </r>
    <r>
      <rPr>
        <sz val="10"/>
        <color rgb="FF000000"/>
        <rFont val="Arial"/>
        <family val="2"/>
        <charset val="204"/>
        <scheme val="minor"/>
      </rPr>
      <t xml:space="preserve"> и умножаем на коэф 1.2</t>
    </r>
  </si>
  <si>
    <r>
      <t xml:space="preserve">Если да, Берем итоговый чд из списка констант стандартных задач прома, этапа </t>
    </r>
    <r>
      <rPr>
        <b/>
        <sz val="10"/>
        <color rgb="FF000000"/>
        <rFont val="Arial"/>
        <family val="2"/>
        <charset val="204"/>
        <scheme val="minor"/>
      </rPr>
      <t>212</t>
    </r>
    <r>
      <rPr>
        <sz val="10"/>
        <color rgb="FF000000"/>
        <rFont val="Arial"/>
        <family val="2"/>
        <charset val="204"/>
        <scheme val="minor"/>
      </rPr>
      <t xml:space="preserve"> (до 20 метрик по умолчанию)</t>
    </r>
  </si>
  <si>
    <t>20-50 метрик</t>
  </si>
  <si>
    <r>
      <t xml:space="preserve">Если да, Берем итоговый чд из списка констант стандартных задач прома, этапа </t>
    </r>
    <r>
      <rPr>
        <b/>
        <sz val="10"/>
        <color rgb="FF000000"/>
        <rFont val="Arial"/>
        <family val="2"/>
        <charset val="204"/>
        <scheme val="minor"/>
      </rPr>
      <t>212</t>
    </r>
    <r>
      <rPr>
        <sz val="10"/>
        <color rgb="FF000000"/>
        <rFont val="Arial"/>
        <family val="2"/>
        <charset val="204"/>
        <scheme val="minor"/>
      </rPr>
      <t xml:space="preserve"> + итоговый чд * 0.2</t>
    </r>
  </si>
  <si>
    <t>&gt;50 метрик</t>
  </si>
  <si>
    <r>
      <t xml:space="preserve">Если да, Берем итоговый чд из списка констант стандартных задач прома, этапа </t>
    </r>
    <r>
      <rPr>
        <b/>
        <sz val="10"/>
        <color rgb="FF000000"/>
        <rFont val="Arial"/>
        <family val="2"/>
        <charset val="204"/>
        <scheme val="minor"/>
      </rPr>
      <t>212</t>
    </r>
    <r>
      <rPr>
        <sz val="10"/>
        <color rgb="FF000000"/>
        <rFont val="Arial"/>
        <family val="2"/>
        <charset val="204"/>
        <scheme val="minor"/>
      </rPr>
      <t xml:space="preserve"> + итоговый чд * 0.4</t>
    </r>
  </si>
  <si>
    <r>
      <t xml:space="preserve">Если да, Берем итоговый чд из списка констант стандартных задач прома, этапа </t>
    </r>
    <r>
      <rPr>
        <b/>
        <sz val="10"/>
        <color rgb="FF000000"/>
        <rFont val="Arial"/>
        <family val="2"/>
        <charset val="204"/>
        <scheme val="minor"/>
      </rPr>
      <t>212</t>
    </r>
    <r>
      <rPr>
        <sz val="10"/>
        <color rgb="FF000000"/>
        <rFont val="Arial"/>
        <family val="2"/>
        <charset val="204"/>
        <scheme val="minor"/>
      </rPr>
      <t xml:space="preserve"> * 0.5</t>
    </r>
  </si>
  <si>
    <r>
      <t xml:space="preserve">Если да, Берем итоговый чд из списка констант стандартных задач прома, этапа </t>
    </r>
    <r>
      <rPr>
        <b/>
        <sz val="10"/>
        <color rgb="FF000000"/>
        <rFont val="Arial"/>
        <family val="2"/>
        <charset val="204"/>
        <scheme val="minor"/>
      </rPr>
      <t>212</t>
    </r>
    <r>
      <rPr>
        <sz val="10"/>
        <color rgb="FF000000"/>
        <rFont val="Arial"/>
        <family val="2"/>
        <charset val="204"/>
        <scheme val="minor"/>
      </rPr>
      <t xml:space="preserve"> * 0.8</t>
    </r>
  </si>
  <si>
    <r>
      <t xml:space="preserve">Если да, Берем итоговый чд из списка констант стандартных задач прома, этапа </t>
    </r>
    <r>
      <rPr>
        <b/>
        <sz val="10"/>
        <color rgb="FF000000"/>
        <rFont val="Arial"/>
        <family val="2"/>
        <charset val="204"/>
        <scheme val="minor"/>
      </rPr>
      <t>212</t>
    </r>
    <r>
      <rPr>
        <sz val="10"/>
        <color rgb="FF000000"/>
        <rFont val="Arial"/>
        <family val="2"/>
        <charset val="204"/>
        <scheme val="minor"/>
      </rPr>
      <t xml:space="preserve"> * 1.5</t>
    </r>
  </si>
  <si>
    <t xml:space="preserve">Внешние - что за коэффициенты База и Зависимость, откуда берутся? </t>
  </si>
  <si>
    <t>Арх.Компонент.Система источник?</t>
  </si>
  <si>
    <t>Общая информация</t>
  </si>
  <si>
    <r>
      <t xml:space="preserve">Берется cостав работ команды Внешние Данные Этапа </t>
    </r>
    <r>
      <rPr>
        <b/>
        <sz val="10"/>
        <color rgb="FF000000"/>
        <rFont val="Arial"/>
        <family val="2"/>
        <charset val="204"/>
        <scheme val="minor"/>
      </rPr>
      <t>214</t>
    </r>
    <r>
      <rPr>
        <sz val="10"/>
        <color rgb="FF000000"/>
        <rFont val="Arial"/>
        <family val="2"/>
        <charset val="204"/>
        <scheme val="minor"/>
      </rPr>
      <t xml:space="preserve"> из справочника (#7 справочник, константы брать при всех коэфициентах = 1), и если стоит да, этот базовый состав работ * 0.75, по умолчанию 1</t>
    </r>
  </si>
  <si>
    <t>Внешние - что за этапы? Нам не интересен какой этап? В анкете просто указывается перечень работ?</t>
  </si>
  <si>
    <t>Что значит не определено количество источников?
Стоит ли это объеденить с предыдущей строчкой?</t>
  </si>
  <si>
    <t>Арх.Компонент.Процессы Обработки данных</t>
  </si>
  <si>
    <r>
      <t xml:space="preserve">Берется cостав работ команды Внешние Данные Этапа </t>
    </r>
    <r>
      <rPr>
        <b/>
        <sz val="10"/>
        <color rgb="FF000000"/>
        <rFont val="Arial"/>
        <family val="2"/>
        <charset val="204"/>
        <scheme val="minor"/>
      </rPr>
      <t>214</t>
    </r>
    <r>
      <rPr>
        <sz val="10"/>
        <color rgb="FF000000"/>
        <rFont val="Arial"/>
        <family val="2"/>
        <charset val="204"/>
        <scheme val="minor"/>
      </rPr>
      <t xml:space="preserve"> из справочника (#7 справочник, константы брать при всех коэфициентах = 1):, по умолчанию неизвестное - коэф 1, низкая - 1.5, средняя - 1.25, высокая - 0.75</t>
    </r>
  </si>
  <si>
    <r>
      <t xml:space="preserve">Берется cостав работ команды Внешние Данные Этапа </t>
    </r>
    <r>
      <rPr>
        <b/>
        <sz val="10"/>
        <color rgb="FF000000"/>
        <rFont val="Arial"/>
        <family val="2"/>
        <charset val="204"/>
        <scheme val="minor"/>
      </rPr>
      <t>214</t>
    </r>
    <r>
      <rPr>
        <sz val="10"/>
        <color rgb="FF000000"/>
        <rFont val="Arial"/>
        <family val="2"/>
        <charset val="204"/>
        <scheme val="minor"/>
      </rPr>
      <t xml:space="preserve"> из справочника (#7 справочник, константы брать при всех коэфициентах = 1):, по умолчанию неизвестное - коэф 1, да - 0.75, нет - 1.25</t>
    </r>
  </si>
  <si>
    <r>
      <t xml:space="preserve">Берется cостав работ команды Внешние Данные Этапа </t>
    </r>
    <r>
      <rPr>
        <b/>
        <sz val="10"/>
        <color rgb="FF000000"/>
        <rFont val="Arial"/>
        <family val="2"/>
        <charset val="204"/>
        <scheme val="minor"/>
      </rPr>
      <t>214</t>
    </r>
    <r>
      <rPr>
        <sz val="10"/>
        <color rgb="FF000000"/>
        <rFont val="Arial"/>
        <family val="2"/>
        <charset val="204"/>
        <scheme val="minor"/>
      </rPr>
      <t xml:space="preserve"> из справочника (#7 справочник, константы брать при всех коэфициентах = 1):, по умолчанию неизвестное - коэф 1, да - 1.25, нет - 0</t>
    </r>
  </si>
  <si>
    <t xml:space="preserve">Пилот куда? Mvp/прототип на препрод? Или бой? 
Повторный это рекалибровка? </t>
  </si>
  <si>
    <t>Внешние - почему базовый состав работ считается по разным формула и разным ячейкам? Как это объеденить?</t>
  </si>
  <si>
    <t xml:space="preserve">Сопровождение юридического обеспечения нужно в СА? </t>
  </si>
  <si>
    <t>бэклог 1чд</t>
  </si>
  <si>
    <t>х2, Доработка внутренней документации и инфрмационных ресурсов группы</t>
  </si>
  <si>
    <t>Из 16 базовых работ этапов 215 и 220, коэффициент учитывается только в 3. Какие Можно ли этот пункт вынести в чекбокс и константы 2/3/4чд?</t>
  </si>
  <si>
    <r>
      <t xml:space="preserve">Берется cостав работ команды Внешние Данные </t>
    </r>
    <r>
      <rPr>
        <b/>
        <sz val="10"/>
        <color rgb="FF000000"/>
        <rFont val="Arial"/>
        <family val="2"/>
        <charset val="204"/>
        <scheme val="minor"/>
      </rPr>
      <t>Этапов 215 и 220</t>
    </r>
    <r>
      <rPr>
        <sz val="10"/>
        <color rgb="FF000000"/>
        <rFont val="Arial"/>
        <family val="2"/>
        <charset val="204"/>
        <scheme val="minor"/>
      </rPr>
      <t xml:space="preserve"> из справочников (</t>
    </r>
    <r>
      <rPr>
        <b/>
        <sz val="10"/>
        <color rgb="FF000000"/>
        <rFont val="Arial"/>
        <family val="2"/>
        <charset val="204"/>
        <scheme val="minor"/>
      </rPr>
      <t xml:space="preserve">#8 и #9 </t>
    </r>
    <r>
      <rPr>
        <sz val="10"/>
        <color rgb="FF000000"/>
        <rFont val="Arial"/>
        <family val="2"/>
        <charset val="204"/>
        <scheme val="minor"/>
      </rPr>
      <t>справочники, константы брать при всех коэфициентах = 1):, по умолчанию неизвестное - коэф 1, да - 1.25, нет - 0</t>
    </r>
  </si>
  <si>
    <r>
      <t xml:space="preserve">Берется cостав работ команды Внешние Данные </t>
    </r>
    <r>
      <rPr>
        <b/>
        <sz val="10"/>
        <color rgb="FF000000"/>
        <rFont val="Arial"/>
        <family val="2"/>
        <charset val="204"/>
        <scheme val="minor"/>
      </rPr>
      <t>Этапов 215 и 220</t>
    </r>
    <r>
      <rPr>
        <sz val="10"/>
        <color rgb="FF000000"/>
        <rFont val="Arial"/>
        <family val="2"/>
        <charset val="204"/>
        <scheme val="minor"/>
      </rPr>
      <t xml:space="preserve"> из справочников (</t>
    </r>
    <r>
      <rPr>
        <b/>
        <sz val="10"/>
        <color rgb="FF000000"/>
        <rFont val="Arial"/>
        <family val="2"/>
        <charset val="204"/>
        <scheme val="minor"/>
      </rPr>
      <t xml:space="preserve">#8 и #9 </t>
    </r>
    <r>
      <rPr>
        <sz val="10"/>
        <color rgb="FF000000"/>
        <rFont val="Arial"/>
        <family val="2"/>
        <charset val="204"/>
        <scheme val="minor"/>
      </rPr>
      <t>справочники, константы брать при всех коэфициентах = 1):, по умолчанию неизвестное - коэф 1, новый - 1.1, повторный - 0.75</t>
    </r>
  </si>
  <si>
    <r>
      <t xml:space="preserve">Берется cостав работ команды Внешние Данные Этапов </t>
    </r>
    <r>
      <rPr>
        <b/>
        <sz val="10"/>
        <color rgb="FF000000"/>
        <rFont val="Arial"/>
        <family val="2"/>
        <charset val="204"/>
        <scheme val="minor"/>
      </rPr>
      <t>215</t>
    </r>
    <r>
      <rPr>
        <sz val="10"/>
        <color rgb="FF000000"/>
        <rFont val="Arial"/>
        <family val="2"/>
        <charset val="204"/>
        <scheme val="minor"/>
      </rPr>
      <t xml:space="preserve"> и </t>
    </r>
    <r>
      <rPr>
        <b/>
        <sz val="10"/>
        <color rgb="FF000000"/>
        <rFont val="Arial"/>
        <family val="2"/>
        <charset val="204"/>
        <scheme val="minor"/>
      </rPr>
      <t>220</t>
    </r>
    <r>
      <rPr>
        <sz val="10"/>
        <color rgb="FF000000"/>
        <rFont val="Arial"/>
        <family val="2"/>
        <charset val="204"/>
        <scheme val="minor"/>
      </rPr>
      <t xml:space="preserve"> из справочников (#8 и #9 справочники, константы брать при всех коэфициентах = 1):, по умолчанию неизвестное - коэф 1, да - 1.25, нет - 0</t>
    </r>
  </si>
  <si>
    <t>Используется в 5 анкетах из 6.
Каким предыдущим этапом? 
Может объеденить этот пункт с Требования по Источникам не понятны для всех анкет:
добавление исочника, выбор внешний/внутренний, по умолчанию - коэф 1, если требования/источник не определен - коэф 1.3, если были подготовительные работы - коэф 0.75</t>
  </si>
  <si>
    <t>5 из 6.
Может объеденить этот пункт с стрк. Требования по Источникам не понятны :
добавление исочника, выбор внешний/внутренний, по умолчанию - коэф 1, если требования/источник не определен - коэф 1.3/1.25, если были подготовительные работы - коэф 0.75, что делать с коэф 1.5?</t>
  </si>
  <si>
    <t>4 из 6</t>
  </si>
  <si>
    <t>Источники данных?</t>
  </si>
  <si>
    <t xml:space="preserve">Аналог требуется пилот в Основной информации? Пилот по данным, но не по модели? </t>
  </si>
  <si>
    <t>Единое название: наличие Конфид. Данных?</t>
  </si>
  <si>
    <t>Справочник</t>
  </si>
  <si>
    <t>Хэширование/шифрование</t>
  </si>
  <si>
    <t>Тип источника данных (внуренний/внешний)</t>
  </si>
  <si>
    <r>
      <t xml:space="preserve">
Если кол-во источников в витрине больше 5, то добавляется коэффциент к Базовым чд вычисляемый по формуле - кол-во текущих источников в витрине / 5 и полученный коэффициент умножаем на кол-во чд из Базовых этапа </t>
    </r>
    <r>
      <rPr>
        <b/>
        <sz val="10"/>
        <color rgb="FF000000"/>
        <rFont val="Arial"/>
        <family val="2"/>
        <charset val="204"/>
        <scheme val="minor"/>
      </rPr>
      <t>211</t>
    </r>
  </si>
  <si>
    <t>В явном виде параметр пользователем не заполняется.</t>
  </si>
  <si>
    <t xml:space="preserve">
Сделать параметр количество метрик на компоненте витрина данных.</t>
  </si>
  <si>
    <t>Уточнить смысл пункта</t>
  </si>
  <si>
    <t>Что понимается под мониторингом? 
Нужно ли дублировать параметр и в источники, и в витрины или это параметр Источников данных</t>
  </si>
  <si>
    <t>Уточнить применение параметра</t>
  </si>
  <si>
    <t>Параметр - пилот, с выбором первичный, повторный или нет</t>
  </si>
  <si>
    <t xml:space="preserve">Запрос к источнику? К задаче или активность в проекте в целом? </t>
  </si>
  <si>
    <t xml:space="preserve">Это аналог поля с СА источников данных внутренних - Кол-во доп неопределенных на данный момент Источников/Тематик (риск привнесения новых требований) ? </t>
  </si>
  <si>
    <t>Двусторонний обмен данными.</t>
  </si>
  <si>
    <t>Типовая работа</t>
  </si>
  <si>
    <t>Источники данных</t>
  </si>
  <si>
    <t xml:space="preserve">
Уточнить применение параметра. (Для этапа 214 какой предыдущий? Как для остальных этапов учитывать предыдущий?)
</t>
  </si>
  <si>
    <t>(216) Договор предусматривает регламентную или разовую загрузу</t>
  </si>
  <si>
    <t>(216) Предусмотрено ли проведение соревновательной процедуры (конкурса)</t>
  </si>
  <si>
    <t>(216) Согласен ли Источник на стандартную форму договора Банка</t>
  </si>
  <si>
    <t>(215) Предусматривает ли пилот разовую загрузку командой Облако в ИС харнения Банка?</t>
  </si>
  <si>
    <t>(217) Новое решение или доработка существующего</t>
  </si>
  <si>
    <t xml:space="preserve">Дублировать ли параметр для каждого арх. Компонента? </t>
  </si>
  <si>
    <t>Берется cостав работ команды Внешние Данные Этапов 217 (константы брать при всех коэфициентах = 1):, по умолчанию неизвестное - коэф 1, новый - 1.1, доработка  текущего- 0.75</t>
  </si>
  <si>
    <t>Берется cостав работ команды Внешние Данные Этапов 217 (константы брать при всех коэфициентах = 1):, по умолчанию неизвестное - коэф 1, нет - 1.1, да - 0.9</t>
  </si>
  <si>
    <t>Берется cостав работ команды Внешние Данные Этапов 217 (константы брать при всех коэфициентах = 1):, по умолчанию неизвестное - коэф 1, непосредственно - 0.8, опосредованно - 1.2</t>
  </si>
  <si>
    <t>Берется cостав работ команды Внешние Данные Этапов 217 (константы брать при всех коэфициентах = 1):, по умолчанию неизвестное - коэф 1, да - 0, нет - 1.25</t>
  </si>
  <si>
    <t>(217) Известны ли все стеикхолдеры (владелец сервиса, разработчик модели / витрин, РП и тд.)</t>
  </si>
  <si>
    <t>(217) Данные необходимы заказчику непосредственно или через витрины / модель</t>
  </si>
  <si>
    <t>(217) Есть ли юридические основания для реализация решения по обмену данными</t>
  </si>
  <si>
    <t>(217) Сложность реализации. Определяется техническим лидом команды/стрима исполнителя.</t>
  </si>
  <si>
    <t>(218) Сложность логики формирования витрины и предметной области. Оценивается лидером команды/стрима исполнителя на основании опыта и профиля команды.</t>
  </si>
  <si>
    <t>Берется cостав работ команды Внешние Данные Этапов 217 (константы брать при всех коэфициентах = 1):, по умолчанию среднее - коэф 1, неизв - 1.25, низкая - 0.75, высокая - 1.5</t>
  </si>
  <si>
    <t xml:space="preserve">Вкладка Параметр, Коэф.сложности INN - где они используются? INN это коэф для анкеты внутренних? </t>
  </si>
  <si>
    <t>#</t>
  </si>
  <si>
    <r>
      <t xml:space="preserve">Требования это какие данные брать из этого источника?
</t>
    </r>
    <r>
      <rPr>
        <b/>
        <sz val="10"/>
        <color rgb="FF000000"/>
        <rFont val="Arial"/>
        <family val="2"/>
        <charset val="204"/>
        <scheme val="minor"/>
      </rPr>
      <t>Типовая работа, складываем коэффициенты?</t>
    </r>
  </si>
  <si>
    <t>Этап 211.
Кол-во источников в витрине
Кол-во неопределенных на данный момент Источников/Метрик с неопредел.логикой расчета (риск привнесения новых требований)
Кол-во источников к интеграции в ПД(Высокая готовность (не требуются доработки)+простая архитектура)
Кол-во источников к интеграции в ПД(Доработки ИС  (ЛМД,и т.
Кол-во источников сложная интеграция (проработка архитектуры,доработка источника)д)+простая архитектура)</t>
  </si>
  <si>
    <r>
      <t xml:space="preserve">Этап </t>
    </r>
    <r>
      <rPr>
        <b/>
        <sz val="10"/>
        <color rgb="FF000000"/>
        <rFont val="Arial"/>
        <family val="2"/>
        <charset val="204"/>
        <scheme val="minor"/>
      </rPr>
      <t>230</t>
    </r>
    <r>
      <rPr>
        <sz val="10"/>
        <color rgb="FF000000"/>
        <rFont val="Arial"/>
        <family val="2"/>
        <charset val="204"/>
        <scheme val="minor"/>
      </rPr>
      <t>. Если да, то мониторинг для 1 объекта (источника/витрины) +3чд</t>
    </r>
  </si>
  <si>
    <r>
      <t xml:space="preserve">1. Берем чд из списка констант стандартных задач источников этапа </t>
    </r>
    <r>
      <rPr>
        <b/>
        <sz val="10"/>
        <color rgb="FF000000"/>
        <rFont val="Arial"/>
        <family val="2"/>
        <charset val="204"/>
        <scheme val="minor"/>
      </rPr>
      <t>210</t>
    </r>
    <r>
      <rPr>
        <sz val="10"/>
        <color rgb="FF000000"/>
        <rFont val="Arial"/>
        <family val="2"/>
        <charset val="204"/>
        <scheme val="minor"/>
      </rPr>
      <t xml:space="preserve">
2а. Если да, выводится типовая работа с базовым чд
2б. Если нет, выводится типовая работа с базовым чд * на коэфициент 1.5</t>
    </r>
  </si>
  <si>
    <r>
      <t xml:space="preserve">Берется cостав работ команды Внешние Данные Этапа </t>
    </r>
    <r>
      <rPr>
        <b/>
        <sz val="10"/>
        <color rgb="FF000000"/>
        <rFont val="Arial"/>
        <family val="2"/>
        <charset val="204"/>
        <scheme val="minor"/>
      </rPr>
      <t>214</t>
    </r>
    <r>
      <rPr>
        <sz val="10"/>
        <color rgb="FF000000"/>
        <rFont val="Arial"/>
        <family val="2"/>
        <charset val="204"/>
        <scheme val="minor"/>
      </rPr>
      <t xml:space="preserve"> из справочника (#7 справочник, константы брать при всех коэфициентах = 1):
по умолчанию средняя - коэф 1, неизвестно - коэф 1.25, высокая - коэф 1.5, низкая - коэф 0.75</t>
    </r>
  </si>
  <si>
    <r>
      <t xml:space="preserve">Сложность предметной области оценивается в разрезе источника? Проекта? Или как -то еще? 
Сложность какой предметной области, чего? Данных в источнике? </t>
    </r>
    <r>
      <rPr>
        <b/>
        <sz val="10"/>
        <color rgb="FF000000"/>
        <rFont val="Arial"/>
        <family val="2"/>
        <charset val="204"/>
        <scheme val="minor"/>
      </rPr>
      <t>Не</t>
    </r>
    <r>
      <rPr>
        <sz val="10"/>
        <color rgb="FF000000"/>
        <rFont val="Arial"/>
        <family val="2"/>
        <charset val="204"/>
        <scheme val="minor"/>
      </rPr>
      <t xml:space="preserve"> пересекается ли с общей неопределнностью</t>
    </r>
  </si>
  <si>
    <r>
      <t xml:space="preserve">Берется cостав работ команды Внешние Данные Этапа </t>
    </r>
    <r>
      <rPr>
        <b/>
        <sz val="10"/>
        <color rgb="FF000000"/>
        <rFont val="Arial"/>
        <family val="2"/>
        <charset val="204"/>
        <scheme val="minor"/>
      </rPr>
      <t>214</t>
    </r>
    <r>
      <rPr>
        <sz val="10"/>
        <color rgb="FF000000"/>
        <rFont val="Arial"/>
        <family val="2"/>
        <charset val="204"/>
        <scheme val="minor"/>
      </rPr>
      <t xml:space="preserve"> из справочника (#7 справочник, константы брать при всех коэфициентах = 1):, по умолчанию среднее - коэф 1, неизвестное и крупное - 1.25, большое - 1.5, масштабное - 1.75, точечное - 0.5, малое - 0.75</t>
    </r>
  </si>
  <si>
    <r>
      <t xml:space="preserve">Берется cостав работ команды Внешние Данные Этапов </t>
    </r>
    <r>
      <rPr>
        <b/>
        <sz val="10"/>
        <color rgb="FF000000"/>
        <rFont val="Arial"/>
        <family val="2"/>
        <charset val="204"/>
        <scheme val="minor"/>
      </rPr>
      <t>215</t>
    </r>
    <r>
      <rPr>
        <sz val="10"/>
        <color rgb="FF000000"/>
        <rFont val="Arial"/>
        <family val="2"/>
        <charset val="204"/>
        <scheme val="minor"/>
      </rPr>
      <t xml:space="preserve"> и </t>
    </r>
    <r>
      <rPr>
        <b/>
        <sz val="10"/>
        <color rgb="FF000000"/>
        <rFont val="Arial"/>
        <family val="2"/>
        <charset val="204"/>
        <scheme val="minor"/>
      </rPr>
      <t>220</t>
    </r>
    <r>
      <rPr>
        <sz val="10"/>
        <color rgb="FF000000"/>
        <rFont val="Arial"/>
        <family val="2"/>
        <charset val="204"/>
        <scheme val="minor"/>
      </rPr>
      <t xml:space="preserve"> из справочников (#8 и #9 справочники, константы брать при всех коэфициентах = 1):, по умолчанию неизвестное - коэф 1, да - 1.25, нет - 0.9</t>
    </r>
  </si>
  <si>
    <t xml:space="preserve">Дублировать типовые работы для источника и витрин? </t>
  </si>
  <si>
    <t>Этап 214</t>
  </si>
  <si>
    <t>Этап 215</t>
  </si>
  <si>
    <r>
      <t xml:space="preserve">этап </t>
    </r>
    <r>
      <rPr>
        <b/>
        <sz val="10"/>
        <color rgb="FF000000"/>
        <rFont val="Arial"/>
        <family val="2"/>
        <charset val="204"/>
        <scheme val="minor"/>
      </rPr>
      <t>210</t>
    </r>
    <r>
      <rPr>
        <sz val="10"/>
        <color rgb="FF000000"/>
        <rFont val="Arial"/>
        <family val="2"/>
        <charset val="204"/>
        <scheme val="minor"/>
      </rPr>
      <t xml:space="preserve">
Источник с репликой в ДАПП, да/нет?
Требования по Источникам не понятны 
Кол-во доп неопределенных на данный момент Источников/Тематик (риск привнесения новых требований)
</t>
    </r>
    <r>
      <rPr>
        <b/>
        <sz val="10"/>
        <color rgb="FF000000"/>
        <rFont val="Arial"/>
        <family val="2"/>
        <charset val="204"/>
        <scheme val="minor"/>
      </rPr>
      <t>Триггеры</t>
    </r>
    <r>
      <rPr>
        <sz val="10"/>
        <color rgb="FF000000"/>
        <rFont val="Arial"/>
        <family val="2"/>
        <charset val="204"/>
        <scheme val="minor"/>
      </rPr>
      <t xml:space="preserve">
Источник новый, определен, не определен.
С репликой в дапп, да/нет.
Требования по источнику понятны/не понятны. (риск новых требований?)</t>
    </r>
  </si>
  <si>
    <r>
      <t xml:space="preserve">Этап 211.
Кол-во источников в витрине
Кол-во неопределенных на данный момент Источников/Метрик с неопредел.логикой расчета (риск привнесения новых требований)
Кол-во источников к интеграции в ПД(Высокая готовность (не требуются доработки)+простая архитектура)
Кол-во источников к интеграции в ПД(Доработки ИС  (ЛМД,и т.
Кол-во источников сложная интеграция (проработка архитектуры,доработка источника)д)+простая архитектура)
</t>
    </r>
    <r>
      <rPr>
        <b/>
        <sz val="10"/>
        <color rgb="FF000000"/>
        <rFont val="Arial"/>
        <family val="2"/>
        <charset val="204"/>
        <scheme val="minor"/>
      </rPr>
      <t xml:space="preserve">Триггеры
</t>
    </r>
    <r>
      <rPr>
        <sz val="10"/>
        <color rgb="FF000000"/>
        <rFont val="Arial"/>
        <family val="2"/>
        <charset val="204"/>
        <scheme val="minor"/>
      </rPr>
      <t>Витрина определена/не определена.
Логика рассчета понятна/не понятна.
Требования по витрине понятны/не понятны (риск новый требований?)
Интеграция - простая/средняя/сложная</t>
    </r>
  </si>
  <si>
    <r>
      <t xml:space="preserve">Этап 212 + 230
Кол-во витрин к выводу в ПРОМ (общее),
20-50 метрик,
&gt;50 метрик, 
Кол-во источников к выводу в ПРОМ (готовы к интеграции, доработки выполнены)
Кол-во интеграций с промежуточными системами (например СХК,СФП, и тд)
Кол-во объектов для мониторинга (таблиц/ источника/Витрины)
</t>
    </r>
    <r>
      <rPr>
        <b/>
        <sz val="10"/>
        <color rgb="FF000000"/>
        <rFont val="Arial"/>
        <family val="2"/>
        <charset val="204"/>
        <scheme val="minor"/>
      </rPr>
      <t xml:space="preserve">Триггеры
</t>
    </r>
    <r>
      <rPr>
        <sz val="10"/>
        <color rgb="FF000000"/>
        <rFont val="Arial"/>
        <family val="2"/>
        <charset val="204"/>
        <scheme val="minor"/>
      </rPr>
      <t>Витрина к выводу в пром да/нет
Сложные интеграции с промеж. системами - есть/нет
Мониторинг - нужен/нет</t>
    </r>
  </si>
  <si>
    <t xml:space="preserve">Это работы внешнего стрима? </t>
  </si>
  <si>
    <t xml:space="preserve">Уточнить это договор для источников или процессов обработки? </t>
  </si>
  <si>
    <t>Рещение будет представлено в виде 2 арх компонентов, источник/витрина</t>
  </si>
  <si>
    <t>Либо параметр на уровне источника данных, либо отдельные параметры на уровне процесса обработки и объекта</t>
  </si>
  <si>
    <t>Что значит непосредственно? Сырые данные?</t>
  </si>
  <si>
    <t xml:space="preserve">Похожий параметр как для Источника п.28, в чем разница? </t>
  </si>
  <si>
    <t xml:space="preserve">На что влияет? он не участвует в рассчетах </t>
  </si>
  <si>
    <t>Арх.Компонент. Объект данных</t>
  </si>
  <si>
    <t>Аналог п.40?</t>
  </si>
  <si>
    <t>Аналог п. 40?</t>
  </si>
  <si>
    <t>Внутренний</t>
  </si>
  <si>
    <t>Внешний</t>
  </si>
  <si>
    <t>Условия появления типовой работы</t>
  </si>
  <si>
    <t xml:space="preserve">этап 210
</t>
  </si>
  <si>
    <r>
      <t xml:space="preserve">этап </t>
    </r>
    <r>
      <rPr>
        <b/>
        <sz val="10"/>
        <color rgb="FF000000"/>
        <rFont val="Arial"/>
        <family val="2"/>
        <charset val="204"/>
        <scheme val="minor"/>
      </rPr>
      <t>210</t>
    </r>
    <r>
      <rPr>
        <sz val="10"/>
        <color rgb="FF000000"/>
        <rFont val="Arial"/>
        <family val="2"/>
        <charset val="204"/>
        <scheme val="minor"/>
      </rPr>
      <t xml:space="preserve">
Источник с репликой в ДАПП, да/нет?
Требования по Источникам не понятны 
Кол-во доп неопределенных на данный момент Источников/Тематик (риск привнесения новых требований)
</t>
    </r>
    <r>
      <rPr>
        <b/>
        <sz val="10"/>
        <color rgb="FF000000"/>
        <rFont val="Arial"/>
        <family val="2"/>
        <charset val="204"/>
        <scheme val="minor"/>
      </rPr>
      <t>Триггеры</t>
    </r>
    <r>
      <rPr>
        <sz val="10"/>
        <color rgb="FF000000"/>
        <rFont val="Arial"/>
        <family val="2"/>
        <charset val="204"/>
        <scheme val="minor"/>
      </rPr>
      <t xml:space="preserve">
Источник новый, определен, не определен.
С репликой в дапп, да/нет.
Требования по источнику понятны/не понятны/риск новых требований</t>
    </r>
  </si>
  <si>
    <t>Неопределенный на данный момент Источников/Метрик с неопредел.логикой расчета (риск привнесения новых требований)</t>
  </si>
  <si>
    <r>
      <rPr>
        <b/>
        <sz val="10"/>
        <color rgb="FFFF0000"/>
        <rFont val="Arial"/>
        <family val="2"/>
        <charset val="204"/>
        <scheme val="minor"/>
      </rPr>
      <t xml:space="preserve"> </t>
    </r>
    <r>
      <rPr>
        <sz val="10"/>
        <color rgb="FF000000"/>
        <rFont val="Arial"/>
        <family val="2"/>
        <charset val="204"/>
        <scheme val="minor"/>
      </rPr>
      <t>источников к интеграции в ПД(Высокая готовность (не требуются доработки)+простая архитектура)</t>
    </r>
  </si>
  <si>
    <t xml:space="preserve"> источников к интеграции в ПД(Доработки ИС  (ЛМД,и т.д)+простая архитектура)</t>
  </si>
  <si>
    <t>источников сложная интеграция (проработка архитектуры,доработка источника)</t>
  </si>
  <si>
    <t>витрин к выводу в ПРОМ (общее)</t>
  </si>
  <si>
    <r>
      <rPr>
        <b/>
        <sz val="10"/>
        <color rgb="FFFF0000"/>
        <rFont val="Arial"/>
        <family val="2"/>
        <charset val="204"/>
        <scheme val="minor"/>
      </rPr>
      <t xml:space="preserve"> </t>
    </r>
    <r>
      <rPr>
        <sz val="10"/>
        <color rgb="FF000000"/>
        <rFont val="Arial"/>
        <family val="2"/>
        <charset val="204"/>
        <scheme val="minor"/>
      </rPr>
      <t>источников к выводу в ПРОМ (готовы к интеграции, доработки выполнены)</t>
    </r>
  </si>
  <si>
    <t>источников к выводу в ПРОМ (необходима доработка)</t>
  </si>
  <si>
    <t>интеграций с промежуточными системами (например СХК,СФП, и тд)</t>
  </si>
  <si>
    <t>объектов для мониторинга (таблиц/ источника/Витрины)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</si>
</sst>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[$ ₽]"/>
  </numFmts>
  <fonts count="28">
    <font>
      <sz val="10"/>
      <color rgb="FF000000"/>
      <name val="Arial"/>
      <scheme val="minor"/>
    </font>
    <font>
      <b/>
      <sz val="8"/>
      <color theme="1"/>
      <name val="Montserrat"/>
    </font>
    <font>
      <sz val="8"/>
      <color rgb="FFB7B7B7"/>
      <name val="Montserrat"/>
    </font>
    <font>
      <sz val="8"/>
      <color rgb="FFCCCCCC"/>
      <name val="Montserrat"/>
    </font>
    <font>
      <sz val="8"/>
      <color theme="1"/>
      <name val="Montserrat"/>
    </font>
    <font>
      <b/>
      <sz val="8"/>
      <color rgb="FF073763"/>
      <name val="Montserrat"/>
    </font>
    <font>
      <i/>
      <sz val="8"/>
      <color theme="1"/>
      <name val="Montserrat"/>
    </font>
    <font>
      <b/>
      <sz val="8"/>
      <color rgb="FF1C4587"/>
      <name val="Montserrat"/>
    </font>
    <font>
      <sz val="8"/>
      <color rgb="FF000000"/>
      <name val="Montserrat"/>
    </font>
    <font>
      <i/>
      <sz val="8"/>
      <color rgb="FF980000"/>
      <name val="Montserrat"/>
    </font>
    <font>
      <b/>
      <sz val="8"/>
      <color rgb="FF980000"/>
      <name val="Montserrat"/>
    </font>
    <font>
      <i/>
      <sz val="8"/>
      <color rgb="FF000000"/>
      <name val="Montserrat"/>
    </font>
    <font>
      <b/>
      <sz val="8"/>
      <color rgb="FF000000"/>
      <name val="Montserrat"/>
    </font>
    <font>
      <b/>
      <i/>
      <sz val="8"/>
      <color rgb="FF980000"/>
      <name val="Montserrat"/>
    </font>
    <font>
      <b/>
      <sz val="14"/>
      <color rgb="FF000000"/>
      <name val="Arial"/>
      <family val="2"/>
      <charset val="204"/>
      <scheme val="minor"/>
    </font>
    <font>
      <b/>
      <sz val="8"/>
      <color theme="1"/>
      <name val="Montserrat"/>
      <charset val="204"/>
    </font>
    <font>
      <b/>
      <sz val="10"/>
      <color theme="1"/>
      <name val="Montserrat"/>
      <charset val="204"/>
    </font>
    <font>
      <b/>
      <sz val="9"/>
      <color rgb="FF000000"/>
      <name val="Arial"/>
      <family val="2"/>
      <charset val="204"/>
      <scheme val="minor"/>
    </font>
    <font>
      <b/>
      <u/>
      <sz val="8"/>
      <color rgb="FF000000"/>
      <name val="Arial"/>
      <family val="2"/>
      <charset val="204"/>
      <scheme val="minor"/>
    </font>
    <font>
      <b/>
      <sz val="8"/>
      <color rgb="FF000000"/>
      <name val="Arial"/>
      <family val="2"/>
      <charset val="204"/>
      <scheme val="minor"/>
    </font>
    <font>
      <sz val="8"/>
      <color rgb="FF000000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b/>
      <sz val="10"/>
      <color rgb="FF000000"/>
      <name val="Arial"/>
      <family val="2"/>
      <charset val="204"/>
      <scheme val="minor"/>
    </font>
    <font>
      <i/>
      <sz val="8"/>
      <color rgb="FF000000"/>
      <name val="Arial"/>
      <family val="2"/>
      <charset val="204"/>
      <scheme val="minor"/>
    </font>
    <font>
      <sz val="8"/>
      <color rgb="FFC00000"/>
      <name val="Arial"/>
      <family val="2"/>
      <charset val="204"/>
      <scheme val="minor"/>
    </font>
    <font>
      <b/>
      <sz val="10"/>
      <color rgb="FFFF0000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  <font>
      <b/>
      <sz val="10"/>
      <color theme="1"/>
      <name val="Arial"/>
      <family val="2"/>
      <charset val="204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8E7CC3"/>
        <bgColor rgb="FF8E7CC3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D2F1DA"/>
        <bgColor rgb="FFD2F1DA"/>
      </patternFill>
    </fill>
    <fill>
      <patternFill patternType="solid">
        <fgColor rgb="FF8FD7DC"/>
        <bgColor rgb="FF8FD7DC"/>
      </patternFill>
    </fill>
    <fill>
      <patternFill patternType="solid">
        <fgColor rgb="FFA6E3B6"/>
        <bgColor rgb="FFA6E3B6"/>
      </patternFill>
    </fill>
    <fill>
      <patternFill patternType="solid">
        <fgColor rgb="FFFED7CE"/>
        <bgColor rgb="FFFED7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rgb="FFFFC49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rgb="FFFFE599"/>
      </patternFill>
    </fill>
    <fill>
      <patternFill patternType="solid">
        <fgColor rgb="FF92D050"/>
        <bgColor rgb="FF9FC5E8"/>
      </patternFill>
    </fill>
    <fill>
      <patternFill patternType="solid">
        <fgColor rgb="FF92D050"/>
        <bgColor rgb="FFB6D7A8"/>
      </patternFill>
    </fill>
    <fill>
      <patternFill patternType="solid">
        <fgColor rgb="FF92D050"/>
        <bgColor rgb="FFB4A7D6"/>
      </patternFill>
    </fill>
    <fill>
      <patternFill patternType="solid">
        <fgColor rgb="FFFFFF00"/>
        <bgColor rgb="FFFFE599"/>
      </patternFill>
    </fill>
    <fill>
      <patternFill patternType="solid">
        <fgColor rgb="FFFFFF00"/>
        <bgColor rgb="FF9FC5E8"/>
      </patternFill>
    </fill>
    <fill>
      <patternFill patternType="solid">
        <fgColor rgb="FFFFFF00"/>
        <bgColor rgb="FFFFF2CC"/>
      </patternFill>
    </fill>
    <fill>
      <patternFill patternType="solid">
        <fgColor rgb="FFFFFF00"/>
        <bgColor rgb="FFD9D2E9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rgb="FFD9D2E9"/>
      </patternFill>
    </fill>
    <fill>
      <patternFill patternType="solid">
        <fgColor rgb="FF92D050"/>
        <bgColor rgb="FFFFF2CC"/>
      </patternFill>
    </fill>
    <fill>
      <patternFill patternType="solid">
        <fgColor rgb="FF92D050"/>
        <bgColor rgb="FFCFE2F3"/>
      </patternFill>
    </fill>
    <fill>
      <patternFill patternType="solid">
        <fgColor rgb="FF92D050"/>
        <bgColor rgb="FFD9EAD3"/>
      </patternFill>
    </fill>
    <fill>
      <patternFill patternType="solid">
        <fgColor rgb="FFFFFF00"/>
        <bgColor rgb="FFD9EAD3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5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3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164" fontId="1" fillId="4" borderId="0" xfId="0" applyNumberFormat="1" applyFont="1" applyFill="1" applyAlignment="1">
      <alignment vertical="center"/>
    </xf>
    <xf numFmtId="1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6" borderId="0" xfId="0" applyFont="1" applyFill="1"/>
    <xf numFmtId="0" fontId="7" fillId="6" borderId="0" xfId="0" applyFont="1" applyFill="1" applyAlignment="1">
      <alignment horizontal="center"/>
    </xf>
    <xf numFmtId="0" fontId="2" fillId="0" borderId="0" xfId="0" applyFont="1"/>
    <xf numFmtId="165" fontId="1" fillId="5" borderId="0" xfId="0" applyNumberFormat="1" applyFont="1" applyFill="1" applyAlignment="1">
      <alignment horizontal="center"/>
    </xf>
    <xf numFmtId="0" fontId="1" fillId="5" borderId="0" xfId="0" applyFont="1" applyFill="1" applyAlignment="1">
      <alignment horizontal="left"/>
    </xf>
    <xf numFmtId="0" fontId="4" fillId="7" borderId="0" xfId="0" applyFont="1" applyFill="1"/>
    <xf numFmtId="164" fontId="1" fillId="7" borderId="0" xfId="0" applyNumberFormat="1" applyFont="1" applyFill="1"/>
    <xf numFmtId="1" fontId="1" fillId="5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1" fillId="8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8" borderId="0" xfId="0" applyFont="1" applyFill="1"/>
    <xf numFmtId="0" fontId="4" fillId="9" borderId="0" xfId="0" applyFont="1" applyFill="1"/>
    <xf numFmtId="0" fontId="7" fillId="9" borderId="0" xfId="0" applyFont="1" applyFill="1" applyAlignment="1">
      <alignment horizontal="center"/>
    </xf>
    <xf numFmtId="0" fontId="1" fillId="8" borderId="0" xfId="0" applyFont="1" applyFill="1" applyAlignment="1">
      <alignment horizontal="left"/>
    </xf>
    <xf numFmtId="0" fontId="2" fillId="8" borderId="0" xfId="0" applyFont="1" applyFill="1"/>
    <xf numFmtId="0" fontId="3" fillId="8" borderId="0" xfId="0" applyFont="1" applyFill="1"/>
    <xf numFmtId="0" fontId="6" fillId="10" borderId="0" xfId="0" applyFont="1" applyFill="1"/>
    <xf numFmtId="164" fontId="1" fillId="10" borderId="0" xfId="0" applyNumberFormat="1" applyFont="1" applyFill="1"/>
    <xf numFmtId="165" fontId="1" fillId="8" borderId="0" xfId="0" applyNumberFormat="1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4" fillId="12" borderId="0" xfId="0" applyFont="1" applyFill="1"/>
    <xf numFmtId="0" fontId="7" fillId="12" borderId="0" xfId="0" applyFont="1" applyFill="1" applyAlignment="1">
      <alignment horizontal="center"/>
    </xf>
    <xf numFmtId="165" fontId="1" fillId="11" borderId="0" xfId="0" applyNumberFormat="1" applyFont="1" applyFill="1" applyAlignment="1">
      <alignment horizontal="center"/>
    </xf>
    <xf numFmtId="0" fontId="1" fillId="11" borderId="0" xfId="0" applyFont="1" applyFill="1" applyAlignment="1">
      <alignment horizontal="left"/>
    </xf>
    <xf numFmtId="0" fontId="4" fillId="13" borderId="0" xfId="0" applyFont="1" applyFill="1"/>
    <xf numFmtId="0" fontId="1" fillId="13" borderId="0" xfId="0" applyFont="1" applyFill="1"/>
    <xf numFmtId="0" fontId="1" fillId="0" borderId="0" xfId="0" applyFont="1"/>
    <xf numFmtId="0" fontId="1" fillId="11" borderId="0" xfId="0" applyFont="1" applyFill="1" applyAlignment="1">
      <alignment horizontal="left" wrapText="1"/>
    </xf>
    <xf numFmtId="0" fontId="8" fillId="13" borderId="0" xfId="0" applyFont="1" applyFill="1"/>
    <xf numFmtId="0" fontId="1" fillId="13" borderId="0" xfId="0" applyFont="1" applyFill="1" applyAlignment="1">
      <alignment horizontal="right"/>
    </xf>
    <xf numFmtId="0" fontId="6" fillId="13" borderId="0" xfId="0" applyFont="1" applyFill="1" applyAlignment="1">
      <alignment wrapText="1"/>
    </xf>
    <xf numFmtId="0" fontId="1" fillId="13" borderId="0" xfId="0" applyFont="1" applyFill="1" applyAlignment="1">
      <alignment horizontal="right" wrapText="1"/>
    </xf>
    <xf numFmtId="0" fontId="10" fillId="11" borderId="0" xfId="0" applyFont="1" applyFill="1" applyAlignment="1">
      <alignment horizontal="center"/>
    </xf>
    <xf numFmtId="165" fontId="10" fillId="11" borderId="0" xfId="0" applyNumberFormat="1" applyFont="1" applyFill="1" applyAlignment="1">
      <alignment horizontal="center"/>
    </xf>
    <xf numFmtId="0" fontId="1" fillId="11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12" borderId="0" xfId="0" applyFont="1" applyFill="1" applyAlignment="1">
      <alignment vertical="center"/>
    </xf>
    <xf numFmtId="0" fontId="7" fillId="12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1" fillId="11" borderId="0" xfId="0" applyFont="1" applyFill="1" applyAlignment="1">
      <alignment vertical="center"/>
    </xf>
    <xf numFmtId="0" fontId="6" fillId="13" borderId="0" xfId="0" applyFont="1" applyFill="1" applyAlignment="1">
      <alignment vertical="center"/>
    </xf>
    <xf numFmtId="0" fontId="1" fillId="13" borderId="0" xfId="0" applyFont="1" applyFill="1" applyAlignment="1">
      <alignment horizontal="right" vertical="center"/>
    </xf>
    <xf numFmtId="165" fontId="1" fillId="11" borderId="0" xfId="0" applyNumberFormat="1" applyFont="1" applyFill="1" applyAlignment="1">
      <alignment horizontal="center" vertical="center"/>
    </xf>
    <xf numFmtId="0" fontId="1" fillId="11" borderId="0" xfId="0" applyFont="1" applyFill="1" applyAlignment="1">
      <alignment horizontal="left" vertical="center" wrapText="1"/>
    </xf>
    <xf numFmtId="0" fontId="11" fillId="13" borderId="0" xfId="0" applyFont="1" applyFill="1" applyAlignment="1">
      <alignment vertical="center" wrapText="1"/>
    </xf>
    <xf numFmtId="0" fontId="12" fillId="13" borderId="0" xfId="0" applyFont="1" applyFill="1" applyAlignment="1">
      <alignment horizontal="right" vertical="center"/>
    </xf>
    <xf numFmtId="0" fontId="10" fillId="11" borderId="0" xfId="0" applyFont="1" applyFill="1" applyAlignment="1">
      <alignment horizontal="center" vertical="center"/>
    </xf>
    <xf numFmtId="165" fontId="10" fillId="11" borderId="0" xfId="0" applyNumberFormat="1" applyFont="1" applyFill="1" applyAlignment="1">
      <alignment horizontal="center" vertical="center"/>
    </xf>
    <xf numFmtId="0" fontId="10" fillId="11" borderId="0" xfId="0" applyFont="1" applyFill="1" applyAlignment="1">
      <alignment horizontal="left" vertical="center" wrapText="1"/>
    </xf>
    <xf numFmtId="0" fontId="1" fillId="14" borderId="0" xfId="0" applyFont="1" applyFill="1" applyAlignment="1">
      <alignment horizontal="left" vertical="center"/>
    </xf>
    <xf numFmtId="165" fontId="4" fillId="15" borderId="0" xfId="0" applyNumberFormat="1" applyFont="1" applyFill="1" applyAlignment="1">
      <alignment horizontal="right" vertical="center"/>
    </xf>
    <xf numFmtId="165" fontId="1" fillId="17" borderId="0" xfId="0" applyNumberFormat="1" applyFont="1" applyFill="1" applyAlignment="1">
      <alignment horizontal="left" vertical="center" wrapText="1"/>
    </xf>
    <xf numFmtId="164" fontId="1" fillId="0" borderId="0" xfId="0" applyNumberFormat="1" applyFont="1" applyAlignment="1">
      <alignment horizontal="right" vertical="center"/>
    </xf>
    <xf numFmtId="165" fontId="1" fillId="18" borderId="0" xfId="0" applyNumberFormat="1" applyFont="1" applyFill="1" applyAlignment="1">
      <alignment horizontal="left" vertical="center" wrapText="1"/>
    </xf>
    <xf numFmtId="165" fontId="1" fillId="19" borderId="0" xfId="0" applyNumberFormat="1" applyFont="1" applyFill="1" applyAlignment="1">
      <alignment horizontal="left" vertical="center" wrapText="1"/>
    </xf>
    <xf numFmtId="0" fontId="0" fillId="0" borderId="0" xfId="0"/>
    <xf numFmtId="0" fontId="0" fillId="20" borderId="0" xfId="0" applyFont="1" applyFill="1" applyAlignment="1"/>
    <xf numFmtId="0" fontId="0" fillId="0" borderId="0" xfId="0" applyFont="1" applyAlignment="1"/>
    <xf numFmtId="0" fontId="0" fillId="21" borderId="0" xfId="0" applyFont="1" applyFill="1" applyAlignment="1"/>
    <xf numFmtId="0" fontId="14" fillId="21" borderId="0" xfId="0" applyFont="1" applyFill="1" applyAlignment="1"/>
    <xf numFmtId="0" fontId="15" fillId="21" borderId="0" xfId="0" applyFont="1" applyFill="1" applyAlignment="1">
      <alignment horizontal="left" wrapText="1"/>
    </xf>
    <xf numFmtId="0" fontId="0" fillId="21" borderId="0" xfId="0" applyFont="1" applyFill="1" applyAlignment="1">
      <alignment horizontal="left"/>
    </xf>
    <xf numFmtId="0" fontId="17" fillId="22" borderId="1" xfId="0" applyFont="1" applyFill="1" applyBorder="1" applyAlignment="1">
      <alignment horizontal="left" vertical="center" wrapText="1"/>
    </xf>
    <xf numFmtId="0" fontId="17" fillId="23" borderId="1" xfId="0" applyFont="1" applyFill="1" applyBorder="1" applyAlignment="1">
      <alignment horizontal="left" vertical="center" wrapText="1"/>
    </xf>
    <xf numFmtId="0" fontId="20" fillId="0" borderId="1" xfId="0" applyFont="1" applyBorder="1" applyAlignment="1"/>
    <xf numFmtId="0" fontId="20" fillId="20" borderId="1" xfId="0" applyFont="1" applyFill="1" applyBorder="1" applyAlignment="1"/>
    <xf numFmtId="1" fontId="19" fillId="24" borderId="1" xfId="0" applyNumberFormat="1" applyFont="1" applyFill="1" applyBorder="1" applyAlignment="1"/>
    <xf numFmtId="164" fontId="19" fillId="24" borderId="1" xfId="0" applyNumberFormat="1" applyFont="1" applyFill="1" applyBorder="1" applyAlignment="1"/>
    <xf numFmtId="0" fontId="21" fillId="0" borderId="0" xfId="0" applyFont="1" applyAlignment="1"/>
    <xf numFmtId="0" fontId="20" fillId="0" borderId="2" xfId="0" applyFont="1" applyBorder="1" applyAlignment="1">
      <alignment horizontal="left" wrapText="1"/>
    </xf>
    <xf numFmtId="0" fontId="20" fillId="0" borderId="3" xfId="0" applyFont="1" applyBorder="1" applyAlignment="1">
      <alignment horizontal="left"/>
    </xf>
    <xf numFmtId="1" fontId="22" fillId="25" borderId="0" xfId="0" applyNumberFormat="1" applyFont="1" applyFill="1" applyAlignment="1"/>
    <xf numFmtId="0" fontId="1" fillId="26" borderId="8" xfId="0" applyFont="1" applyFill="1" applyBorder="1" applyAlignment="1"/>
    <xf numFmtId="0" fontId="4" fillId="0" borderId="8" xfId="0" applyFont="1" applyBorder="1" applyAlignment="1">
      <alignment horizontal="right"/>
    </xf>
    <xf numFmtId="0" fontId="19" fillId="21" borderId="0" xfId="0" applyFont="1" applyFill="1" applyAlignment="1"/>
    <xf numFmtId="0" fontId="19" fillId="25" borderId="0" xfId="0" applyFont="1" applyFill="1" applyAlignment="1"/>
    <xf numFmtId="0" fontId="0" fillId="24" borderId="0" xfId="0" applyFont="1" applyFill="1" applyAlignment="1"/>
    <xf numFmtId="0" fontId="14" fillId="24" borderId="0" xfId="0" applyFont="1" applyFill="1" applyAlignment="1"/>
    <xf numFmtId="0" fontId="15" fillId="24" borderId="0" xfId="0" applyFont="1" applyFill="1" applyAlignment="1">
      <alignment horizontal="left" wrapText="1"/>
    </xf>
    <xf numFmtId="0" fontId="0" fillId="24" borderId="0" xfId="0" applyFont="1" applyFill="1" applyAlignment="1">
      <alignment horizontal="left"/>
    </xf>
    <xf numFmtId="1" fontId="19" fillId="25" borderId="1" xfId="0" applyNumberFormat="1" applyFont="1" applyFill="1" applyBorder="1" applyAlignment="1"/>
    <xf numFmtId="1" fontId="19" fillId="25" borderId="3" xfId="0" applyNumberFormat="1" applyFont="1" applyFill="1" applyBorder="1" applyAlignment="1"/>
    <xf numFmtId="1" fontId="22" fillId="25" borderId="16" xfId="0" applyNumberFormat="1" applyFont="1" applyFill="1" applyBorder="1" applyAlignment="1"/>
    <xf numFmtId="0" fontId="0" fillId="0" borderId="0" xfId="0" applyFont="1" applyFill="1" applyBorder="1" applyAlignment="1"/>
    <xf numFmtId="0" fontId="4" fillId="28" borderId="8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/>
    <xf numFmtId="0" fontId="4" fillId="0" borderId="0" xfId="0" applyFont="1" applyFill="1" applyBorder="1" applyAlignment="1">
      <alignment horizontal="right"/>
    </xf>
    <xf numFmtId="0" fontId="19" fillId="24" borderId="0" xfId="0" applyFont="1" applyFill="1" applyAlignment="1"/>
    <xf numFmtId="0" fontId="0" fillId="29" borderId="0" xfId="0" applyFont="1" applyFill="1" applyAlignment="1"/>
    <xf numFmtId="0" fontId="14" fillId="29" borderId="0" xfId="0" applyFont="1" applyFill="1" applyAlignment="1"/>
    <xf numFmtId="0" fontId="15" fillId="29" borderId="0" xfId="0" applyFont="1" applyFill="1" applyAlignment="1">
      <alignment horizontal="left" wrapText="1"/>
    </xf>
    <xf numFmtId="0" fontId="0" fillId="29" borderId="0" xfId="0" applyFont="1" applyFill="1" applyAlignment="1">
      <alignment horizontal="left"/>
    </xf>
    <xf numFmtId="0" fontId="0" fillId="25" borderId="0" xfId="0" applyFont="1" applyFill="1" applyAlignment="1"/>
    <xf numFmtId="0" fontId="19" fillId="29" borderId="0" xfId="0" applyFont="1" applyFill="1" applyAlignment="1"/>
    <xf numFmtId="0" fontId="0" fillId="28" borderId="0" xfId="0" applyFont="1" applyFill="1" applyAlignment="1"/>
    <xf numFmtId="0" fontId="19" fillId="28" borderId="0" xfId="0" applyFont="1" applyFill="1" applyAlignment="1"/>
    <xf numFmtId="0" fontId="20" fillId="28" borderId="1" xfId="0" applyFont="1" applyFill="1" applyBorder="1" applyAlignment="1"/>
    <xf numFmtId="1" fontId="20" fillId="28" borderId="1" xfId="0" applyNumberFormat="1" applyFont="1" applyFill="1" applyBorder="1" applyAlignment="1"/>
    <xf numFmtId="0" fontId="24" fillId="29" borderId="0" xfId="0" applyFont="1" applyFill="1" applyBorder="1" applyAlignment="1">
      <alignment horizontal="left" wrapText="1"/>
    </xf>
    <xf numFmtId="0" fontId="20" fillId="29" borderId="0" xfId="0" applyFont="1" applyFill="1" applyBorder="1" applyAlignment="1"/>
    <xf numFmtId="1" fontId="20" fillId="29" borderId="0" xfId="0" applyNumberFormat="1" applyFont="1" applyFill="1" applyBorder="1" applyAlignment="1"/>
    <xf numFmtId="0" fontId="22" fillId="29" borderId="3" xfId="0" applyFont="1" applyFill="1" applyBorder="1" applyAlignment="1">
      <alignment horizontal="center" wrapText="1"/>
    </xf>
    <xf numFmtId="1" fontId="22" fillId="29" borderId="1" xfId="0" applyNumberFormat="1" applyFont="1" applyFill="1" applyBorder="1" applyAlignment="1"/>
    <xf numFmtId="0" fontId="21" fillId="0" borderId="0" xfId="0" applyFont="1" applyAlignment="1">
      <alignment wrapText="1"/>
    </xf>
    <xf numFmtId="0" fontId="21" fillId="0" borderId="0" xfId="0" applyFont="1" applyFill="1" applyAlignment="1">
      <alignment wrapText="1"/>
    </xf>
    <xf numFmtId="0" fontId="21" fillId="25" borderId="0" xfId="0" applyFont="1" applyFill="1" applyAlignment="1">
      <alignment wrapText="1"/>
    </xf>
    <xf numFmtId="0" fontId="21" fillId="25" borderId="0" xfId="0" applyFont="1" applyFill="1" applyAlignment="1"/>
    <xf numFmtId="0" fontId="21" fillId="0" borderId="0" xfId="0" applyFont="1" applyFill="1" applyBorder="1" applyAlignment="1">
      <alignment wrapText="1"/>
    </xf>
    <xf numFmtId="0" fontId="0" fillId="25" borderId="0" xfId="0" applyFill="1"/>
    <xf numFmtId="0" fontId="21" fillId="0" borderId="0" xfId="0" applyFont="1"/>
    <xf numFmtId="0" fontId="21" fillId="25" borderId="0" xfId="0" applyFont="1" applyFill="1"/>
    <xf numFmtId="0" fontId="4" fillId="31" borderId="0" xfId="0" applyFont="1" applyFill="1"/>
    <xf numFmtId="0" fontId="4" fillId="32" borderId="0" xfId="0" applyFont="1" applyFill="1"/>
    <xf numFmtId="0" fontId="4" fillId="33" borderId="0" xfId="0" applyFont="1" applyFill="1"/>
    <xf numFmtId="0" fontId="4" fillId="33" borderId="0" xfId="0" applyFont="1" applyFill="1" applyAlignment="1">
      <alignment vertical="center"/>
    </xf>
    <xf numFmtId="0" fontId="4" fillId="34" borderId="0" xfId="0" applyFont="1" applyFill="1" applyAlignment="1">
      <alignment vertical="center"/>
    </xf>
    <xf numFmtId="0" fontId="4" fillId="34" borderId="0" xfId="0" applyFont="1" applyFill="1" applyAlignment="1">
      <alignment vertical="center" wrapText="1"/>
    </xf>
    <xf numFmtId="0" fontId="4" fillId="35" borderId="0" xfId="0" applyFont="1" applyFill="1"/>
    <xf numFmtId="0" fontId="4" fillId="36" borderId="0" xfId="0" applyFont="1" applyFill="1"/>
    <xf numFmtId="0" fontId="2" fillId="25" borderId="0" xfId="0" applyFont="1" applyFill="1"/>
    <xf numFmtId="0" fontId="4" fillId="31" borderId="0" xfId="0" applyFont="1" applyFill="1" applyAlignment="1">
      <alignment wrapText="1"/>
    </xf>
    <xf numFmtId="0" fontId="4" fillId="32" borderId="0" xfId="0" applyFont="1" applyFill="1" applyAlignment="1">
      <alignment wrapText="1"/>
    </xf>
    <xf numFmtId="0" fontId="4" fillId="33" borderId="0" xfId="0" applyFont="1" applyFill="1" applyAlignment="1">
      <alignment wrapText="1"/>
    </xf>
    <xf numFmtId="0" fontId="4" fillId="33" borderId="0" xfId="0" applyFont="1" applyFill="1" applyAlignment="1">
      <alignment vertical="center" wrapText="1"/>
    </xf>
    <xf numFmtId="0" fontId="4" fillId="37" borderId="0" xfId="0" applyFont="1" applyFill="1"/>
    <xf numFmtId="164" fontId="1" fillId="38" borderId="0" xfId="0" applyNumberFormat="1" applyFont="1" applyFill="1" applyAlignment="1">
      <alignment vertical="center"/>
    </xf>
    <xf numFmtId="0" fontId="2" fillId="0" borderId="0" xfId="0" applyFont="1" applyFill="1"/>
    <xf numFmtId="0" fontId="6" fillId="40" borderId="0" xfId="0" applyFont="1" applyFill="1" applyAlignment="1">
      <alignment vertical="center"/>
    </xf>
    <xf numFmtId="0" fontId="4" fillId="41" borderId="0" xfId="0" applyFont="1" applyFill="1"/>
    <xf numFmtId="0" fontId="6" fillId="42" borderId="0" xfId="0" applyFont="1" applyFill="1"/>
    <xf numFmtId="0" fontId="4" fillId="43" borderId="0" xfId="0" applyFont="1" applyFill="1"/>
    <xf numFmtId="0" fontId="6" fillId="43" borderId="0" xfId="0" applyFont="1" applyFill="1" applyAlignment="1">
      <alignment vertical="center"/>
    </xf>
    <xf numFmtId="0" fontId="21" fillId="0" borderId="0" xfId="0" applyFont="1" applyAlignment="1">
      <alignment horizontal="center" vertical="center" wrapText="1"/>
    </xf>
    <xf numFmtId="0" fontId="21" fillId="29" borderId="0" xfId="0" applyFont="1" applyFill="1" applyAlignment="1">
      <alignment wrapText="1"/>
    </xf>
    <xf numFmtId="0" fontId="26" fillId="0" borderId="0" xfId="0" applyFont="1" applyFill="1" applyBorder="1" applyAlignment="1">
      <alignment vertical="center" wrapText="1"/>
    </xf>
    <xf numFmtId="0" fontId="21" fillId="0" borderId="0" xfId="0" applyFont="1" applyFill="1"/>
    <xf numFmtId="0" fontId="26" fillId="0" borderId="0" xfId="0" applyFont="1" applyBorder="1" applyAlignment="1">
      <alignment wrapText="1"/>
    </xf>
    <xf numFmtId="0" fontId="26" fillId="0" borderId="0" xfId="0" applyFont="1" applyFill="1" applyBorder="1" applyAlignment="1"/>
    <xf numFmtId="0" fontId="26" fillId="0" borderId="0" xfId="0" applyFont="1" applyFill="1" applyBorder="1" applyAlignment="1">
      <alignment wrapText="1"/>
    </xf>
    <xf numFmtId="0" fontId="27" fillId="20" borderId="1" xfId="0" applyNumberFormat="1" applyFont="1" applyFill="1" applyBorder="1" applyAlignment="1">
      <alignment horizontal="center" vertical="center"/>
    </xf>
    <xf numFmtId="0" fontId="27" fillId="20" borderId="1" xfId="0" applyNumberFormat="1" applyFont="1" applyFill="1" applyBorder="1" applyAlignment="1">
      <alignment horizontal="center" vertical="center" wrapText="1"/>
    </xf>
    <xf numFmtId="0" fontId="26" fillId="0" borderId="0" xfId="0" applyFont="1" applyBorder="1" applyAlignment="1"/>
    <xf numFmtId="0" fontId="26" fillId="0" borderId="0" xfId="0" applyFont="1" applyFill="1" applyAlignment="1">
      <alignment wrapText="1"/>
    </xf>
    <xf numFmtId="0" fontId="21" fillId="0" borderId="0" xfId="0" applyFont="1" applyFill="1" applyBorder="1" applyAlignment="1">
      <alignment vertical="center" wrapText="1"/>
    </xf>
    <xf numFmtId="0" fontId="21" fillId="0" borderId="0" xfId="0" applyFont="1" applyFill="1" applyAlignment="1">
      <alignment horizontal="center" vertical="center" wrapText="1"/>
    </xf>
    <xf numFmtId="0" fontId="1" fillId="44" borderId="0" xfId="0" applyFont="1" applyFill="1"/>
    <xf numFmtId="0" fontId="2" fillId="39" borderId="0" xfId="0" applyFont="1" applyFill="1"/>
    <xf numFmtId="0" fontId="2" fillId="25" borderId="0" xfId="0" applyFont="1" applyFill="1" applyAlignment="1">
      <alignment horizontal="right" vertical="center"/>
    </xf>
    <xf numFmtId="0" fontId="27" fillId="0" borderId="1" xfId="0" applyNumberFormat="1" applyFont="1" applyFill="1" applyBorder="1" applyAlignment="1">
      <alignment horizontal="center" vertical="center" wrapText="1"/>
    </xf>
    <xf numFmtId="0" fontId="21" fillId="0" borderId="0" xfId="0" applyFont="1" applyFill="1" applyAlignment="1"/>
    <xf numFmtId="0" fontId="21" fillId="0" borderId="1" xfId="0" applyFont="1" applyFill="1" applyBorder="1" applyAlignment="1">
      <alignment vertical="center" wrapText="1"/>
    </xf>
    <xf numFmtId="0" fontId="21" fillId="0" borderId="0" xfId="0" applyFont="1" applyFill="1" applyAlignment="1">
      <alignment horizontal="center" wrapText="1"/>
    </xf>
    <xf numFmtId="0" fontId="21" fillId="0" borderId="0" xfId="0" applyFont="1" applyFill="1" applyAlignment="1">
      <alignment horizontal="center" vertical="center"/>
    </xf>
    <xf numFmtId="0" fontId="17" fillId="22" borderId="2" xfId="0" applyFont="1" applyFill="1" applyBorder="1" applyAlignment="1">
      <alignment horizontal="center" vertical="center"/>
    </xf>
    <xf numFmtId="0" fontId="17" fillId="22" borderId="3" xfId="0" applyFont="1" applyFill="1" applyBorder="1" applyAlignment="1">
      <alignment horizontal="center" vertical="center"/>
    </xf>
    <xf numFmtId="0" fontId="20" fillId="28" borderId="2" xfId="0" applyFont="1" applyFill="1" applyBorder="1" applyAlignment="1">
      <alignment horizontal="left" wrapText="1"/>
    </xf>
    <xf numFmtId="0" fontId="20" fillId="28" borderId="3" xfId="0" applyFont="1" applyFill="1" applyBorder="1" applyAlignment="1">
      <alignment horizontal="left" wrapText="1"/>
    </xf>
    <xf numFmtId="0" fontId="20" fillId="28" borderId="2" xfId="0" applyFont="1" applyFill="1" applyBorder="1" applyAlignment="1">
      <alignment horizontal="center" wrapText="1"/>
    </xf>
    <xf numFmtId="0" fontId="20" fillId="28" borderId="3" xfId="0" applyFont="1" applyFill="1" applyBorder="1" applyAlignment="1">
      <alignment horizontal="center" wrapText="1"/>
    </xf>
    <xf numFmtId="0" fontId="22" fillId="29" borderId="2" xfId="0" applyFont="1" applyFill="1" applyBorder="1" applyAlignment="1">
      <alignment horizontal="center" wrapText="1"/>
    </xf>
    <xf numFmtId="0" fontId="22" fillId="29" borderId="11" xfId="0" applyFont="1" applyFill="1" applyBorder="1" applyAlignment="1">
      <alignment horizontal="center" wrapText="1"/>
    </xf>
    <xf numFmtId="0" fontId="22" fillId="29" borderId="3" xfId="0" applyFont="1" applyFill="1" applyBorder="1" applyAlignment="1">
      <alignment horizontal="center" wrapText="1"/>
    </xf>
    <xf numFmtId="0" fontId="4" fillId="28" borderId="5" xfId="0" applyFont="1" applyFill="1" applyBorder="1" applyAlignment="1"/>
    <xf numFmtId="0" fontId="4" fillId="28" borderId="6" xfId="0" applyFont="1" applyFill="1" applyBorder="1" applyAlignment="1"/>
    <xf numFmtId="0" fontId="4" fillId="28" borderId="7" xfId="0" applyFont="1" applyFill="1" applyBorder="1" applyAlignment="1"/>
    <xf numFmtId="0" fontId="15" fillId="30" borderId="0" xfId="0" applyFont="1" applyFill="1" applyAlignment="1">
      <alignment horizontal="left" wrapText="1"/>
    </xf>
    <xf numFmtId="0" fontId="1" fillId="26" borderId="5" xfId="0" applyFont="1" applyFill="1" applyBorder="1" applyAlignment="1">
      <alignment horizontal="center"/>
    </xf>
    <xf numFmtId="0" fontId="1" fillId="26" borderId="6" xfId="0" applyFont="1" applyFill="1" applyBorder="1" applyAlignment="1">
      <alignment horizontal="center"/>
    </xf>
    <xf numFmtId="0" fontId="1" fillId="26" borderId="7" xfId="0" applyFont="1" applyFill="1" applyBorder="1" applyAlignment="1">
      <alignment horizontal="center"/>
    </xf>
    <xf numFmtId="0" fontId="22" fillId="21" borderId="2" xfId="0" applyFont="1" applyFill="1" applyBorder="1" applyAlignment="1">
      <alignment horizontal="right" wrapText="1"/>
    </xf>
    <xf numFmtId="0" fontId="22" fillId="21" borderId="11" xfId="0" applyFont="1" applyFill="1" applyBorder="1" applyAlignment="1">
      <alignment horizontal="right" wrapText="1"/>
    </xf>
    <xf numFmtId="0" fontId="20" fillId="27" borderId="12" xfId="0" applyFont="1" applyFill="1" applyBorder="1" applyAlignment="1">
      <alignment horizontal="left" wrapText="1"/>
    </xf>
    <xf numFmtId="0" fontId="20" fillId="27" borderId="4" xfId="0" applyFont="1" applyFill="1" applyBorder="1" applyAlignment="1">
      <alignment horizontal="left" wrapText="1"/>
    </xf>
    <xf numFmtId="0" fontId="20" fillId="27" borderId="13" xfId="0" applyFont="1" applyFill="1" applyBorder="1" applyAlignment="1">
      <alignment horizontal="left" wrapText="1"/>
    </xf>
    <xf numFmtId="0" fontId="20" fillId="27" borderId="14" xfId="0" applyFont="1" applyFill="1" applyBorder="1" applyAlignment="1">
      <alignment horizontal="left" wrapText="1"/>
    </xf>
    <xf numFmtId="0" fontId="20" fillId="27" borderId="15" xfId="0" applyFont="1" applyFill="1" applyBorder="1" applyAlignment="1">
      <alignment horizontal="left" wrapText="1"/>
    </xf>
    <xf numFmtId="0" fontId="20" fillId="27" borderId="16" xfId="0" applyFont="1" applyFill="1" applyBorder="1" applyAlignment="1">
      <alignment horizontal="left" wrapText="1"/>
    </xf>
    <xf numFmtId="0" fontId="19" fillId="22" borderId="9" xfId="0" applyFont="1" applyFill="1" applyBorder="1" applyAlignment="1">
      <alignment horizontal="left" vertical="top" wrapText="1"/>
    </xf>
    <xf numFmtId="0" fontId="19" fillId="22" borderId="0" xfId="0" applyFont="1" applyFill="1" applyBorder="1" applyAlignment="1">
      <alignment horizontal="left" vertical="top" wrapText="1"/>
    </xf>
    <xf numFmtId="0" fontId="19" fillId="22" borderId="10" xfId="0" applyFont="1" applyFill="1" applyBorder="1" applyAlignment="1">
      <alignment horizontal="left" vertical="top" wrapText="1"/>
    </xf>
    <xf numFmtId="0" fontId="20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right" wrapText="1"/>
    </xf>
    <xf numFmtId="0" fontId="20" fillId="27" borderId="2" xfId="0" applyFont="1" applyFill="1" applyBorder="1" applyAlignment="1">
      <alignment horizontal="left" vertical="top" wrapText="1"/>
    </xf>
    <xf numFmtId="0" fontId="20" fillId="27" borderId="11" xfId="0" applyFont="1" applyFill="1" applyBorder="1" applyAlignment="1">
      <alignment horizontal="left" vertical="top" wrapText="1"/>
    </xf>
    <xf numFmtId="0" fontId="20" fillId="27" borderId="3" xfId="0" applyFont="1" applyFill="1" applyBorder="1" applyAlignment="1">
      <alignment horizontal="left" vertical="top" wrapText="1"/>
    </xf>
    <xf numFmtId="0" fontId="23" fillId="29" borderId="0" xfId="0" applyFont="1" applyFill="1" applyAlignment="1">
      <alignment horizontal="left" wrapText="1"/>
    </xf>
    <xf numFmtId="0" fontId="22" fillId="29" borderId="17" xfId="0" applyFont="1" applyFill="1" applyBorder="1" applyAlignment="1">
      <alignment horizontal="center" wrapText="1"/>
    </xf>
    <xf numFmtId="0" fontId="20" fillId="0" borderId="1" xfId="0" applyFont="1" applyBorder="1" applyAlignment="1">
      <alignment horizontal="left"/>
    </xf>
    <xf numFmtId="0" fontId="16" fillId="22" borderId="0" xfId="0" applyFont="1" applyFill="1" applyAlignment="1">
      <alignment vertical="top" wrapText="1"/>
    </xf>
    <xf numFmtId="0" fontId="15" fillId="22" borderId="0" xfId="0" applyFont="1" applyFill="1" applyAlignment="1">
      <alignment vertical="top" wrapText="1"/>
    </xf>
    <xf numFmtId="0" fontId="20" fillId="0" borderId="2" xfId="0" applyFont="1" applyBorder="1" applyAlignment="1">
      <alignment horizontal="right" wrapText="1"/>
    </xf>
    <xf numFmtId="0" fontId="20" fillId="0" borderId="3" xfId="0" applyFont="1" applyBorder="1" applyAlignment="1">
      <alignment horizontal="right" wrapText="1"/>
    </xf>
    <xf numFmtId="0" fontId="20" fillId="27" borderId="2" xfId="0" applyFont="1" applyFill="1" applyBorder="1" applyAlignment="1">
      <alignment horizontal="left" wrapText="1"/>
    </xf>
    <xf numFmtId="0" fontId="20" fillId="27" borderId="11" xfId="0" applyFont="1" applyFill="1" applyBorder="1" applyAlignment="1">
      <alignment horizontal="left" wrapText="1"/>
    </xf>
    <xf numFmtId="0" fontId="20" fillId="27" borderId="3" xfId="0" applyFont="1" applyFill="1" applyBorder="1" applyAlignment="1">
      <alignment horizontal="left" wrapText="1"/>
    </xf>
    <xf numFmtId="0" fontId="23" fillId="24" borderId="0" xfId="0" applyFont="1" applyFill="1" applyAlignment="1">
      <alignment horizontal="left" wrapText="1"/>
    </xf>
    <xf numFmtId="0" fontId="22" fillId="24" borderId="17" xfId="0" applyFont="1" applyFill="1" applyBorder="1" applyAlignment="1">
      <alignment horizontal="center" wrapText="1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20" fillId="0" borderId="2" xfId="0" applyFont="1" applyBorder="1" applyAlignment="1">
      <alignment horizontal="left" wrapText="1"/>
    </xf>
    <xf numFmtId="0" fontId="20" fillId="0" borderId="3" xfId="0" applyFont="1" applyBorder="1" applyAlignment="1">
      <alignment horizontal="left" wrapText="1"/>
    </xf>
    <xf numFmtId="0" fontId="15" fillId="22" borderId="0" xfId="0" applyFont="1" applyFill="1" applyAlignment="1">
      <alignment horizontal="left" wrapText="1"/>
    </xf>
    <xf numFmtId="0" fontId="20" fillId="0" borderId="2" xfId="0" applyFont="1" applyBorder="1" applyAlignment="1">
      <alignment horizontal="left"/>
    </xf>
    <xf numFmtId="0" fontId="20" fillId="0" borderId="3" xfId="0" applyFont="1" applyBorder="1" applyAlignment="1">
      <alignment horizontal="left"/>
    </xf>
    <xf numFmtId="0" fontId="22" fillId="21" borderId="4" xfId="0" applyFont="1" applyFill="1" applyBorder="1" applyAlignment="1">
      <alignment horizontal="right" wrapText="1"/>
    </xf>
    <xf numFmtId="0" fontId="23" fillId="21" borderId="0" xfId="0" applyFont="1" applyFill="1" applyAlignment="1">
      <alignment horizontal="left" wrapText="1"/>
    </xf>
    <xf numFmtId="0" fontId="22" fillId="21" borderId="0" xfId="0" applyFont="1" applyFill="1" applyAlignment="1">
      <alignment horizontal="center" wrapText="1"/>
    </xf>
    <xf numFmtId="0" fontId="0" fillId="21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right" vertical="center"/>
    </xf>
    <xf numFmtId="0" fontId="1" fillId="5" borderId="0" xfId="0" applyFont="1" applyFill="1" applyAlignment="1">
      <alignment horizontal="center"/>
    </xf>
    <xf numFmtId="0" fontId="1" fillId="5" borderId="0" xfId="0" applyFont="1" applyFill="1" applyAlignment="1">
      <alignment horizontal="right" vertical="center"/>
    </xf>
    <xf numFmtId="0" fontId="1" fillId="8" borderId="0" xfId="0" applyFont="1" applyFill="1" applyAlignment="1">
      <alignment horizontal="center"/>
    </xf>
    <xf numFmtId="0" fontId="1" fillId="8" borderId="0" xfId="0" applyFont="1" applyFill="1" applyAlignment="1">
      <alignment horizontal="right" vertical="center"/>
    </xf>
    <xf numFmtId="0" fontId="1" fillId="11" borderId="0" xfId="0" applyFont="1" applyFill="1" applyAlignment="1">
      <alignment horizontal="right" vertical="center"/>
    </xf>
    <xf numFmtId="0" fontId="1" fillId="11" borderId="0" xfId="0" applyFont="1" applyFill="1" applyAlignment="1">
      <alignment horizontal="right"/>
    </xf>
    <xf numFmtId="0" fontId="1" fillId="11" borderId="0" xfId="0" applyFont="1" applyFill="1" applyAlignment="1">
      <alignment horizontal="center"/>
    </xf>
    <xf numFmtId="0" fontId="9" fillId="13" borderId="0" xfId="0" applyFont="1" applyFill="1" applyAlignment="1">
      <alignment wrapText="1"/>
    </xf>
    <xf numFmtId="0" fontId="4" fillId="11" borderId="0" xfId="0" applyFont="1" applyFill="1" applyAlignment="1">
      <alignment vertical="center"/>
    </xf>
    <xf numFmtId="0" fontId="1" fillId="11" borderId="0" xfId="0" applyFont="1" applyFill="1" applyAlignment="1">
      <alignment horizontal="center" vertical="center"/>
    </xf>
    <xf numFmtId="0" fontId="9" fillId="13" borderId="0" xfId="0" applyFont="1" applyFill="1" applyAlignment="1">
      <alignment vertical="center" wrapText="1"/>
    </xf>
    <xf numFmtId="0" fontId="1" fillId="11" borderId="0" xfId="0" applyFont="1" applyFill="1" applyAlignment="1">
      <alignment horizontal="center" vertical="center" wrapText="1"/>
    </xf>
    <xf numFmtId="0" fontId="1" fillId="14" borderId="0" xfId="0" applyFont="1" applyFill="1" applyAlignment="1">
      <alignment horizontal="center" vertical="center"/>
    </xf>
    <xf numFmtId="0" fontId="1" fillId="16" borderId="0" xfId="0" applyFont="1" applyFill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21" fillId="45" borderId="0" xfId="0" applyFont="1" applyFill="1"/>
    <xf numFmtId="0" fontId="21" fillId="45" borderId="0" xfId="0" applyFont="1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4"/>
  <sheetViews>
    <sheetView showGridLines="0" topLeftCell="A58" zoomScale="85" zoomScaleNormal="85" workbookViewId="0">
      <selection activeCell="C14" sqref="C14:F20"/>
    </sheetView>
  </sheetViews>
  <sheetFormatPr defaultRowHeight="13.2" outlineLevelRow="1"/>
  <cols>
    <col min="1" max="1" width="5.109375" style="86" customWidth="1"/>
    <col min="2" max="2" width="2.88671875" style="86" customWidth="1"/>
    <col min="3" max="3" width="56.88671875" style="86" customWidth="1"/>
    <col min="4" max="4" width="7.21875" style="86" customWidth="1"/>
    <col min="5" max="5" width="7.77734375" style="86" customWidth="1"/>
    <col min="6" max="6" width="9.21875" style="86" customWidth="1"/>
    <col min="7" max="7" width="9.88671875" style="86" bestFit="1" customWidth="1"/>
    <col min="8" max="8" width="2.109375" style="86" customWidth="1"/>
    <col min="9" max="16384" width="8.88671875" style="86"/>
  </cols>
  <sheetData>
    <row r="1" spans="1:9">
      <c r="A1" s="85"/>
      <c r="B1" s="85"/>
      <c r="C1" s="85"/>
      <c r="D1" s="85"/>
      <c r="E1" s="85"/>
      <c r="F1" s="85"/>
      <c r="G1" s="85"/>
      <c r="H1" s="85"/>
    </row>
    <row r="2" spans="1:9">
      <c r="B2" s="87"/>
      <c r="C2" s="87"/>
      <c r="D2" s="87"/>
      <c r="E2" s="87"/>
      <c r="F2" s="87"/>
      <c r="G2" s="87"/>
      <c r="H2" s="87"/>
    </row>
    <row r="3" spans="1:9" ht="36.6" customHeight="1">
      <c r="B3" s="88">
        <v>1</v>
      </c>
      <c r="C3" s="232" t="s">
        <v>178</v>
      </c>
      <c r="D3" s="232"/>
      <c r="E3" s="232"/>
      <c r="F3" s="232"/>
      <c r="G3" s="232"/>
      <c r="H3" s="87"/>
    </row>
    <row r="4" spans="1:9" ht="12.6" customHeight="1">
      <c r="B4" s="87"/>
      <c r="C4" s="89"/>
      <c r="D4" s="89"/>
      <c r="E4" s="90"/>
      <c r="F4" s="90"/>
      <c r="G4" s="87"/>
      <c r="H4" s="87"/>
    </row>
    <row r="5" spans="1:9" ht="36.6" customHeight="1" outlineLevel="1">
      <c r="B5" s="87"/>
      <c r="C5" s="183" t="s">
        <v>179</v>
      </c>
      <c r="D5" s="184"/>
      <c r="E5" s="91" t="s">
        <v>180</v>
      </c>
      <c r="F5" s="92" t="s">
        <v>181</v>
      </c>
      <c r="G5" s="91" t="s">
        <v>182</v>
      </c>
      <c r="H5" s="87"/>
    </row>
    <row r="6" spans="1:9" ht="24.6" customHeight="1" outlineLevel="1">
      <c r="B6" s="87"/>
      <c r="C6" s="230" t="s">
        <v>183</v>
      </c>
      <c r="D6" s="231"/>
      <c r="E6" s="93">
        <v>1</v>
      </c>
      <c r="F6" s="94">
        <v>1</v>
      </c>
      <c r="G6" s="95">
        <f>G$21*E6*F6</f>
        <v>14</v>
      </c>
      <c r="H6" s="87"/>
    </row>
    <row r="7" spans="1:9" ht="19.2" customHeight="1" outlineLevel="1">
      <c r="B7" s="87"/>
      <c r="C7" s="233" t="s">
        <v>184</v>
      </c>
      <c r="D7" s="234"/>
      <c r="E7" s="93"/>
      <c r="F7" s="94">
        <v>1.5</v>
      </c>
      <c r="G7" s="96">
        <f>G$21*E7*F7</f>
        <v>0</v>
      </c>
      <c r="H7" s="87"/>
      <c r="I7" s="97"/>
    </row>
    <row r="8" spans="1:9" ht="40.799999999999997" customHeight="1" outlineLevel="1">
      <c r="B8" s="87"/>
      <c r="C8" s="98" t="s">
        <v>185</v>
      </c>
      <c r="D8" s="99"/>
      <c r="E8" s="93">
        <v>1</v>
      </c>
      <c r="F8" s="94">
        <v>0.3</v>
      </c>
      <c r="G8" s="96">
        <f>G$21*E8*F8</f>
        <v>4.2</v>
      </c>
      <c r="H8" s="87"/>
      <c r="I8" s="97"/>
    </row>
    <row r="9" spans="1:9" ht="21.6" customHeight="1" outlineLevel="1">
      <c r="B9" s="87"/>
      <c r="C9" s="230" t="s">
        <v>186</v>
      </c>
      <c r="D9" s="234"/>
      <c r="E9" s="93">
        <v>0</v>
      </c>
      <c r="F9" s="94">
        <v>1.5</v>
      </c>
      <c r="G9" s="96">
        <f t="shared" ref="G9" si="0">G$21*E9*F9</f>
        <v>0</v>
      </c>
      <c r="H9" s="87"/>
    </row>
    <row r="10" spans="1:9" outlineLevel="1">
      <c r="B10" s="87"/>
      <c r="C10" s="235" t="s">
        <v>187</v>
      </c>
      <c r="D10" s="235"/>
      <c r="E10" s="235"/>
      <c r="F10" s="235"/>
      <c r="G10" s="100">
        <f>SUM(G6:G9)</f>
        <v>18.2</v>
      </c>
      <c r="H10" s="87"/>
    </row>
    <row r="11" spans="1:9" ht="16.2" customHeight="1" outlineLevel="1">
      <c r="B11" s="87"/>
      <c r="C11" s="236" t="s">
        <v>188</v>
      </c>
      <c r="D11" s="236"/>
      <c r="E11" s="236"/>
      <c r="F11" s="236"/>
      <c r="G11" s="236"/>
      <c r="H11" s="87"/>
    </row>
    <row r="12" spans="1:9" ht="25.2" customHeight="1" outlineLevel="1">
      <c r="B12" s="87"/>
      <c r="C12" s="237" t="s">
        <v>189</v>
      </c>
      <c r="D12" s="237"/>
      <c r="E12" s="238"/>
      <c r="F12" s="238"/>
      <c r="G12" s="238"/>
      <c r="H12" s="87"/>
    </row>
    <row r="13" spans="1:9" outlineLevel="1">
      <c r="B13" s="87"/>
      <c r="C13" s="196" t="s">
        <v>190</v>
      </c>
      <c r="D13" s="197"/>
      <c r="E13" s="197"/>
      <c r="F13" s="198"/>
      <c r="G13" s="101" t="s">
        <v>191</v>
      </c>
      <c r="H13" s="87"/>
    </row>
    <row r="14" spans="1:9" outlineLevel="1">
      <c r="B14" s="87"/>
      <c r="C14" s="227" t="s">
        <v>133</v>
      </c>
      <c r="D14" s="228"/>
      <c r="E14" s="228"/>
      <c r="F14" s="229"/>
      <c r="G14" s="102">
        <v>1</v>
      </c>
      <c r="H14" s="87"/>
    </row>
    <row r="15" spans="1:9" outlineLevel="1">
      <c r="B15" s="87"/>
      <c r="C15" s="227" t="s">
        <v>134</v>
      </c>
      <c r="D15" s="228"/>
      <c r="E15" s="228"/>
      <c r="F15" s="229"/>
      <c r="G15" s="102">
        <v>2</v>
      </c>
      <c r="H15" s="87"/>
    </row>
    <row r="16" spans="1:9" outlineLevel="1">
      <c r="B16" s="87"/>
      <c r="C16" s="227" t="s">
        <v>135</v>
      </c>
      <c r="D16" s="228"/>
      <c r="E16" s="228"/>
      <c r="F16" s="229"/>
      <c r="G16" s="102">
        <v>3</v>
      </c>
      <c r="H16" s="87"/>
    </row>
    <row r="17" spans="1:9" outlineLevel="1">
      <c r="B17" s="87"/>
      <c r="C17" s="227" t="s">
        <v>136</v>
      </c>
      <c r="D17" s="228"/>
      <c r="E17" s="228"/>
      <c r="F17" s="229"/>
      <c r="G17" s="102">
        <v>3</v>
      </c>
      <c r="H17" s="87"/>
    </row>
    <row r="18" spans="1:9" outlineLevel="1">
      <c r="B18" s="87"/>
      <c r="C18" s="227" t="s">
        <v>192</v>
      </c>
      <c r="D18" s="228"/>
      <c r="E18" s="228"/>
      <c r="F18" s="229"/>
      <c r="G18" s="102">
        <v>2</v>
      </c>
      <c r="H18" s="87"/>
    </row>
    <row r="19" spans="1:9" outlineLevel="1">
      <c r="B19" s="87"/>
      <c r="C19" s="227" t="s">
        <v>138</v>
      </c>
      <c r="D19" s="228"/>
      <c r="E19" s="228"/>
      <c r="F19" s="229"/>
      <c r="G19" s="102">
        <v>1</v>
      </c>
      <c r="H19" s="87"/>
    </row>
    <row r="20" spans="1:9" outlineLevel="1">
      <c r="B20" s="87"/>
      <c r="C20" s="227" t="s">
        <v>139</v>
      </c>
      <c r="D20" s="228"/>
      <c r="E20" s="228"/>
      <c r="F20" s="229"/>
      <c r="G20" s="102">
        <v>2</v>
      </c>
      <c r="H20" s="87"/>
    </row>
    <row r="21" spans="1:9" outlineLevel="1">
      <c r="B21" s="87"/>
      <c r="C21" s="87"/>
      <c r="D21" s="87"/>
      <c r="E21" s="103" t="s">
        <v>193</v>
      </c>
      <c r="F21" s="103"/>
      <c r="G21" s="104">
        <f>SUM(G14:G20)</f>
        <v>14</v>
      </c>
      <c r="H21" s="87"/>
    </row>
    <row r="22" spans="1:9">
      <c r="A22" s="85"/>
      <c r="B22" s="85"/>
      <c r="C22" s="85"/>
      <c r="D22" s="85"/>
      <c r="E22" s="85"/>
      <c r="F22" s="85"/>
      <c r="G22" s="85"/>
      <c r="H22" s="85"/>
    </row>
    <row r="24" spans="1:9">
      <c r="B24" s="105"/>
      <c r="C24" s="105"/>
      <c r="D24" s="105"/>
      <c r="E24" s="105"/>
      <c r="F24" s="105"/>
      <c r="G24" s="105"/>
      <c r="H24" s="105"/>
    </row>
    <row r="25" spans="1:9" ht="30.6" customHeight="1">
      <c r="B25" s="106">
        <v>2</v>
      </c>
      <c r="C25" s="218" t="s">
        <v>194</v>
      </c>
      <c r="D25" s="219"/>
      <c r="E25" s="219"/>
      <c r="F25" s="219"/>
      <c r="G25" s="219"/>
      <c r="H25" s="105"/>
    </row>
    <row r="26" spans="1:9">
      <c r="B26" s="105"/>
      <c r="C26" s="107"/>
      <c r="D26" s="107"/>
      <c r="E26" s="108"/>
      <c r="F26" s="108"/>
      <c r="G26" s="105"/>
      <c r="H26" s="105"/>
    </row>
    <row r="27" spans="1:9" ht="34.200000000000003" outlineLevel="1">
      <c r="B27" s="105"/>
      <c r="C27" s="183" t="s">
        <v>179</v>
      </c>
      <c r="D27" s="184"/>
      <c r="E27" s="91" t="s">
        <v>180</v>
      </c>
      <c r="F27" s="92" t="s">
        <v>181</v>
      </c>
      <c r="G27" s="91" t="s">
        <v>182</v>
      </c>
      <c r="H27" s="105"/>
    </row>
    <row r="28" spans="1:9" ht="24" customHeight="1" outlineLevel="1">
      <c r="B28" s="105"/>
      <c r="C28" s="207" t="s">
        <v>195</v>
      </c>
      <c r="D28" s="208"/>
      <c r="E28" s="208"/>
      <c r="F28" s="208"/>
      <c r="G28" s="209"/>
      <c r="H28" s="105"/>
    </row>
    <row r="29" spans="1:9" outlineLevel="1">
      <c r="B29" s="105"/>
      <c r="C29" s="210" t="s">
        <v>196</v>
      </c>
      <c r="D29" s="217"/>
      <c r="E29" s="93">
        <v>1</v>
      </c>
      <c r="F29" s="94" t="s">
        <v>197</v>
      </c>
      <c r="G29" s="109">
        <f>ROUND(IF(E29&lt;6,G51,E29/5*G51),0)</f>
        <v>22</v>
      </c>
      <c r="H29" s="105"/>
      <c r="I29" s="97" t="s">
        <v>198</v>
      </c>
    </row>
    <row r="30" spans="1:9" ht="21" customHeight="1" outlineLevel="1">
      <c r="B30" s="105"/>
      <c r="C30" s="230" t="s">
        <v>199</v>
      </c>
      <c r="D30" s="231"/>
      <c r="E30" s="93">
        <v>0</v>
      </c>
      <c r="F30" s="94">
        <v>10</v>
      </c>
      <c r="G30" s="95">
        <f>E30*F30</f>
        <v>0</v>
      </c>
      <c r="H30" s="105"/>
    </row>
    <row r="31" spans="1:9" outlineLevel="1">
      <c r="B31" s="105"/>
      <c r="C31" s="199" t="s">
        <v>200</v>
      </c>
      <c r="D31" s="200"/>
      <c r="E31" s="200"/>
      <c r="F31" s="200"/>
      <c r="G31" s="110">
        <f>SUM(G29:G30)</f>
        <v>22</v>
      </c>
      <c r="H31" s="105"/>
    </row>
    <row r="32" spans="1:9" outlineLevel="1">
      <c r="B32" s="105"/>
      <c r="C32" s="201" t="s">
        <v>201</v>
      </c>
      <c r="D32" s="202"/>
      <c r="E32" s="202"/>
      <c r="F32" s="202"/>
      <c r="G32" s="203"/>
      <c r="H32" s="105"/>
    </row>
    <row r="33" spans="2:15" ht="34.200000000000003" customHeight="1" outlineLevel="1">
      <c r="B33" s="105"/>
      <c r="C33" s="204"/>
      <c r="D33" s="205"/>
      <c r="E33" s="205"/>
      <c r="F33" s="205"/>
      <c r="G33" s="206"/>
      <c r="H33" s="105"/>
    </row>
    <row r="34" spans="2:15" ht="21" customHeight="1" outlineLevel="1">
      <c r="B34" s="105"/>
      <c r="C34" s="207" t="s">
        <v>202</v>
      </c>
      <c r="D34" s="208"/>
      <c r="E34" s="208"/>
      <c r="F34" s="208"/>
      <c r="G34" s="209"/>
      <c r="H34" s="105"/>
    </row>
    <row r="35" spans="2:15" ht="28.2" customHeight="1" outlineLevel="1">
      <c r="B35" s="105"/>
      <c r="C35" s="210" t="s">
        <v>203</v>
      </c>
      <c r="D35" s="210"/>
      <c r="E35" s="93">
        <v>1</v>
      </c>
      <c r="F35" s="94">
        <v>0.5</v>
      </c>
      <c r="G35" s="95">
        <f>G$51*E35*F35</f>
        <v>11</v>
      </c>
      <c r="H35" s="105"/>
    </row>
    <row r="36" spans="2:15" ht="31.2" customHeight="1" outlineLevel="1">
      <c r="B36" s="105"/>
      <c r="C36" s="210" t="s">
        <v>204</v>
      </c>
      <c r="D36" s="217"/>
      <c r="E36" s="93">
        <v>0</v>
      </c>
      <c r="F36" s="94">
        <v>0.8</v>
      </c>
      <c r="G36" s="95">
        <f>G$51*E36*F36</f>
        <v>0</v>
      </c>
      <c r="H36" s="105"/>
    </row>
    <row r="37" spans="2:15" outlineLevel="1">
      <c r="B37" s="105"/>
      <c r="C37" s="217" t="s">
        <v>205</v>
      </c>
      <c r="D37" s="217"/>
      <c r="E37" s="93">
        <v>0</v>
      </c>
      <c r="F37" s="94">
        <v>1.2</v>
      </c>
      <c r="G37" s="95">
        <f>G$51*E37*F37</f>
        <v>0</v>
      </c>
      <c r="H37" s="105"/>
    </row>
    <row r="38" spans="2:15" outlineLevel="1">
      <c r="B38" s="105"/>
      <c r="C38" s="199" t="s">
        <v>206</v>
      </c>
      <c r="D38" s="200"/>
      <c r="E38" s="200"/>
      <c r="F38" s="200"/>
      <c r="G38" s="111">
        <f>SUM(G35:G37)</f>
        <v>11</v>
      </c>
      <c r="H38" s="105"/>
    </row>
    <row r="39" spans="2:15" ht="47.4" customHeight="1" outlineLevel="1">
      <c r="B39" s="105"/>
      <c r="C39" s="222" t="s">
        <v>207</v>
      </c>
      <c r="D39" s="223"/>
      <c r="E39" s="223"/>
      <c r="F39" s="223"/>
      <c r="G39" s="224"/>
      <c r="H39" s="105"/>
    </row>
    <row r="40" spans="2:15" outlineLevel="1">
      <c r="B40" s="105"/>
      <c r="C40" s="225" t="s">
        <v>188</v>
      </c>
      <c r="D40" s="225"/>
      <c r="E40" s="225"/>
      <c r="F40" s="225"/>
      <c r="G40" s="225"/>
      <c r="H40" s="105"/>
    </row>
    <row r="41" spans="2:15" ht="28.2" customHeight="1" outlineLevel="1">
      <c r="B41" s="105"/>
      <c r="C41" s="226" t="s">
        <v>208</v>
      </c>
      <c r="D41" s="226"/>
      <c r="E41" s="226"/>
      <c r="F41" s="226"/>
      <c r="G41" s="226"/>
      <c r="H41" s="105"/>
    </row>
    <row r="42" spans="2:15" outlineLevel="1">
      <c r="B42" s="105"/>
      <c r="C42" s="196" t="s">
        <v>190</v>
      </c>
      <c r="D42" s="197"/>
      <c r="E42" s="197"/>
      <c r="F42" s="198"/>
      <c r="G42" s="101" t="s">
        <v>191</v>
      </c>
      <c r="H42" s="105"/>
      <c r="I42" s="112"/>
      <c r="J42" s="112"/>
      <c r="K42" s="112"/>
      <c r="L42" s="112"/>
      <c r="M42" s="112"/>
      <c r="N42" s="112"/>
      <c r="O42" s="112"/>
    </row>
    <row r="43" spans="2:15" outlineLevel="1">
      <c r="B43" s="105"/>
      <c r="C43" s="192" t="s">
        <v>209</v>
      </c>
      <c r="D43" s="193"/>
      <c r="E43" s="193"/>
      <c r="F43" s="194"/>
      <c r="G43" s="113">
        <v>2</v>
      </c>
      <c r="H43" s="105"/>
      <c r="I43" s="112"/>
      <c r="J43" s="114"/>
      <c r="K43" s="114"/>
      <c r="L43" s="114"/>
      <c r="M43" s="115"/>
      <c r="N43" s="112"/>
      <c r="O43" s="112"/>
    </row>
    <row r="44" spans="2:15" outlineLevel="1">
      <c r="B44" s="105"/>
      <c r="C44" s="192" t="s">
        <v>143</v>
      </c>
      <c r="D44" s="193"/>
      <c r="E44" s="193"/>
      <c r="F44" s="194"/>
      <c r="G44" s="113">
        <v>4</v>
      </c>
      <c r="H44" s="105"/>
      <c r="I44" s="112"/>
      <c r="J44" s="114"/>
      <c r="K44" s="114"/>
      <c r="L44" s="114"/>
      <c r="M44" s="115"/>
      <c r="N44" s="112"/>
      <c r="O44" s="112"/>
    </row>
    <row r="45" spans="2:15" outlineLevel="1">
      <c r="B45" s="105"/>
      <c r="C45" s="192" t="s">
        <v>144</v>
      </c>
      <c r="D45" s="193"/>
      <c r="E45" s="193"/>
      <c r="F45" s="194"/>
      <c r="G45" s="113">
        <v>3</v>
      </c>
      <c r="H45" s="105"/>
      <c r="I45" s="112"/>
      <c r="J45" s="114"/>
      <c r="K45" s="114"/>
      <c r="L45" s="114"/>
      <c r="M45" s="115"/>
      <c r="N45" s="112"/>
      <c r="O45" s="112"/>
    </row>
    <row r="46" spans="2:15" outlineLevel="1">
      <c r="B46" s="105"/>
      <c r="C46" s="192" t="s">
        <v>146</v>
      </c>
      <c r="D46" s="193"/>
      <c r="E46" s="193"/>
      <c r="F46" s="194"/>
      <c r="G46" s="113">
        <v>1</v>
      </c>
      <c r="H46" s="105"/>
      <c r="I46" s="112"/>
      <c r="J46" s="114"/>
      <c r="K46" s="114"/>
      <c r="L46" s="114"/>
      <c r="M46" s="115"/>
      <c r="N46" s="112"/>
      <c r="O46" s="112"/>
    </row>
    <row r="47" spans="2:15" outlineLevel="1">
      <c r="B47" s="105"/>
      <c r="C47" s="192" t="s">
        <v>210</v>
      </c>
      <c r="D47" s="193"/>
      <c r="E47" s="193"/>
      <c r="F47" s="194"/>
      <c r="G47" s="113">
        <v>4</v>
      </c>
      <c r="H47" s="105"/>
      <c r="I47" s="112"/>
      <c r="J47" s="114"/>
      <c r="K47" s="114"/>
      <c r="L47" s="114"/>
      <c r="M47" s="115"/>
      <c r="N47" s="112"/>
      <c r="O47" s="112"/>
    </row>
    <row r="48" spans="2:15" outlineLevel="1">
      <c r="B48" s="105"/>
      <c r="C48" s="192" t="s">
        <v>211</v>
      </c>
      <c r="D48" s="193"/>
      <c r="E48" s="193"/>
      <c r="F48" s="194"/>
      <c r="G48" s="113">
        <v>5</v>
      </c>
      <c r="H48" s="105"/>
      <c r="I48" s="112"/>
      <c r="J48" s="114"/>
      <c r="K48" s="114"/>
      <c r="L48" s="114"/>
      <c r="M48" s="115"/>
      <c r="N48" s="112"/>
      <c r="O48" s="112"/>
    </row>
    <row r="49" spans="1:15" outlineLevel="1">
      <c r="B49" s="105"/>
      <c r="C49" s="192" t="s">
        <v>148</v>
      </c>
      <c r="D49" s="193"/>
      <c r="E49" s="193"/>
      <c r="F49" s="194"/>
      <c r="G49" s="113">
        <v>2</v>
      </c>
      <c r="H49" s="105"/>
      <c r="I49" s="112"/>
      <c r="J49" s="112"/>
      <c r="K49" s="112"/>
      <c r="L49" s="112"/>
      <c r="M49" s="116"/>
      <c r="N49" s="112"/>
      <c r="O49" s="112"/>
    </row>
    <row r="50" spans="1:15" outlineLevel="1">
      <c r="B50" s="105"/>
      <c r="C50" s="192" t="s">
        <v>212</v>
      </c>
      <c r="D50" s="193"/>
      <c r="E50" s="193"/>
      <c r="F50" s="194"/>
      <c r="G50" s="113">
        <v>1</v>
      </c>
      <c r="H50" s="105"/>
      <c r="I50" s="112"/>
      <c r="J50" s="112"/>
      <c r="K50" s="112"/>
      <c r="L50" s="112"/>
      <c r="M50" s="116"/>
      <c r="N50" s="112"/>
      <c r="O50" s="112"/>
    </row>
    <row r="51" spans="1:15" outlineLevel="1">
      <c r="B51" s="105"/>
      <c r="C51" s="105"/>
      <c r="D51" s="105"/>
      <c r="E51" s="117" t="s">
        <v>193</v>
      </c>
      <c r="F51" s="117"/>
      <c r="G51" s="104">
        <f>SUM(G43:G50)</f>
        <v>22</v>
      </c>
      <c r="H51" s="105"/>
      <c r="I51" s="112"/>
      <c r="J51" s="112"/>
      <c r="K51" s="112"/>
      <c r="L51" s="112"/>
      <c r="M51" s="116"/>
      <c r="N51" s="112"/>
      <c r="O51" s="112"/>
    </row>
    <row r="52" spans="1:15">
      <c r="A52" s="85"/>
      <c r="B52" s="85"/>
      <c r="C52" s="85"/>
      <c r="D52" s="85"/>
      <c r="E52" s="85"/>
      <c r="F52" s="85"/>
      <c r="G52" s="85"/>
      <c r="H52" s="85"/>
      <c r="I52" s="112"/>
      <c r="J52" s="112"/>
      <c r="K52" s="112"/>
      <c r="L52" s="112"/>
      <c r="M52" s="116"/>
      <c r="N52" s="112"/>
      <c r="O52" s="112"/>
    </row>
    <row r="53" spans="1:15">
      <c r="I53" s="112"/>
      <c r="J53" s="112"/>
      <c r="K53" s="112"/>
      <c r="L53" s="112"/>
      <c r="M53" s="112"/>
      <c r="N53" s="112"/>
      <c r="O53" s="112"/>
    </row>
    <row r="54" spans="1:15">
      <c r="B54" s="118"/>
      <c r="C54" s="118"/>
      <c r="D54" s="118"/>
      <c r="E54" s="118"/>
      <c r="F54" s="118"/>
      <c r="G54" s="118"/>
      <c r="H54" s="118"/>
      <c r="I54" s="112"/>
      <c r="J54" s="112"/>
      <c r="K54" s="112"/>
      <c r="L54" s="112"/>
      <c r="M54" s="112"/>
      <c r="N54" s="112"/>
      <c r="O54" s="112"/>
    </row>
    <row r="55" spans="1:15" ht="41.4" customHeight="1">
      <c r="B55" s="119">
        <v>3</v>
      </c>
      <c r="C55" s="218" t="s">
        <v>213</v>
      </c>
      <c r="D55" s="219"/>
      <c r="E55" s="219"/>
      <c r="F55" s="219"/>
      <c r="G55" s="219"/>
      <c r="H55" s="118"/>
      <c r="I55" s="112"/>
      <c r="J55" s="112"/>
      <c r="K55" s="112"/>
      <c r="L55" s="112"/>
      <c r="M55" s="112"/>
      <c r="N55" s="112"/>
      <c r="O55" s="112"/>
    </row>
    <row r="56" spans="1:15">
      <c r="B56" s="118"/>
      <c r="C56" s="120"/>
      <c r="D56" s="120"/>
      <c r="E56" s="121"/>
      <c r="F56" s="121"/>
      <c r="G56" s="118"/>
      <c r="H56" s="118"/>
    </row>
    <row r="57" spans="1:15" ht="34.200000000000003" outlineLevel="1">
      <c r="B57" s="118"/>
      <c r="C57" s="183" t="s">
        <v>179</v>
      </c>
      <c r="D57" s="184"/>
      <c r="E57" s="91" t="s">
        <v>180</v>
      </c>
      <c r="F57" s="92" t="s">
        <v>181</v>
      </c>
      <c r="G57" s="91" t="s">
        <v>182</v>
      </c>
      <c r="H57" s="118"/>
    </row>
    <row r="58" spans="1:15" ht="40.200000000000003" customHeight="1" outlineLevel="1">
      <c r="B58" s="118"/>
      <c r="C58" s="207" t="s">
        <v>214</v>
      </c>
      <c r="D58" s="208"/>
      <c r="E58" s="208"/>
      <c r="F58" s="208"/>
      <c r="G58" s="209"/>
      <c r="H58" s="118"/>
    </row>
    <row r="59" spans="1:15" outlineLevel="1">
      <c r="B59" s="118"/>
      <c r="C59" s="210" t="s">
        <v>215</v>
      </c>
      <c r="D59" s="217"/>
      <c r="E59" s="93">
        <v>1</v>
      </c>
      <c r="F59" s="94">
        <v>1</v>
      </c>
      <c r="G59" s="95">
        <f>E59*F59*G$82</f>
        <v>22</v>
      </c>
      <c r="H59" s="118"/>
    </row>
    <row r="60" spans="1:15" outlineLevel="1">
      <c r="B60" s="118"/>
      <c r="C60" s="220" t="s">
        <v>216</v>
      </c>
      <c r="D60" s="221"/>
      <c r="E60" s="93">
        <v>0</v>
      </c>
      <c r="F60" s="94">
        <v>0</v>
      </c>
      <c r="G60" s="95">
        <f>E60*F60*G$82</f>
        <v>0</v>
      </c>
      <c r="H60" s="118"/>
    </row>
    <row r="61" spans="1:15" outlineLevel="1">
      <c r="B61" s="118"/>
      <c r="C61" s="220" t="s">
        <v>217</v>
      </c>
      <c r="D61" s="221"/>
      <c r="E61" s="93">
        <v>1</v>
      </c>
      <c r="F61" s="94">
        <v>0.2</v>
      </c>
      <c r="G61" s="95">
        <f>E61*F61*G$82</f>
        <v>4.4000000000000004</v>
      </c>
      <c r="H61" s="118"/>
    </row>
    <row r="62" spans="1:15" outlineLevel="1">
      <c r="B62" s="118"/>
      <c r="C62" s="220" t="s">
        <v>218</v>
      </c>
      <c r="D62" s="221"/>
      <c r="E62" s="93">
        <v>0</v>
      </c>
      <c r="F62" s="94">
        <v>0.4</v>
      </c>
      <c r="G62" s="95">
        <f>E62*F62*G$82</f>
        <v>0</v>
      </c>
      <c r="H62" s="118"/>
    </row>
    <row r="63" spans="1:15" ht="11.4" customHeight="1" outlineLevel="1">
      <c r="B63" s="118"/>
      <c r="C63" s="210"/>
      <c r="D63" s="217"/>
      <c r="E63" s="93"/>
      <c r="F63" s="94"/>
      <c r="G63" s="95"/>
      <c r="H63" s="118"/>
    </row>
    <row r="64" spans="1:15" ht="18.600000000000001" customHeight="1" outlineLevel="1">
      <c r="B64" s="118"/>
      <c r="C64" s="199" t="s">
        <v>219</v>
      </c>
      <c r="D64" s="200"/>
      <c r="E64" s="200"/>
      <c r="F64" s="200"/>
      <c r="G64" s="110">
        <f>SUM(G59:G63)</f>
        <v>26.4</v>
      </c>
      <c r="H64" s="118"/>
      <c r="I64" s="122" t="s">
        <v>220</v>
      </c>
    </row>
    <row r="65" spans="2:9" outlineLevel="1">
      <c r="B65" s="118"/>
      <c r="C65" s="201" t="s">
        <v>221</v>
      </c>
      <c r="D65" s="202"/>
      <c r="E65" s="202"/>
      <c r="F65" s="202"/>
      <c r="G65" s="203"/>
      <c r="H65" s="118"/>
    </row>
    <row r="66" spans="2:9" ht="32.4" customHeight="1" outlineLevel="1">
      <c r="B66" s="118"/>
      <c r="C66" s="204"/>
      <c r="D66" s="205"/>
      <c r="E66" s="205"/>
      <c r="F66" s="205"/>
      <c r="G66" s="206"/>
      <c r="H66" s="118"/>
    </row>
    <row r="67" spans="2:9" ht="34.799999999999997" customHeight="1" outlineLevel="1">
      <c r="B67" s="118"/>
      <c r="C67" s="207" t="s">
        <v>222</v>
      </c>
      <c r="D67" s="208"/>
      <c r="E67" s="208"/>
      <c r="F67" s="208"/>
      <c r="G67" s="209"/>
      <c r="H67" s="118"/>
    </row>
    <row r="68" spans="2:9" ht="24" customHeight="1" outlineLevel="1">
      <c r="B68" s="118"/>
      <c r="C68" s="210" t="s">
        <v>223</v>
      </c>
      <c r="D68" s="210"/>
      <c r="E68" s="93">
        <v>1</v>
      </c>
      <c r="F68" s="94">
        <v>0.5</v>
      </c>
      <c r="G68" s="95">
        <f>G$82*E68*F68</f>
        <v>11</v>
      </c>
      <c r="H68" s="118"/>
    </row>
    <row r="69" spans="2:9" ht="16.8" customHeight="1" outlineLevel="1">
      <c r="B69" s="118"/>
      <c r="C69" s="210" t="s">
        <v>224</v>
      </c>
      <c r="D69" s="210"/>
      <c r="E69" s="93">
        <v>1</v>
      </c>
      <c r="F69" s="94">
        <v>0.8</v>
      </c>
      <c r="G69" s="95">
        <f>G$82*E69*F69</f>
        <v>17.600000000000001</v>
      </c>
      <c r="H69" s="118"/>
    </row>
    <row r="70" spans="2:9" ht="39.6" customHeight="1" outlineLevel="1">
      <c r="B70" s="118"/>
      <c r="C70" s="211" t="s">
        <v>225</v>
      </c>
      <c r="D70" s="211"/>
      <c r="E70" s="93">
        <v>1</v>
      </c>
      <c r="F70" s="94">
        <v>1.5</v>
      </c>
      <c r="G70" s="95">
        <f>G$82*E70*F70</f>
        <v>33</v>
      </c>
      <c r="H70" s="118"/>
    </row>
    <row r="71" spans="2:9" outlineLevel="1">
      <c r="B71" s="118"/>
      <c r="C71" s="210" t="s">
        <v>226</v>
      </c>
      <c r="D71" s="210"/>
      <c r="E71" s="93"/>
      <c r="F71" s="94"/>
      <c r="G71" s="109">
        <f>G87</f>
        <v>15</v>
      </c>
      <c r="H71" s="118"/>
      <c r="I71" s="86" t="s">
        <v>227</v>
      </c>
    </row>
    <row r="72" spans="2:9" outlineLevel="1">
      <c r="B72" s="118"/>
      <c r="C72" s="199" t="s">
        <v>228</v>
      </c>
      <c r="D72" s="200"/>
      <c r="E72" s="200"/>
      <c r="F72" s="200"/>
      <c r="G72" s="111">
        <f>SUM(G68:G71)</f>
        <v>76.599999999999994</v>
      </c>
      <c r="H72" s="118"/>
    </row>
    <row r="73" spans="2:9" ht="47.4" customHeight="1" outlineLevel="1">
      <c r="B73" s="118"/>
      <c r="C73" s="212" t="s">
        <v>229</v>
      </c>
      <c r="D73" s="213"/>
      <c r="E73" s="213"/>
      <c r="F73" s="213"/>
      <c r="G73" s="214"/>
      <c r="H73" s="118"/>
    </row>
    <row r="74" spans="2:9" ht="41.4" customHeight="1" outlineLevel="1">
      <c r="B74" s="118"/>
      <c r="C74" s="215" t="s">
        <v>188</v>
      </c>
      <c r="D74" s="215"/>
      <c r="E74" s="215"/>
      <c r="F74" s="215"/>
      <c r="G74" s="215"/>
      <c r="H74" s="118"/>
    </row>
    <row r="75" spans="2:9" outlineLevel="1">
      <c r="B75" s="118"/>
      <c r="C75" s="216" t="s">
        <v>208</v>
      </c>
      <c r="D75" s="216"/>
      <c r="E75" s="216"/>
      <c r="F75" s="216"/>
      <c r="G75" s="216"/>
      <c r="H75" s="118"/>
    </row>
    <row r="76" spans="2:9" outlineLevel="1">
      <c r="B76" s="118"/>
      <c r="C76" s="196" t="s">
        <v>190</v>
      </c>
      <c r="D76" s="197"/>
      <c r="E76" s="197"/>
      <c r="F76" s="198"/>
      <c r="G76" s="101" t="s">
        <v>191</v>
      </c>
      <c r="H76" s="118"/>
    </row>
    <row r="77" spans="2:9" outlineLevel="1">
      <c r="B77" s="118"/>
      <c r="C77" s="192" t="s">
        <v>156</v>
      </c>
      <c r="D77" s="193"/>
      <c r="E77" s="193"/>
      <c r="F77" s="194"/>
      <c r="G77" s="113">
        <v>3</v>
      </c>
      <c r="H77" s="118"/>
    </row>
    <row r="78" spans="2:9" outlineLevel="1">
      <c r="B78" s="118"/>
      <c r="C78" s="192" t="s">
        <v>230</v>
      </c>
      <c r="D78" s="193"/>
      <c r="E78" s="193"/>
      <c r="F78" s="194"/>
      <c r="G78" s="113">
        <v>5</v>
      </c>
      <c r="H78" s="118"/>
    </row>
    <row r="79" spans="2:9" outlineLevel="1">
      <c r="B79" s="118"/>
      <c r="C79" s="192" t="s">
        <v>231</v>
      </c>
      <c r="D79" s="193"/>
      <c r="E79" s="193"/>
      <c r="F79" s="194"/>
      <c r="G79" s="113">
        <v>5</v>
      </c>
      <c r="H79" s="118"/>
    </row>
    <row r="80" spans="2:9" outlineLevel="1">
      <c r="B80" s="118"/>
      <c r="C80" s="192" t="s">
        <v>159</v>
      </c>
      <c r="D80" s="193"/>
      <c r="E80" s="193"/>
      <c r="F80" s="194"/>
      <c r="G80" s="113">
        <v>5</v>
      </c>
      <c r="H80" s="118"/>
    </row>
    <row r="81" spans="1:8" outlineLevel="1">
      <c r="B81" s="118"/>
      <c r="C81" s="192" t="s">
        <v>232</v>
      </c>
      <c r="D81" s="193"/>
      <c r="E81" s="193"/>
      <c r="F81" s="194"/>
      <c r="G81" s="113">
        <v>4</v>
      </c>
      <c r="H81" s="118"/>
    </row>
    <row r="82" spans="1:8" ht="16.2" customHeight="1" outlineLevel="1">
      <c r="B82" s="118"/>
      <c r="C82" s="118"/>
      <c r="D82" s="118"/>
      <c r="E82" s="123" t="s">
        <v>193</v>
      </c>
      <c r="F82" s="123"/>
      <c r="G82" s="104">
        <f>SUM(G77:G81)</f>
        <v>22</v>
      </c>
      <c r="H82" s="118"/>
    </row>
    <row r="83" spans="1:8" s="124" customFormat="1" ht="18.600000000000001" customHeight="1" outlineLevel="1">
      <c r="E83" s="125"/>
      <c r="F83" s="125"/>
      <c r="G83" s="125"/>
    </row>
    <row r="84" spans="1:8" ht="27" customHeight="1" outlineLevel="1">
      <c r="B84" s="118"/>
      <c r="C84" s="195" t="s">
        <v>233</v>
      </c>
      <c r="D84" s="195"/>
      <c r="E84" s="195"/>
      <c r="F84" s="195"/>
      <c r="G84" s="195"/>
      <c r="H84" s="118"/>
    </row>
    <row r="85" spans="1:8" outlineLevel="1">
      <c r="B85" s="118"/>
      <c r="C85" s="118"/>
      <c r="D85" s="118"/>
      <c r="E85" s="118"/>
      <c r="F85" s="118"/>
      <c r="G85" s="118"/>
      <c r="H85" s="118"/>
    </row>
    <row r="86" spans="1:8" ht="24" outlineLevel="1">
      <c r="B86" s="118"/>
      <c r="C86" s="183" t="s">
        <v>179</v>
      </c>
      <c r="D86" s="184"/>
      <c r="E86" s="91" t="s">
        <v>180</v>
      </c>
      <c r="F86" s="92" t="s">
        <v>234</v>
      </c>
      <c r="G86" s="91" t="s">
        <v>182</v>
      </c>
      <c r="H86" s="118"/>
    </row>
    <row r="87" spans="1:8" ht="21.6" customHeight="1" outlineLevel="1">
      <c r="B87" s="118"/>
      <c r="C87" s="185" t="s">
        <v>235</v>
      </c>
      <c r="D87" s="186"/>
      <c r="E87" s="126">
        <v>5</v>
      </c>
      <c r="F87" s="126">
        <v>3</v>
      </c>
      <c r="G87" s="127">
        <f>E87*F87</f>
        <v>15</v>
      </c>
      <c r="H87" s="118"/>
    </row>
    <row r="88" spans="1:8" outlineLevel="1">
      <c r="B88" s="118"/>
      <c r="C88" s="187"/>
      <c r="D88" s="188"/>
      <c r="E88" s="126"/>
      <c r="F88" s="126"/>
      <c r="G88" s="127"/>
      <c r="H88" s="118"/>
    </row>
    <row r="89" spans="1:8" outlineLevel="1">
      <c r="B89" s="118"/>
      <c r="C89" s="128"/>
      <c r="D89" s="128"/>
      <c r="E89" s="129"/>
      <c r="F89" s="129"/>
      <c r="G89" s="130"/>
      <c r="H89" s="118"/>
    </row>
    <row r="90" spans="1:8" outlineLevel="1">
      <c r="B90" s="118"/>
      <c r="C90" s="118"/>
      <c r="D90" s="118"/>
      <c r="E90" s="118"/>
      <c r="F90" s="118"/>
      <c r="G90" s="118"/>
      <c r="H90" s="118"/>
    </row>
    <row r="91" spans="1:8" outlineLevel="1">
      <c r="B91" s="118"/>
      <c r="C91" s="189" t="s">
        <v>236</v>
      </c>
      <c r="D91" s="190"/>
      <c r="E91" s="191"/>
      <c r="F91" s="131"/>
      <c r="G91" s="132">
        <f>G72</f>
        <v>76.599999999999994</v>
      </c>
      <c r="H91" s="118"/>
    </row>
    <row r="92" spans="1:8" outlineLevel="1">
      <c r="B92" s="118"/>
      <c r="C92" s="118"/>
      <c r="D92" s="118"/>
      <c r="E92" s="118"/>
      <c r="F92" s="118"/>
      <c r="G92" s="118"/>
      <c r="H92" s="118"/>
    </row>
    <row r="93" spans="1:8" outlineLevel="1">
      <c r="B93" s="118"/>
      <c r="C93" s="118"/>
      <c r="D93" s="118"/>
      <c r="E93" s="118"/>
      <c r="F93" s="118"/>
      <c r="G93" s="118"/>
      <c r="H93" s="118"/>
    </row>
    <row r="94" spans="1:8">
      <c r="A94" s="85"/>
      <c r="B94" s="85"/>
      <c r="C94" s="85"/>
      <c r="D94" s="85"/>
      <c r="E94" s="85"/>
      <c r="F94" s="85"/>
      <c r="G94" s="85"/>
      <c r="H94" s="85"/>
    </row>
  </sheetData>
  <mergeCells count="70">
    <mergeCell ref="C16:F16"/>
    <mergeCell ref="C3:G3"/>
    <mergeCell ref="C5:D5"/>
    <mergeCell ref="C6:D6"/>
    <mergeCell ref="C7:D7"/>
    <mergeCell ref="C9:D9"/>
    <mergeCell ref="C10:F10"/>
    <mergeCell ref="C11:G11"/>
    <mergeCell ref="C12:G12"/>
    <mergeCell ref="C13:F13"/>
    <mergeCell ref="C14:F14"/>
    <mergeCell ref="C15:F15"/>
    <mergeCell ref="C34:G34"/>
    <mergeCell ref="C17:F17"/>
    <mergeCell ref="C18:F18"/>
    <mergeCell ref="C19:F19"/>
    <mergeCell ref="C20:F20"/>
    <mergeCell ref="C25:G25"/>
    <mergeCell ref="C27:D27"/>
    <mergeCell ref="C28:G28"/>
    <mergeCell ref="C29:D29"/>
    <mergeCell ref="C30:D30"/>
    <mergeCell ref="C31:F31"/>
    <mergeCell ref="C32:G33"/>
    <mergeCell ref="C46:F46"/>
    <mergeCell ref="C35:D35"/>
    <mergeCell ref="C36:D36"/>
    <mergeCell ref="C37:D37"/>
    <mergeCell ref="C38:F38"/>
    <mergeCell ref="C39:G39"/>
    <mergeCell ref="C40:G40"/>
    <mergeCell ref="C41:G41"/>
    <mergeCell ref="C42:F42"/>
    <mergeCell ref="C43:F43"/>
    <mergeCell ref="C44:F44"/>
    <mergeCell ref="C45:F45"/>
    <mergeCell ref="C63:D63"/>
    <mergeCell ref="C47:F47"/>
    <mergeCell ref="C48:F48"/>
    <mergeCell ref="C49:F49"/>
    <mergeCell ref="C50:F50"/>
    <mergeCell ref="C55:G55"/>
    <mergeCell ref="C57:D57"/>
    <mergeCell ref="C58:G58"/>
    <mergeCell ref="C59:D59"/>
    <mergeCell ref="C60:D60"/>
    <mergeCell ref="C61:D61"/>
    <mergeCell ref="C62:D62"/>
    <mergeCell ref="C76:F76"/>
    <mergeCell ref="C64:F64"/>
    <mergeCell ref="C65:G66"/>
    <mergeCell ref="C67:G67"/>
    <mergeCell ref="C68:D68"/>
    <mergeCell ref="C69:D69"/>
    <mergeCell ref="C70:D70"/>
    <mergeCell ref="C71:D71"/>
    <mergeCell ref="C72:F72"/>
    <mergeCell ref="C73:G73"/>
    <mergeCell ref="C74:G74"/>
    <mergeCell ref="C75:G75"/>
    <mergeCell ref="C86:D86"/>
    <mergeCell ref="C87:D87"/>
    <mergeCell ref="C88:D88"/>
    <mergeCell ref="C91:E91"/>
    <mergeCell ref="C77:F77"/>
    <mergeCell ref="C78:F78"/>
    <mergeCell ref="C79:F79"/>
    <mergeCell ref="C80:F80"/>
    <mergeCell ref="C81:F81"/>
    <mergeCell ref="C84:G8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L22"/>
  <sheetViews>
    <sheetView workbookViewId="0">
      <selection activeCell="C13" sqref="C13"/>
    </sheetView>
  </sheetViews>
  <sheetFormatPr defaultColWidth="12.6640625" defaultRowHeight="15.75" customHeight="1" outlineLevelCol="1"/>
  <cols>
    <col min="1" max="1" width="3.33203125" customWidth="1"/>
    <col min="2" max="2" width="76.109375" customWidth="1"/>
    <col min="3" max="3" width="16.21875" customWidth="1"/>
    <col min="4" max="4" width="3.21875" customWidth="1"/>
    <col min="5" max="6" width="12.77734375" customWidth="1" outlineLevel="1"/>
    <col min="7" max="7" width="11.77734375" customWidth="1" outlineLevel="1"/>
    <col min="8" max="8" width="9.109375" customWidth="1" outlineLevel="1"/>
    <col min="9" max="12" width="12.6640625" outlineLevel="1"/>
  </cols>
  <sheetData>
    <row r="1" spans="1:12" ht="13.2">
      <c r="A1" s="239"/>
      <c r="B1" s="239" t="s">
        <v>0</v>
      </c>
      <c r="C1" s="240"/>
      <c r="D1" s="239"/>
      <c r="E1" s="2"/>
      <c r="F1" s="3"/>
      <c r="G1" s="4"/>
      <c r="H1" s="4"/>
      <c r="I1" s="4"/>
      <c r="J1" s="4"/>
      <c r="K1" s="4"/>
      <c r="L1" s="4"/>
    </row>
    <row r="2" spans="1:12" ht="13.2">
      <c r="A2" s="240"/>
      <c r="B2" s="1" t="s">
        <v>1</v>
      </c>
      <c r="C2" s="1" t="s">
        <v>2</v>
      </c>
      <c r="D2" s="240"/>
      <c r="E2" s="2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</row>
    <row r="3" spans="1:12" ht="13.2">
      <c r="A3" s="240"/>
      <c r="B3" s="6" t="s">
        <v>177</v>
      </c>
      <c r="C3" s="7" t="s">
        <v>11</v>
      </c>
      <c r="D3" s="240"/>
      <c r="E3" s="8">
        <f>IF(C3="Нет", G3, IF(C3="Да", H3, ""))</f>
        <v>1</v>
      </c>
      <c r="F3" s="9"/>
      <c r="G3" s="9">
        <v>1</v>
      </c>
      <c r="H3" s="9">
        <v>0.75</v>
      </c>
      <c r="I3" s="10"/>
      <c r="J3" s="10"/>
      <c r="K3" s="10"/>
      <c r="L3" s="10"/>
    </row>
    <row r="4" spans="1:12" ht="13.2">
      <c r="A4" s="240"/>
      <c r="B4" s="145" t="s">
        <v>12</v>
      </c>
      <c r="C4" s="7" t="s">
        <v>108</v>
      </c>
      <c r="D4" s="240"/>
      <c r="E4" s="8">
        <f>IF(C4="Неизвестно",F4,IF(C4="Низкая",G4,IF(C4="Средняя",H4,IF(C4="Высокая",I4,""))))</f>
        <v>1</v>
      </c>
      <c r="F4" s="9">
        <v>1.25</v>
      </c>
      <c r="G4" s="9">
        <v>0.75</v>
      </c>
      <c r="H4" s="9">
        <v>1</v>
      </c>
      <c r="I4" s="9">
        <v>1.5</v>
      </c>
      <c r="J4" s="10"/>
      <c r="K4" s="10"/>
      <c r="L4" s="10"/>
    </row>
    <row r="5" spans="1:12" ht="50.4" customHeight="1">
      <c r="A5" s="240"/>
      <c r="B5" s="146" t="s">
        <v>14</v>
      </c>
      <c r="C5" s="7" t="s">
        <v>121</v>
      </c>
      <c r="D5" s="240"/>
      <c r="E5" s="8">
        <f>IF(C5="Неизвестно",F5,IF(C5="Точечное",G5,IF(C5="Малое",H5,IF(C5="Среднее",I5,IF(C5="Крупное",J5,IF(C5="Большое",K5,IF(C5="Масштабное",L5,"")))))))</f>
        <v>1</v>
      </c>
      <c r="F5" s="9">
        <v>1.25</v>
      </c>
      <c r="G5" s="9">
        <v>0.5</v>
      </c>
      <c r="H5" s="9">
        <v>0.75</v>
      </c>
      <c r="I5" s="9">
        <v>1</v>
      </c>
      <c r="J5" s="9">
        <v>1.25</v>
      </c>
      <c r="K5" s="9">
        <v>1.5</v>
      </c>
      <c r="L5" s="9">
        <v>1.75</v>
      </c>
    </row>
    <row r="6" spans="1:12" ht="13.2">
      <c r="A6" s="240"/>
      <c r="B6" s="145" t="s">
        <v>16</v>
      </c>
      <c r="C6" s="7" t="s">
        <v>60</v>
      </c>
      <c r="D6" s="240"/>
      <c r="E6" s="8">
        <f>IF(C6="Неизвестно",F6,IF(C6="Низкая",G6,IF(C6="Средняя",H6,IF(C6="Высокая",I6,""))))</f>
        <v>1</v>
      </c>
      <c r="F6" s="9">
        <v>1</v>
      </c>
      <c r="G6" s="9">
        <v>1.5</v>
      </c>
      <c r="H6" s="9">
        <v>1.25</v>
      </c>
      <c r="I6" s="9">
        <v>0.75</v>
      </c>
      <c r="J6" s="10"/>
      <c r="K6" s="10"/>
      <c r="L6" s="10"/>
    </row>
    <row r="7" spans="1:12" ht="13.2">
      <c r="A7" s="240"/>
      <c r="B7" s="6" t="s">
        <v>17</v>
      </c>
      <c r="C7" s="7" t="s">
        <v>60</v>
      </c>
      <c r="D7" s="240"/>
      <c r="E7" s="8">
        <f t="shared" ref="E7:E11" si="0">IF(C7="Неизвестно",F7,IF(C7="Да",G7,IF(C7="Нет",H7,"")))</f>
        <v>1</v>
      </c>
      <c r="F7" s="9">
        <v>1</v>
      </c>
      <c r="G7" s="9">
        <v>0.75</v>
      </c>
      <c r="H7" s="9">
        <v>1.25</v>
      </c>
      <c r="I7" s="9"/>
      <c r="J7" s="10"/>
      <c r="K7" s="10"/>
      <c r="L7" s="10"/>
    </row>
    <row r="8" spans="1:12" ht="13.2">
      <c r="A8" s="240"/>
      <c r="B8" s="6" t="s">
        <v>19</v>
      </c>
      <c r="C8" s="7" t="s">
        <v>60</v>
      </c>
      <c r="D8" s="240"/>
      <c r="E8" s="8">
        <f t="shared" si="0"/>
        <v>1</v>
      </c>
      <c r="F8" s="9">
        <v>1</v>
      </c>
      <c r="G8" s="9">
        <v>0.75</v>
      </c>
      <c r="H8" s="9">
        <v>1.25</v>
      </c>
      <c r="I8" s="10"/>
      <c r="J8" s="10"/>
      <c r="K8" s="10"/>
      <c r="L8" s="10"/>
    </row>
    <row r="9" spans="1:12" ht="13.2">
      <c r="A9" s="240"/>
      <c r="B9" s="145" t="s">
        <v>20</v>
      </c>
      <c r="C9" s="7" t="s">
        <v>60</v>
      </c>
      <c r="D9" s="240"/>
      <c r="E9" s="8">
        <f t="shared" si="0"/>
        <v>1</v>
      </c>
      <c r="F9" s="9">
        <v>1</v>
      </c>
      <c r="G9" s="9">
        <v>1.25</v>
      </c>
      <c r="H9" s="9">
        <v>0</v>
      </c>
      <c r="I9" s="10"/>
      <c r="J9" s="10"/>
      <c r="K9" s="10"/>
      <c r="L9" s="10"/>
    </row>
    <row r="10" spans="1:12" ht="13.2">
      <c r="A10" s="240"/>
      <c r="B10" s="145" t="s">
        <v>21</v>
      </c>
      <c r="C10" s="7" t="s">
        <v>60</v>
      </c>
      <c r="D10" s="240"/>
      <c r="E10" s="8">
        <f t="shared" si="0"/>
        <v>1</v>
      </c>
      <c r="F10" s="9">
        <v>1</v>
      </c>
      <c r="G10" s="9">
        <v>0.75</v>
      </c>
      <c r="H10" s="9">
        <v>1.25</v>
      </c>
      <c r="I10" s="10"/>
      <c r="J10" s="10"/>
      <c r="K10" s="10"/>
      <c r="L10" s="10"/>
    </row>
    <row r="11" spans="1:12" ht="13.2">
      <c r="A11" s="240"/>
      <c r="B11" s="145" t="s">
        <v>22</v>
      </c>
      <c r="C11" s="7" t="s">
        <v>60</v>
      </c>
      <c r="D11" s="240"/>
      <c r="E11" s="8">
        <f t="shared" si="0"/>
        <v>1</v>
      </c>
      <c r="F11" s="9">
        <v>1</v>
      </c>
      <c r="G11" s="9">
        <v>1.25</v>
      </c>
      <c r="H11" s="9">
        <v>0</v>
      </c>
      <c r="I11" s="10"/>
      <c r="J11" s="10"/>
      <c r="K11" s="10"/>
      <c r="L11" s="10"/>
    </row>
    <row r="12" spans="1:12" ht="13.2">
      <c r="A12" s="240"/>
      <c r="B12" s="12" t="s">
        <v>23</v>
      </c>
      <c r="C12" s="1" t="s">
        <v>24</v>
      </c>
      <c r="D12" s="240"/>
      <c r="E12" s="13"/>
      <c r="F12" s="5" t="s">
        <v>25</v>
      </c>
      <c r="G12" s="5" t="s">
        <v>26</v>
      </c>
      <c r="H12" s="3"/>
      <c r="I12" s="4"/>
      <c r="J12" s="4"/>
      <c r="K12" s="4"/>
      <c r="L12" s="4"/>
    </row>
    <row r="13" spans="1:12" ht="13.2">
      <c r="A13" s="240"/>
      <c r="B13" s="157" t="s">
        <v>27</v>
      </c>
      <c r="C13" s="15">
        <f>CEILING((F13*(1+G13*E$4*E$5*E$6*E$7*E$8))*(E$3),0.1)</f>
        <v>0.70000000000000007</v>
      </c>
      <c r="D13" s="240"/>
      <c r="E13" s="8"/>
      <c r="F13" s="9">
        <v>0.5</v>
      </c>
      <c r="G13" s="9">
        <v>0.31</v>
      </c>
      <c r="H13" s="9"/>
      <c r="I13" s="10"/>
      <c r="J13" s="10"/>
      <c r="K13" s="10"/>
      <c r="L13" s="10"/>
    </row>
    <row r="14" spans="1:12" ht="13.2">
      <c r="A14" s="240"/>
      <c r="B14" s="157" t="s">
        <v>28</v>
      </c>
      <c r="C14" s="15">
        <f>CEILING((F14*(1+G14*(E$3*E$4*E$5*E$6*E$7*E$8+E$9*E$10+E$11))),0.1)</f>
        <v>1</v>
      </c>
      <c r="D14" s="240"/>
      <c r="E14" s="8"/>
      <c r="F14" s="9">
        <v>0.5</v>
      </c>
      <c r="G14" s="9">
        <v>0.33</v>
      </c>
      <c r="H14" s="9"/>
      <c r="I14" s="10"/>
      <c r="J14" s="10"/>
      <c r="K14" s="10"/>
      <c r="L14" s="10"/>
    </row>
    <row r="15" spans="1:12" ht="13.2">
      <c r="A15" s="240"/>
      <c r="B15" s="14" t="s">
        <v>29</v>
      </c>
      <c r="C15" s="15">
        <f>CEILING((F15*(1+G15*(E$4*E$5*E$6*E$7*E$8+E$11))*(E$3)),0.1)</f>
        <v>0.9</v>
      </c>
      <c r="D15" s="240"/>
      <c r="E15" s="8"/>
      <c r="F15" s="9">
        <v>0.5</v>
      </c>
      <c r="G15" s="9">
        <v>0.4</v>
      </c>
      <c r="H15" s="9"/>
      <c r="I15" s="10"/>
      <c r="J15" s="10"/>
      <c r="K15" s="10"/>
      <c r="L15" s="10"/>
    </row>
    <row r="16" spans="1:12" ht="13.2">
      <c r="A16" s="240"/>
      <c r="B16" s="14" t="s">
        <v>30</v>
      </c>
      <c r="C16" s="15">
        <f>CEILING((F16*(1+G16*(E$3*E$4*E$6*E$8+E$9*E$10+E$11))*(E5*E7)),0.1)</f>
        <v>2.7</v>
      </c>
      <c r="D16" s="240"/>
      <c r="E16" s="8"/>
      <c r="F16" s="9">
        <v>1</v>
      </c>
      <c r="G16" s="9">
        <v>0.55000000000000004</v>
      </c>
      <c r="H16" s="9"/>
      <c r="I16" s="10"/>
      <c r="J16" s="10"/>
      <c r="K16" s="10"/>
      <c r="L16" s="10"/>
    </row>
    <row r="17" spans="1:12" ht="13.2">
      <c r="A17" s="240"/>
      <c r="B17" s="14" t="s">
        <v>31</v>
      </c>
      <c r="C17" s="15">
        <f>CEILING((F17*(1+G17*(E$3*E$4*E$5+E$11))*(E$9*E$10)),0.1)</f>
        <v>0.60000000000000009</v>
      </c>
      <c r="D17" s="240"/>
      <c r="E17" s="8"/>
      <c r="F17" s="9">
        <v>0.5</v>
      </c>
      <c r="G17" s="9">
        <v>7.0000000000000007E-2</v>
      </c>
      <c r="H17" s="9"/>
      <c r="I17" s="10"/>
      <c r="J17" s="10"/>
      <c r="K17" s="10"/>
      <c r="L17" s="10"/>
    </row>
    <row r="18" spans="1:12" ht="13.2">
      <c r="A18" s="240"/>
      <c r="B18" s="14" t="s">
        <v>32</v>
      </c>
      <c r="C18" s="155">
        <f>CEILING((F18*(1+G18*(E$3*E$4*E$5))*(E$11)),0.1)</f>
        <v>0.70000000000000007</v>
      </c>
      <c r="D18" s="240"/>
      <c r="E18" s="8"/>
      <c r="F18" s="9">
        <v>0.5</v>
      </c>
      <c r="G18" s="9">
        <v>0.25</v>
      </c>
      <c r="H18" s="9"/>
      <c r="I18" s="10"/>
      <c r="J18" s="10"/>
      <c r="K18" s="10"/>
      <c r="L18" s="10"/>
    </row>
    <row r="19" spans="1:12" ht="13.2">
      <c r="A19" s="240"/>
      <c r="B19" s="14" t="s">
        <v>33</v>
      </c>
      <c r="C19" s="15">
        <f>CEILING((F19*(1+G19*(E$3+E$11))*(E$4*E$5)),0.1)</f>
        <v>0.8</v>
      </c>
      <c r="D19" s="240"/>
      <c r="E19" s="8"/>
      <c r="F19" s="9">
        <v>0.5</v>
      </c>
      <c r="G19" s="9">
        <v>0.22</v>
      </c>
      <c r="H19" s="9"/>
      <c r="I19" s="10"/>
      <c r="J19" s="10"/>
      <c r="K19" s="10"/>
      <c r="L19" s="10"/>
    </row>
    <row r="20" spans="1:12" ht="13.2">
      <c r="A20" s="240"/>
      <c r="B20" s="14" t="s">
        <v>34</v>
      </c>
      <c r="C20" s="15">
        <f>CEILING((F20*(1+G20*(E$5+E$9))*(E$3)),0.1)</f>
        <v>1</v>
      </c>
      <c r="D20" s="240"/>
      <c r="E20" s="8"/>
      <c r="F20" s="9">
        <v>0.5</v>
      </c>
      <c r="G20" s="9">
        <v>0.45</v>
      </c>
      <c r="H20" s="9"/>
      <c r="I20" s="10"/>
      <c r="J20" s="10"/>
      <c r="K20" s="10"/>
      <c r="L20" s="10"/>
    </row>
    <row r="21" spans="1:12" ht="13.2">
      <c r="A21" s="240"/>
      <c r="B21" s="241" t="s">
        <v>35</v>
      </c>
      <c r="C21" s="16">
        <f>ROUND(SUM(C13:C20),0)</f>
        <v>8</v>
      </c>
      <c r="D21" s="240"/>
      <c r="E21" s="13"/>
      <c r="F21" s="3"/>
      <c r="G21" s="3"/>
      <c r="H21" s="3"/>
      <c r="I21" s="4"/>
      <c r="J21" s="4"/>
      <c r="K21" s="4"/>
      <c r="L21" s="4"/>
    </row>
    <row r="22" spans="1:12" ht="13.2">
      <c r="A22" s="240"/>
      <c r="B22" s="240"/>
      <c r="C22" s="17">
        <f>C21*Параметры!$B$2</f>
        <v>243200</v>
      </c>
      <c r="D22" s="240"/>
      <c r="E22" s="2"/>
      <c r="F22" s="3"/>
      <c r="G22" s="3"/>
      <c r="H22" s="3"/>
      <c r="I22" s="4"/>
      <c r="J22" s="4"/>
      <c r="K22" s="4"/>
      <c r="L22" s="4"/>
    </row>
  </sheetData>
  <mergeCells count="4">
    <mergeCell ref="A1:A22"/>
    <mergeCell ref="B1:C1"/>
    <mergeCell ref="D1:D22"/>
    <mergeCell ref="B21:B22"/>
  </mergeCells>
  <dataValidations count="6">
    <dataValidation type="list" allowBlank="1" showErrorMessage="1" sqref="C7:C8 C10" xr:uid="{00000000-0002-0000-0100-000000000000}">
      <formula1>"Неизвестно,Да,Нет"</formula1>
    </dataValidation>
    <dataValidation type="list" allowBlank="1" showErrorMessage="1" sqref="C3" xr:uid="{00000000-0002-0000-0100-000001000000}">
      <formula1>"Нет,Да"</formula1>
    </dataValidation>
    <dataValidation type="list" allowBlank="1" showErrorMessage="1" sqref="C5" xr:uid="{00000000-0002-0000-0100-000002000000}">
      <formula1>"Неизвестно,Точечное,Малое,Среднее,Крупное,Большое,Масштабное"</formula1>
    </dataValidation>
    <dataValidation type="list" allowBlank="1" showErrorMessage="1" sqref="C6" xr:uid="{00000000-0002-0000-0100-000003000000}">
      <formula1>"Неизвестно,Высокая,Средняя,Низкая"</formula1>
    </dataValidation>
    <dataValidation type="list" allowBlank="1" showErrorMessage="1" sqref="C9 C11" xr:uid="{00000000-0002-0000-0100-000004000000}">
      <formula1>"Неизвестно,Нет,Да"</formula1>
    </dataValidation>
    <dataValidation type="list" allowBlank="1" showErrorMessage="1" sqref="C4" xr:uid="{00000000-0002-0000-0100-000005000000}">
      <formula1>"Неизвестно,Низкая,Средняя,Высокая"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42"/>
  <sheetViews>
    <sheetView zoomScaleNormal="100" workbookViewId="0">
      <selection activeCell="C18" sqref="C18"/>
    </sheetView>
  </sheetViews>
  <sheetFormatPr defaultColWidth="12.6640625" defaultRowHeight="15.75" customHeight="1" outlineLevelCol="1"/>
  <cols>
    <col min="1" max="1" width="3.109375" customWidth="1"/>
    <col min="2" max="2" width="72.88671875" customWidth="1"/>
    <col min="3" max="3" width="16.21875" customWidth="1"/>
    <col min="4" max="4" width="3.109375" customWidth="1"/>
    <col min="5" max="12" width="12.6640625" outlineLevel="1"/>
  </cols>
  <sheetData>
    <row r="1" spans="1:12" ht="15.75" customHeight="1">
      <c r="A1" s="242"/>
      <c r="B1" s="242" t="s">
        <v>36</v>
      </c>
      <c r="C1" s="240"/>
      <c r="D1" s="242"/>
      <c r="E1" s="19"/>
      <c r="F1" s="20"/>
      <c r="G1" s="20"/>
      <c r="H1" s="20"/>
      <c r="I1" s="21"/>
      <c r="J1" s="21"/>
      <c r="K1" s="21"/>
      <c r="L1" s="21"/>
    </row>
    <row r="2" spans="1:12" ht="15.75" customHeight="1">
      <c r="A2" s="240"/>
      <c r="B2" s="18" t="s">
        <v>1</v>
      </c>
      <c r="C2" s="18" t="s">
        <v>2</v>
      </c>
      <c r="D2" s="240"/>
      <c r="E2" s="19" t="s">
        <v>3</v>
      </c>
      <c r="F2" s="22" t="s">
        <v>4</v>
      </c>
      <c r="G2" s="22" t="s">
        <v>5</v>
      </c>
      <c r="H2" s="22" t="s">
        <v>6</v>
      </c>
      <c r="I2" s="22" t="s">
        <v>7</v>
      </c>
      <c r="J2" s="22" t="s">
        <v>8</v>
      </c>
      <c r="K2" s="22" t="s">
        <v>9</v>
      </c>
      <c r="L2" s="22" t="s">
        <v>10</v>
      </c>
    </row>
    <row r="3" spans="1:12" ht="15.75" customHeight="1">
      <c r="A3" s="240"/>
      <c r="B3" s="147" t="s">
        <v>37</v>
      </c>
      <c r="C3" s="24" t="s">
        <v>11</v>
      </c>
      <c r="D3" s="240"/>
      <c r="E3" s="25">
        <f>IF(C3="Нет",G3,IF(C3="Да",H3,""))</f>
        <v>1</v>
      </c>
      <c r="F3" s="20"/>
      <c r="G3" s="20">
        <v>1</v>
      </c>
      <c r="H3" s="20">
        <v>0.75</v>
      </c>
      <c r="I3" s="21"/>
      <c r="J3" s="21"/>
      <c r="K3" s="21"/>
      <c r="L3" s="21"/>
    </row>
    <row r="4" spans="1:12" ht="15.75" customHeight="1">
      <c r="A4" s="240"/>
      <c r="B4" s="23" t="s">
        <v>38</v>
      </c>
      <c r="C4" s="24" t="s">
        <v>60</v>
      </c>
      <c r="D4" s="240"/>
      <c r="E4" s="25">
        <f>IF(C4="Неизвестно",F4,IF(C4="Новый",G4,IF(C4="Повторный",H4,"")))</f>
        <v>1</v>
      </c>
      <c r="F4" s="20">
        <v>1</v>
      </c>
      <c r="G4" s="20">
        <v>1.1000000000000001</v>
      </c>
      <c r="H4" s="20">
        <v>0.75</v>
      </c>
      <c r="I4" s="21"/>
      <c r="J4" s="21"/>
      <c r="K4" s="21"/>
      <c r="L4" s="21"/>
    </row>
    <row r="5" spans="1:12" ht="15.75" customHeight="1">
      <c r="A5" s="240"/>
      <c r="B5" s="141" t="s">
        <v>12</v>
      </c>
      <c r="C5" s="24" t="s">
        <v>108</v>
      </c>
      <c r="D5" s="240"/>
      <c r="E5" s="25">
        <f>IF(C5="Неизвестно",F5,IF(C5="Низкая",G5,IF(C5="Средняя",H5,IF(C5="Высокая",I5,""))))</f>
        <v>1</v>
      </c>
      <c r="F5" s="20">
        <v>1.25</v>
      </c>
      <c r="G5" s="20">
        <v>0.75</v>
      </c>
      <c r="H5" s="20">
        <v>1</v>
      </c>
      <c r="I5" s="20">
        <v>1.5</v>
      </c>
      <c r="J5" s="21"/>
      <c r="K5" s="21"/>
      <c r="L5" s="20"/>
    </row>
    <row r="6" spans="1:12" ht="48" customHeight="1">
      <c r="A6" s="240"/>
      <c r="B6" s="150" t="s">
        <v>39</v>
      </c>
      <c r="C6" s="24" t="s">
        <v>121</v>
      </c>
      <c r="D6" s="240"/>
      <c r="E6" s="25">
        <f>IF(C6="Неизвестно",F6,IF(C6="Точечное",G6,IF(C6="Малое",H6,IF(C6="Среднее",I6,IF(C6="Крупное",J6,IF(C6="Большое",K6,IF(C6="Масштабное",L6,"")))))))</f>
        <v>1</v>
      </c>
      <c r="F6" s="20">
        <v>1.25</v>
      </c>
      <c r="G6" s="20">
        <v>0.5</v>
      </c>
      <c r="H6" s="20">
        <v>0.75</v>
      </c>
      <c r="I6" s="20">
        <v>1</v>
      </c>
      <c r="J6" s="20">
        <v>1.25</v>
      </c>
      <c r="K6" s="20">
        <v>1.5</v>
      </c>
      <c r="L6" s="20">
        <v>1.75</v>
      </c>
    </row>
    <row r="7" spans="1:12" ht="15.75" customHeight="1">
      <c r="A7" s="240"/>
      <c r="B7" s="141" t="s">
        <v>16</v>
      </c>
      <c r="C7" s="24" t="s">
        <v>60</v>
      </c>
      <c r="D7" s="240"/>
      <c r="E7" s="25">
        <f>IF(C7="Неизвестно",F7,IF(C7="Низкая",G7,IF(C7="Средняя",H7,IF(C7="Высокая",I7,""))))</f>
        <v>1</v>
      </c>
      <c r="F7" s="20">
        <v>1</v>
      </c>
      <c r="G7" s="20">
        <v>1.5</v>
      </c>
      <c r="H7" s="20">
        <v>1.25</v>
      </c>
      <c r="I7" s="20">
        <v>0.75</v>
      </c>
      <c r="J7" s="21"/>
      <c r="K7" s="21"/>
      <c r="L7" s="21"/>
    </row>
    <row r="8" spans="1:12" ht="15.75" customHeight="1">
      <c r="A8" s="240"/>
      <c r="B8" s="141" t="s">
        <v>20</v>
      </c>
      <c r="C8" s="24" t="s">
        <v>60</v>
      </c>
      <c r="D8" s="240"/>
      <c r="E8" s="25">
        <f t="shared" ref="E8:E14" si="0">IF(C8="Неизвестно",F8,IF(C8="Да",G8,IF(C8="Нет",H8,"")))</f>
        <v>1</v>
      </c>
      <c r="F8" s="20">
        <v>1</v>
      </c>
      <c r="G8" s="20">
        <v>1.25</v>
      </c>
      <c r="H8" s="20">
        <v>0</v>
      </c>
      <c r="I8" s="21"/>
      <c r="J8" s="21"/>
      <c r="K8" s="21"/>
      <c r="L8" s="21"/>
    </row>
    <row r="9" spans="1:12" ht="15.75" customHeight="1">
      <c r="A9" s="240"/>
      <c r="B9" s="141" t="s">
        <v>21</v>
      </c>
      <c r="C9" s="24" t="s">
        <v>60</v>
      </c>
      <c r="D9" s="240"/>
      <c r="E9" s="25">
        <f t="shared" si="0"/>
        <v>1</v>
      </c>
      <c r="F9" s="20">
        <v>1</v>
      </c>
      <c r="G9" s="20">
        <v>0.75</v>
      </c>
      <c r="H9" s="20">
        <v>1.25</v>
      </c>
      <c r="I9" s="21"/>
      <c r="J9" s="21"/>
      <c r="K9" s="21"/>
      <c r="L9" s="21"/>
    </row>
    <row r="10" spans="1:12" ht="15.75" customHeight="1">
      <c r="A10" s="240"/>
      <c r="B10" s="23" t="s">
        <v>40</v>
      </c>
      <c r="C10" s="24" t="s">
        <v>60</v>
      </c>
      <c r="D10" s="240"/>
      <c r="E10" s="156">
        <f t="shared" si="0"/>
        <v>1</v>
      </c>
      <c r="F10" s="20">
        <v>1</v>
      </c>
      <c r="G10" s="20">
        <v>0</v>
      </c>
      <c r="H10" s="20">
        <v>1.25</v>
      </c>
      <c r="I10" s="21"/>
      <c r="J10" s="21"/>
      <c r="K10" s="21"/>
      <c r="L10" s="21"/>
    </row>
    <row r="11" spans="1:12" ht="15.75" customHeight="1">
      <c r="A11" s="240"/>
      <c r="B11" s="141" t="s">
        <v>41</v>
      </c>
      <c r="C11" s="24" t="s">
        <v>60</v>
      </c>
      <c r="D11" s="240"/>
      <c r="E11" s="149">
        <f t="shared" si="0"/>
        <v>1</v>
      </c>
      <c r="F11" s="20">
        <v>1</v>
      </c>
      <c r="G11" s="20">
        <v>1.25</v>
      </c>
      <c r="H11" s="20">
        <v>0</v>
      </c>
      <c r="I11" s="21"/>
      <c r="J11" s="21"/>
      <c r="K11" s="21"/>
      <c r="L11" s="21"/>
    </row>
    <row r="12" spans="1:12" ht="15.75" customHeight="1">
      <c r="A12" s="240"/>
      <c r="B12" s="23" t="s">
        <v>42</v>
      </c>
      <c r="C12" s="24" t="s">
        <v>60</v>
      </c>
      <c r="D12" s="240"/>
      <c r="E12" s="25">
        <f t="shared" si="0"/>
        <v>1</v>
      </c>
      <c r="F12" s="20">
        <v>1</v>
      </c>
      <c r="G12" s="20">
        <v>1.25</v>
      </c>
      <c r="H12" s="20">
        <v>0.9</v>
      </c>
      <c r="I12" s="21"/>
      <c r="J12" s="21"/>
      <c r="K12" s="21"/>
      <c r="L12" s="21"/>
    </row>
    <row r="13" spans="1:12" ht="15.75" customHeight="1">
      <c r="A13" s="240"/>
      <c r="B13" s="141" t="s">
        <v>43</v>
      </c>
      <c r="C13" s="24" t="s">
        <v>60</v>
      </c>
      <c r="D13" s="240"/>
      <c r="E13" s="25">
        <f t="shared" si="0"/>
        <v>1</v>
      </c>
      <c r="F13" s="20">
        <v>1</v>
      </c>
      <c r="G13" s="20">
        <v>1.25</v>
      </c>
      <c r="H13" s="20">
        <v>0.9</v>
      </c>
      <c r="I13" s="21"/>
      <c r="J13" s="21"/>
      <c r="K13" s="21"/>
      <c r="L13" s="21"/>
    </row>
    <row r="14" spans="1:12" ht="15.75" customHeight="1">
      <c r="A14" s="240"/>
      <c r="B14" s="23" t="s">
        <v>44</v>
      </c>
      <c r="C14" s="24" t="s">
        <v>60</v>
      </c>
      <c r="D14" s="240"/>
      <c r="E14" s="25">
        <f t="shared" si="0"/>
        <v>1</v>
      </c>
      <c r="F14" s="20">
        <v>1</v>
      </c>
      <c r="G14" s="20">
        <v>1.25</v>
      </c>
      <c r="H14" s="20">
        <v>0</v>
      </c>
      <c r="I14" s="21"/>
      <c r="J14" s="21"/>
      <c r="K14" s="21"/>
      <c r="L14" s="21"/>
    </row>
    <row r="15" spans="1:12" ht="15.75" customHeight="1">
      <c r="A15" s="240"/>
      <c r="B15" s="243" t="s">
        <v>45</v>
      </c>
      <c r="C15" s="18">
        <f>CEILING(SUM(C28,C37),1)</f>
        <v>12</v>
      </c>
      <c r="D15" s="240"/>
      <c r="E15" s="25"/>
      <c r="F15" s="22"/>
      <c r="G15" s="22"/>
      <c r="H15" s="20"/>
      <c r="I15" s="21"/>
      <c r="J15" s="21"/>
      <c r="K15" s="21"/>
      <c r="L15" s="21"/>
    </row>
    <row r="16" spans="1:12" ht="15.75" customHeight="1">
      <c r="A16" s="240"/>
      <c r="B16" s="240"/>
      <c r="C16" s="26">
        <f>C15*Параметры!$B$2</f>
        <v>364800</v>
      </c>
      <c r="D16" s="240"/>
      <c r="E16" s="25"/>
      <c r="F16" s="22"/>
      <c r="G16" s="22"/>
      <c r="H16" s="20"/>
      <c r="I16" s="21"/>
      <c r="J16" s="21"/>
      <c r="K16" s="21"/>
      <c r="L16" s="21"/>
    </row>
    <row r="17" spans="1:12" ht="15.75" customHeight="1">
      <c r="A17" s="240"/>
      <c r="B17" s="27" t="s">
        <v>46</v>
      </c>
      <c r="C17" s="18" t="s">
        <v>24</v>
      </c>
      <c r="D17" s="240"/>
      <c r="E17" s="25"/>
      <c r="F17" s="22" t="s">
        <v>25</v>
      </c>
      <c r="G17" s="22" t="s">
        <v>26</v>
      </c>
      <c r="H17" s="20"/>
      <c r="I17" s="21"/>
      <c r="J17" s="21"/>
      <c r="K17" s="21"/>
      <c r="L17" s="21"/>
    </row>
    <row r="18" spans="1:12" ht="15.75" customHeight="1">
      <c r="A18" s="240"/>
      <c r="B18" s="158" t="s">
        <v>27</v>
      </c>
      <c r="C18" s="29">
        <f>CEILING((F18*(1+G18*(E$4*E$5*E$6*E$7*E$13*E$12))*(E$3)),0.1)</f>
        <v>0.70000000000000007</v>
      </c>
      <c r="D18" s="240"/>
      <c r="E18" s="25"/>
      <c r="F18" s="20">
        <v>0.5</v>
      </c>
      <c r="G18" s="20">
        <v>0.3</v>
      </c>
      <c r="H18" s="20"/>
      <c r="I18" s="21"/>
      <c r="J18" s="21"/>
      <c r="K18" s="21"/>
      <c r="L18" s="21"/>
    </row>
    <row r="19" spans="1:12" ht="15.75" customHeight="1">
      <c r="A19" s="240"/>
      <c r="B19" s="158" t="s">
        <v>28</v>
      </c>
      <c r="C19" s="29">
        <f>CEILING((F19*(1+G19*(E$3*E$4*E$5*E$6*E$7*E$12*E$13+E$8*E$9+E$10+E$11))),0.1)</f>
        <v>0.9</v>
      </c>
      <c r="D19" s="240"/>
      <c r="E19" s="25"/>
      <c r="F19" s="20">
        <v>0.5</v>
      </c>
      <c r="G19" s="20">
        <v>0.19</v>
      </c>
      <c r="H19" s="20"/>
      <c r="I19" s="21"/>
      <c r="J19" s="21"/>
      <c r="K19" s="21"/>
      <c r="L19" s="21"/>
    </row>
    <row r="20" spans="1:12" ht="15.75" customHeight="1">
      <c r="A20" s="240"/>
      <c r="B20" s="28" t="s">
        <v>29</v>
      </c>
      <c r="C20" s="29">
        <f>CEILING((F20*(1+G20*(E$4*E$5*E$6*E$7*E$12*E$13+E$11))*(E$3)),0.1)</f>
        <v>0.9</v>
      </c>
      <c r="D20" s="240"/>
      <c r="E20" s="25"/>
      <c r="F20" s="20">
        <v>0.5</v>
      </c>
      <c r="G20" s="20">
        <v>0.36</v>
      </c>
      <c r="H20" s="20"/>
      <c r="I20" s="21"/>
      <c r="J20" s="21"/>
      <c r="K20" s="21"/>
      <c r="L20" s="21"/>
    </row>
    <row r="21" spans="1:12" ht="15.75" customHeight="1">
      <c r="A21" s="240"/>
      <c r="B21" s="28" t="s">
        <v>31</v>
      </c>
      <c r="C21" s="29">
        <f>CEILING((F21*(1+G21*(E$3*E$4*E$5*E$6+E$13+E$11))*(E$8*E$9)),0.1)</f>
        <v>0.60000000000000009</v>
      </c>
      <c r="D21" s="240"/>
      <c r="E21" s="25"/>
      <c r="F21" s="20">
        <v>0.5</v>
      </c>
      <c r="G21" s="20">
        <v>0.05</v>
      </c>
      <c r="H21" s="20"/>
      <c r="I21" s="21"/>
      <c r="J21" s="21"/>
      <c r="K21" s="21"/>
      <c r="L21" s="21"/>
    </row>
    <row r="22" spans="1:12" ht="15.75" customHeight="1">
      <c r="A22" s="240"/>
      <c r="B22" s="28" t="s">
        <v>47</v>
      </c>
      <c r="C22" s="29">
        <f>CEILING((F22*(1+G22*(E$3*E$4*E$5*E$6+E$13))*(E$11)),0.1)</f>
        <v>0.70000000000000007</v>
      </c>
      <c r="D22" s="240"/>
      <c r="E22" s="25"/>
      <c r="F22" s="20">
        <v>0.5</v>
      </c>
      <c r="G22" s="20">
        <v>0.14000000000000001</v>
      </c>
      <c r="H22" s="20"/>
      <c r="I22" s="21"/>
      <c r="J22" s="21"/>
      <c r="K22" s="21"/>
      <c r="L22" s="21"/>
    </row>
    <row r="23" spans="1:12" ht="15.75" customHeight="1">
      <c r="A23" s="240"/>
      <c r="B23" s="154" t="s">
        <v>48</v>
      </c>
      <c r="C23" s="29">
        <f>CEILING((F23*(1+G23*(E$3*E$4*E$5*E$6+E$11+E$13))*(E10)),0.1)</f>
        <v>0.70000000000000007</v>
      </c>
      <c r="D23" s="240"/>
      <c r="E23" s="25"/>
      <c r="F23" s="20">
        <v>0.5</v>
      </c>
      <c r="G23" s="20">
        <v>0.11</v>
      </c>
      <c r="H23" s="20"/>
      <c r="I23" s="21"/>
      <c r="J23" s="21"/>
      <c r="K23" s="21"/>
      <c r="L23" s="21"/>
    </row>
    <row r="24" spans="1:12" ht="15.75" customHeight="1">
      <c r="A24" s="240"/>
      <c r="B24" s="28" t="s">
        <v>49</v>
      </c>
      <c r="C24" s="29">
        <f>CEILING((F24*(1+G24*(E$3*E$5*E$7+E$11))*(E$4*E$6*E$13*E$12)),0.1)</f>
        <v>1.6</v>
      </c>
      <c r="D24" s="240"/>
      <c r="E24" s="25"/>
      <c r="F24" s="20">
        <v>1</v>
      </c>
      <c r="G24" s="20">
        <v>0.28999999999999998</v>
      </c>
      <c r="H24" s="20"/>
      <c r="I24" s="21"/>
      <c r="J24" s="21"/>
      <c r="K24" s="21"/>
      <c r="L24" s="21"/>
    </row>
    <row r="25" spans="1:12" ht="15.75" customHeight="1">
      <c r="A25" s="240"/>
      <c r="B25" s="28" t="s">
        <v>50</v>
      </c>
      <c r="C25" s="29">
        <f>CEILING((F25*(1+G25*(E$12*E$13+E$11))*(E$5*E$6)),0.1)</f>
        <v>0.70000000000000007</v>
      </c>
      <c r="D25" s="240"/>
      <c r="E25" s="25"/>
      <c r="F25" s="20">
        <v>0.5</v>
      </c>
      <c r="G25" s="20">
        <v>0.2</v>
      </c>
      <c r="H25" s="20"/>
      <c r="I25" s="21"/>
      <c r="J25" s="21"/>
      <c r="K25" s="21"/>
      <c r="L25" s="21"/>
    </row>
    <row r="26" spans="1:12" ht="13.2">
      <c r="A26" s="240"/>
      <c r="B26" s="28" t="s">
        <v>51</v>
      </c>
      <c r="C26" s="29">
        <f>CEILING((F26*(1+G26*(E$3*E$4*E$12*E$13+E$11))*(E$5*E$6)),0.1)</f>
        <v>0.70000000000000007</v>
      </c>
      <c r="D26" s="240"/>
      <c r="E26" s="25"/>
      <c r="F26" s="20">
        <v>0.5</v>
      </c>
      <c r="G26" s="20">
        <v>0.18</v>
      </c>
      <c r="H26" s="20"/>
      <c r="I26" s="21"/>
      <c r="J26" s="21"/>
      <c r="K26" s="21"/>
      <c r="L26" s="21"/>
    </row>
    <row r="27" spans="1:12" ht="13.2">
      <c r="A27" s="240"/>
      <c r="B27" s="154" t="s">
        <v>52</v>
      </c>
      <c r="C27" s="29">
        <f>CEILING((F27*(1+G27*(E$6+E$8+E$10))*(E$3*E$4)),0.1)</f>
        <v>0.8</v>
      </c>
      <c r="D27" s="240"/>
      <c r="E27" s="25"/>
      <c r="F27" s="20">
        <v>0.5</v>
      </c>
      <c r="G27" s="20">
        <v>0.2</v>
      </c>
      <c r="H27" s="20"/>
      <c r="I27" s="21"/>
      <c r="J27" s="21"/>
      <c r="K27" s="21"/>
      <c r="L27" s="21"/>
    </row>
    <row r="28" spans="1:12" ht="13.2">
      <c r="A28" s="240"/>
      <c r="B28" s="243" t="s">
        <v>35</v>
      </c>
      <c r="C28" s="30">
        <f>CEILING(SUM(C18:C27),1)</f>
        <v>9</v>
      </c>
      <c r="D28" s="240"/>
      <c r="E28" s="25"/>
      <c r="F28" s="20"/>
      <c r="G28" s="20"/>
      <c r="H28" s="20"/>
      <c r="I28" s="21"/>
      <c r="J28" s="21"/>
      <c r="K28" s="21"/>
      <c r="L28" s="21"/>
    </row>
    <row r="29" spans="1:12" ht="13.2">
      <c r="A29" s="240"/>
      <c r="B29" s="240"/>
      <c r="C29" s="26">
        <f>C28*Параметры!$B$2</f>
        <v>273600</v>
      </c>
      <c r="D29" s="240"/>
      <c r="E29" s="19"/>
      <c r="F29" s="22"/>
      <c r="G29" s="22"/>
      <c r="H29" s="22"/>
      <c r="I29" s="31"/>
      <c r="J29" s="31"/>
      <c r="K29" s="21"/>
      <c r="L29" s="21"/>
    </row>
    <row r="30" spans="1:12" ht="13.2">
      <c r="A30" s="240"/>
      <c r="B30" s="27" t="s">
        <v>53</v>
      </c>
      <c r="C30" s="18" t="s">
        <v>24</v>
      </c>
      <c r="D30" s="240"/>
      <c r="E30" s="21"/>
      <c r="F30" s="22" t="s">
        <v>25</v>
      </c>
      <c r="G30" s="22" t="s">
        <v>26</v>
      </c>
      <c r="H30" s="22" t="s">
        <v>54</v>
      </c>
      <c r="I30" s="21"/>
      <c r="J30" s="21"/>
      <c r="K30" s="21"/>
      <c r="L30" s="21"/>
    </row>
    <row r="31" spans="1:12" ht="13.2">
      <c r="A31" s="240"/>
      <c r="B31" s="28" t="s">
        <v>28</v>
      </c>
      <c r="C31" s="29">
        <f>CEILING((F31*(1+G31*(E$4*E$5*E$6*E$13*E$12))*(E$3*E$14)),0.1)</f>
        <v>0.60000000000000009</v>
      </c>
      <c r="D31" s="240"/>
      <c r="E31" s="21"/>
      <c r="F31" s="20">
        <v>0.5</v>
      </c>
      <c r="G31" s="20">
        <v>0.13</v>
      </c>
      <c r="H31" s="20">
        <v>1</v>
      </c>
      <c r="I31" s="21"/>
      <c r="J31" s="21"/>
      <c r="K31" s="21"/>
      <c r="L31" s="21"/>
    </row>
    <row r="32" spans="1:12" ht="13.2">
      <c r="A32" s="240"/>
      <c r="B32" s="28" t="s">
        <v>55</v>
      </c>
      <c r="C32" s="29">
        <f t="shared" ref="C32:C34" si="1">CEILING((F32*(1+G32*(E$4*E$5*E$6*E$13*E$12))*(E$3*E$14)),0.1)</f>
        <v>0.8</v>
      </c>
      <c r="D32" s="240"/>
      <c r="E32" s="21"/>
      <c r="F32" s="20">
        <v>0.5</v>
      </c>
      <c r="G32" s="20">
        <v>0.46</v>
      </c>
      <c r="H32" s="32">
        <v>2</v>
      </c>
      <c r="I32" s="21"/>
      <c r="J32" s="21"/>
      <c r="K32" s="21"/>
      <c r="L32" s="21"/>
    </row>
    <row r="33" spans="1:12" ht="13.2">
      <c r="A33" s="240"/>
      <c r="B33" s="28" t="s">
        <v>56</v>
      </c>
      <c r="C33" s="29">
        <f t="shared" si="1"/>
        <v>0.60000000000000009</v>
      </c>
      <c r="D33" s="240"/>
      <c r="E33" s="21"/>
      <c r="F33" s="20">
        <v>0.5</v>
      </c>
      <c r="G33" s="20">
        <v>0.13</v>
      </c>
      <c r="H33" s="32">
        <v>1</v>
      </c>
      <c r="I33" s="21"/>
      <c r="J33" s="21"/>
      <c r="K33" s="21"/>
      <c r="L33" s="21"/>
    </row>
    <row r="34" spans="1:12" ht="13.2">
      <c r="A34" s="240"/>
      <c r="B34" s="28" t="s">
        <v>57</v>
      </c>
      <c r="C34" s="29">
        <f t="shared" si="1"/>
        <v>0.8</v>
      </c>
      <c r="D34" s="240"/>
      <c r="E34" s="21"/>
      <c r="F34" s="20">
        <v>0.5</v>
      </c>
      <c r="G34" s="20">
        <v>0.46</v>
      </c>
      <c r="H34" s="32">
        <v>2</v>
      </c>
      <c r="I34" s="21"/>
      <c r="J34" s="21"/>
      <c r="K34" s="21"/>
      <c r="L34" s="21"/>
    </row>
    <row r="35" spans="1:12" ht="13.2">
      <c r="A35" s="240"/>
      <c r="B35" s="28" t="s">
        <v>58</v>
      </c>
      <c r="C35" s="29">
        <f>CEILING((F35*(1+G35*(E$4*E$5*E$6*E$13*E$12))*(E$3*E$14)),0.1)</f>
        <v>0.8</v>
      </c>
      <c r="D35" s="240"/>
      <c r="E35" s="21"/>
      <c r="F35" s="20">
        <v>0.5</v>
      </c>
      <c r="G35" s="20">
        <v>0.46</v>
      </c>
      <c r="H35" s="32">
        <v>2</v>
      </c>
      <c r="I35" s="21"/>
      <c r="J35" s="21"/>
      <c r="K35" s="21"/>
      <c r="L35" s="21"/>
    </row>
    <row r="36" spans="1:12" ht="13.2">
      <c r="A36" s="240"/>
      <c r="B36" s="154" t="s">
        <v>52</v>
      </c>
      <c r="C36" s="29">
        <f>CEILING((F36*(1+G36*(E$4*E$5*E$6*E$13*E$12))*(E$3*E$14)),0.1)</f>
        <v>0.60000000000000009</v>
      </c>
      <c r="D36" s="240"/>
      <c r="E36" s="21"/>
      <c r="F36" s="20">
        <v>0.5</v>
      </c>
      <c r="G36" s="20">
        <v>0.13</v>
      </c>
      <c r="H36" s="32">
        <v>1</v>
      </c>
      <c r="I36" s="21"/>
      <c r="J36" s="21"/>
      <c r="K36" s="21"/>
      <c r="L36" s="21"/>
    </row>
    <row r="37" spans="1:12" ht="13.2">
      <c r="A37" s="240"/>
      <c r="B37" s="243" t="s">
        <v>35</v>
      </c>
      <c r="C37" s="18">
        <f>CEILING(SUM(C34:C36),1)</f>
        <v>3</v>
      </c>
      <c r="D37" s="240"/>
      <c r="E37" s="21"/>
      <c r="F37" s="21"/>
      <c r="G37" s="21"/>
      <c r="H37" s="21"/>
      <c r="I37" s="21"/>
      <c r="J37" s="21"/>
      <c r="K37" s="21"/>
      <c r="L37" s="21"/>
    </row>
    <row r="38" spans="1:12" ht="13.2">
      <c r="A38" s="240"/>
      <c r="B38" s="240"/>
      <c r="C38" s="26">
        <f>C37*Параметры!$B$2</f>
        <v>91200</v>
      </c>
      <c r="D38" s="240"/>
      <c r="E38" s="21"/>
      <c r="F38" s="21"/>
      <c r="G38" s="21"/>
      <c r="H38" s="21"/>
      <c r="I38" s="21"/>
      <c r="J38" s="21"/>
      <c r="K38" s="21"/>
      <c r="L38" s="21"/>
    </row>
    <row r="40" spans="1:12" ht="15.75" customHeight="1">
      <c r="B40" s="139" t="s">
        <v>276</v>
      </c>
    </row>
    <row r="41" spans="1:12" ht="15.75" customHeight="1">
      <c r="B41" s="84" t="s">
        <v>48</v>
      </c>
    </row>
    <row r="42" spans="1:12" ht="15.75" customHeight="1">
      <c r="B42" s="139" t="s">
        <v>277</v>
      </c>
    </row>
  </sheetData>
  <mergeCells count="6">
    <mergeCell ref="A1:A38"/>
    <mergeCell ref="B1:C1"/>
    <mergeCell ref="D1:D38"/>
    <mergeCell ref="B15:B16"/>
    <mergeCell ref="B28:B29"/>
    <mergeCell ref="B37:B38"/>
  </mergeCells>
  <dataValidations count="7">
    <dataValidation type="list" allowBlank="1" showErrorMessage="1" sqref="C9:C10" xr:uid="{00000000-0002-0000-0200-000000000000}">
      <formula1>"Неизвестно,Да,Нет"</formula1>
    </dataValidation>
    <dataValidation type="list" allowBlank="1" showErrorMessage="1" sqref="C3" xr:uid="{00000000-0002-0000-0200-000001000000}">
      <formula1>"Нет,Да"</formula1>
    </dataValidation>
    <dataValidation type="list" allowBlank="1" showErrorMessage="1" sqref="C6" xr:uid="{00000000-0002-0000-0200-000002000000}">
      <formula1>"Неизвестно,Точечное,Малое,Среднее,Крупное,Большое,Масштабное"</formula1>
    </dataValidation>
    <dataValidation type="list" allowBlank="1" showErrorMessage="1" sqref="C7" xr:uid="{00000000-0002-0000-0200-000003000000}">
      <formula1>"Неизвестно,Высокая,Средняя,Низкая"</formula1>
    </dataValidation>
    <dataValidation type="list" allowBlank="1" showErrorMessage="1" sqref="C8 C11:C14" xr:uid="{00000000-0002-0000-0200-000004000000}">
      <formula1>"Неизвестно,Нет,Да"</formula1>
    </dataValidation>
    <dataValidation type="list" allowBlank="1" showErrorMessage="1" sqref="C4" xr:uid="{00000000-0002-0000-0200-000005000000}">
      <formula1>"Неизвестно,Повторный,Новый"</formula1>
    </dataValidation>
    <dataValidation type="list" allowBlank="1" showErrorMessage="1" sqref="C5" xr:uid="{00000000-0002-0000-0200-000006000000}">
      <formula1>"Неизвестно,Низкая,Средняя,Высокая"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28"/>
  <sheetViews>
    <sheetView workbookViewId="0">
      <selection activeCell="C15" sqref="C15"/>
    </sheetView>
  </sheetViews>
  <sheetFormatPr defaultColWidth="12.6640625" defaultRowHeight="15.75" customHeight="1" outlineLevelCol="1"/>
  <cols>
    <col min="1" max="1" width="3.33203125" customWidth="1"/>
    <col min="2" max="2" width="66.33203125" customWidth="1"/>
    <col min="3" max="3" width="16.21875" customWidth="1"/>
    <col min="4" max="4" width="3.109375" customWidth="1"/>
    <col min="5" max="12" width="12.6640625" outlineLevel="1"/>
  </cols>
  <sheetData>
    <row r="1" spans="1:12" ht="15.75" customHeight="1">
      <c r="A1" s="244"/>
      <c r="B1" s="244" t="s">
        <v>59</v>
      </c>
      <c r="C1" s="240"/>
      <c r="D1" s="244"/>
      <c r="E1" s="34"/>
      <c r="F1" s="35"/>
      <c r="G1" s="35"/>
      <c r="H1" s="35"/>
      <c r="I1" s="36"/>
      <c r="J1" s="36"/>
      <c r="K1" s="37"/>
      <c r="L1" s="37"/>
    </row>
    <row r="2" spans="1:12" ht="15.75" customHeight="1">
      <c r="A2" s="240"/>
      <c r="B2" s="33" t="s">
        <v>1</v>
      </c>
      <c r="C2" s="33" t="s">
        <v>2</v>
      </c>
      <c r="D2" s="240"/>
      <c r="E2" s="34" t="s">
        <v>3</v>
      </c>
      <c r="F2" s="35" t="s">
        <v>4</v>
      </c>
      <c r="G2" s="35" t="s">
        <v>5</v>
      </c>
      <c r="H2" s="35" t="s">
        <v>6</v>
      </c>
      <c r="I2" s="35" t="s">
        <v>7</v>
      </c>
      <c r="J2" s="35" t="s">
        <v>8</v>
      </c>
      <c r="K2" s="35" t="s">
        <v>9</v>
      </c>
      <c r="L2" s="35" t="s">
        <v>10</v>
      </c>
    </row>
    <row r="3" spans="1:12" ht="15.75" customHeight="1">
      <c r="A3" s="240"/>
      <c r="B3" s="148" t="s">
        <v>37</v>
      </c>
      <c r="C3" s="39" t="s">
        <v>11</v>
      </c>
      <c r="D3" s="240"/>
      <c r="E3" s="25">
        <f>IF(C3="Нет",G3,IF(C3="Да",H3,""))</f>
        <v>1</v>
      </c>
      <c r="F3" s="20"/>
      <c r="G3" s="20">
        <v>1</v>
      </c>
      <c r="H3" s="20">
        <v>0.75</v>
      </c>
      <c r="I3" s="21"/>
      <c r="J3" s="21"/>
      <c r="K3" s="21"/>
      <c r="L3" s="21"/>
    </row>
    <row r="4" spans="1:12" ht="15.75" customHeight="1">
      <c r="A4" s="240"/>
      <c r="B4" s="142" t="s">
        <v>12</v>
      </c>
      <c r="C4" s="39" t="s">
        <v>108</v>
      </c>
      <c r="D4" s="240"/>
      <c r="E4" s="25">
        <f>IF(C4="Неизвестно",F4,IF(C4="Низкая",G4,IF(C4="Средняя",H4,IF(C4="Высокая",I4,""))))</f>
        <v>1</v>
      </c>
      <c r="F4" s="20">
        <v>1.25</v>
      </c>
      <c r="G4" s="20">
        <v>0.75</v>
      </c>
      <c r="H4" s="20">
        <v>1</v>
      </c>
      <c r="I4" s="20">
        <v>1.5</v>
      </c>
      <c r="J4" s="21"/>
      <c r="K4" s="21"/>
      <c r="L4" s="21"/>
    </row>
    <row r="5" spans="1:12" ht="45" customHeight="1">
      <c r="A5" s="240"/>
      <c r="B5" s="151" t="s">
        <v>39</v>
      </c>
      <c r="C5" s="39" t="s">
        <v>121</v>
      </c>
      <c r="D5" s="240"/>
      <c r="E5" s="25">
        <f>IF(C5="Неизвестно",F5,IF(C5="Точечное",G5,IF(C5="Малое",H5,IF(C5="Среднее",I5,IF(C5="Крупное",J5,IF(C5="Большое",K5,IF(C5="Масштабное",L5,"")))))))</f>
        <v>1</v>
      </c>
      <c r="F5" s="20">
        <v>1.25</v>
      </c>
      <c r="G5" s="20">
        <v>0.5</v>
      </c>
      <c r="H5" s="20">
        <v>0.75</v>
      </c>
      <c r="I5" s="20">
        <v>1</v>
      </c>
      <c r="J5" s="20">
        <v>1.25</v>
      </c>
      <c r="K5" s="20">
        <v>1.5</v>
      </c>
      <c r="L5" s="20">
        <v>1.75</v>
      </c>
    </row>
    <row r="6" spans="1:12" ht="15.75" customHeight="1">
      <c r="A6" s="240"/>
      <c r="B6" s="142" t="s">
        <v>16</v>
      </c>
      <c r="C6" s="39" t="s">
        <v>60</v>
      </c>
      <c r="D6" s="240"/>
      <c r="E6" s="25">
        <f>IF(C6="Неизвестно",F6,IF(C6="Низкая",G6,IF(C6="Средняя",H6,IF(C6="Высокая",I6,""))))</f>
        <v>1</v>
      </c>
      <c r="F6" s="20">
        <v>1</v>
      </c>
      <c r="G6" s="20">
        <v>1.5</v>
      </c>
      <c r="H6" s="20">
        <v>1.25</v>
      </c>
      <c r="I6" s="20">
        <v>0.75</v>
      </c>
      <c r="J6" s="21"/>
      <c r="K6" s="21"/>
      <c r="L6" s="20"/>
    </row>
    <row r="7" spans="1:12" ht="15.75" customHeight="1">
      <c r="A7" s="240"/>
      <c r="B7" s="142" t="s">
        <v>20</v>
      </c>
      <c r="C7" s="39" t="s">
        <v>60</v>
      </c>
      <c r="D7" s="240"/>
      <c r="E7" s="25">
        <f t="shared" ref="E7:E13" si="0">IF(C7="Неизвестно",F7,IF(C7="Да",G7,IF(C7="Нет",H7,"")))</f>
        <v>1</v>
      </c>
      <c r="F7" s="20">
        <v>1</v>
      </c>
      <c r="G7" s="20">
        <v>1.25</v>
      </c>
      <c r="H7" s="20">
        <v>0</v>
      </c>
      <c r="I7" s="21"/>
      <c r="J7" s="21"/>
      <c r="K7" s="21"/>
      <c r="L7" s="21"/>
    </row>
    <row r="8" spans="1:12" ht="15.75" customHeight="1">
      <c r="A8" s="240"/>
      <c r="B8" s="142" t="s">
        <v>21</v>
      </c>
      <c r="C8" s="39" t="s">
        <v>60</v>
      </c>
      <c r="D8" s="240"/>
      <c r="E8" s="25">
        <f>IF(C8="Неизвестно",F8,IF(C8="Да",G8,IF(C8="Нет",H8,"")))</f>
        <v>1</v>
      </c>
      <c r="F8" s="20">
        <v>1</v>
      </c>
      <c r="G8" s="20">
        <v>0.75</v>
      </c>
      <c r="H8" s="20">
        <v>1.25</v>
      </c>
      <c r="I8" s="21"/>
      <c r="J8" s="21"/>
      <c r="K8" s="21"/>
      <c r="L8" s="21"/>
    </row>
    <row r="9" spans="1:12" ht="15.75" customHeight="1">
      <c r="A9" s="240"/>
      <c r="B9" s="38" t="s">
        <v>61</v>
      </c>
      <c r="C9" s="39" t="s">
        <v>60</v>
      </c>
      <c r="D9" s="240"/>
      <c r="E9" s="25">
        <f t="shared" si="0"/>
        <v>1</v>
      </c>
      <c r="F9" s="20">
        <v>1</v>
      </c>
      <c r="G9" s="20">
        <v>1.25</v>
      </c>
      <c r="H9" s="20">
        <v>0.75</v>
      </c>
      <c r="I9" s="21"/>
      <c r="J9" s="21"/>
      <c r="K9" s="21"/>
      <c r="L9" s="21"/>
    </row>
    <row r="10" spans="1:12" ht="15.75" customHeight="1">
      <c r="A10" s="240"/>
      <c r="B10" s="38" t="s">
        <v>62</v>
      </c>
      <c r="C10" s="39" t="s">
        <v>60</v>
      </c>
      <c r="D10" s="240"/>
      <c r="E10" s="25">
        <f t="shared" si="0"/>
        <v>1</v>
      </c>
      <c r="F10" s="20">
        <v>1</v>
      </c>
      <c r="G10" s="20">
        <v>1.25</v>
      </c>
      <c r="H10" s="20">
        <v>0</v>
      </c>
      <c r="I10" s="21"/>
      <c r="J10" s="21"/>
      <c r="K10" s="21"/>
      <c r="L10" s="21"/>
    </row>
    <row r="11" spans="1:12" ht="15.75" customHeight="1">
      <c r="A11" s="240"/>
      <c r="B11" s="38" t="s">
        <v>63</v>
      </c>
      <c r="C11" s="39" t="s">
        <v>60</v>
      </c>
      <c r="D11" s="240"/>
      <c r="E11" s="25">
        <f t="shared" si="0"/>
        <v>1</v>
      </c>
      <c r="F11" s="20">
        <v>1</v>
      </c>
      <c r="G11" s="20">
        <v>0.75</v>
      </c>
      <c r="H11" s="20">
        <v>1.25</v>
      </c>
      <c r="I11" s="21"/>
      <c r="J11" s="21"/>
      <c r="K11" s="21"/>
      <c r="L11" s="21"/>
    </row>
    <row r="12" spans="1:12" ht="15.75" customHeight="1">
      <c r="A12" s="240"/>
      <c r="B12" s="142" t="s">
        <v>64</v>
      </c>
      <c r="C12" s="39" t="s">
        <v>60</v>
      </c>
      <c r="D12" s="240"/>
      <c r="E12" s="25">
        <f t="shared" si="0"/>
        <v>1</v>
      </c>
      <c r="F12" s="20">
        <v>1</v>
      </c>
      <c r="G12" s="20">
        <v>1.25</v>
      </c>
      <c r="H12" s="20">
        <v>0</v>
      </c>
      <c r="I12" s="21"/>
      <c r="J12" s="21"/>
      <c r="K12" s="21"/>
      <c r="L12" s="21"/>
    </row>
    <row r="13" spans="1:12" ht="15.75" customHeight="1">
      <c r="A13" s="240"/>
      <c r="B13" s="142" t="s">
        <v>65</v>
      </c>
      <c r="C13" s="39" t="s">
        <v>60</v>
      </c>
      <c r="D13" s="240"/>
      <c r="E13" s="25">
        <f t="shared" si="0"/>
        <v>1</v>
      </c>
      <c r="F13" s="20">
        <v>1</v>
      </c>
      <c r="G13" s="20">
        <v>1.25</v>
      </c>
      <c r="H13" s="20">
        <v>0.75</v>
      </c>
      <c r="I13" s="21"/>
      <c r="J13" s="21"/>
      <c r="K13" s="21"/>
      <c r="L13" s="21"/>
    </row>
    <row r="14" spans="1:12" ht="15.75" customHeight="1">
      <c r="A14" s="240"/>
      <c r="B14" s="40" t="s">
        <v>66</v>
      </c>
      <c r="C14" s="33" t="s">
        <v>24</v>
      </c>
      <c r="D14" s="240"/>
      <c r="E14" s="41"/>
      <c r="F14" s="35" t="s">
        <v>25</v>
      </c>
      <c r="G14" s="35" t="s">
        <v>26</v>
      </c>
      <c r="H14" s="42"/>
      <c r="I14" s="37"/>
      <c r="J14" s="37"/>
      <c r="K14" s="37"/>
      <c r="L14" s="37"/>
    </row>
    <row r="15" spans="1:12" ht="15.75" customHeight="1">
      <c r="A15" s="240"/>
      <c r="B15" s="159" t="s">
        <v>27</v>
      </c>
      <c r="C15" s="44">
        <f>CEILING((  F15*(1+G15*(E$4*E$5*E6*E13+E10))*(E$3)  ),0.1)</f>
        <v>0.70000000000000007</v>
      </c>
      <c r="D15" s="240"/>
      <c r="E15" s="25"/>
      <c r="F15" s="20">
        <v>0.5</v>
      </c>
      <c r="G15" s="20">
        <v>0.15</v>
      </c>
      <c r="H15" s="20"/>
      <c r="I15" s="21"/>
      <c r="J15" s="21"/>
      <c r="K15" s="21"/>
      <c r="L15" s="21"/>
    </row>
    <row r="16" spans="1:12" ht="15.75" customHeight="1">
      <c r="A16" s="240"/>
      <c r="B16" s="159" t="s">
        <v>28</v>
      </c>
      <c r="C16" s="44">
        <f>CEILING((  F16*(1+G16*(E$3*E$4*E$6*E$9*E$11*E$13+E$7*E$8+E$10+E$12))*(E$5)  ),0.1)</f>
        <v>0.60000000000000009</v>
      </c>
      <c r="D16" s="240"/>
      <c r="E16" s="25"/>
      <c r="F16" s="20">
        <v>0.5</v>
      </c>
      <c r="G16" s="20">
        <v>1.4999999999999999E-2</v>
      </c>
      <c r="H16" s="20"/>
      <c r="I16" s="21"/>
      <c r="J16" s="21"/>
      <c r="K16" s="21"/>
      <c r="L16" s="21"/>
    </row>
    <row r="17" spans="1:12" ht="15.75" customHeight="1">
      <c r="A17" s="240"/>
      <c r="B17" s="43" t="s">
        <v>29</v>
      </c>
      <c r="C17" s="44">
        <f>CEILING((  F17*(1+G17*(E$4*E$5*E$6*E$9*E$13+E$10+E$12))*(E$3)  ),0.1)</f>
        <v>1</v>
      </c>
      <c r="D17" s="240"/>
      <c r="E17" s="25"/>
      <c r="F17" s="20">
        <v>0.5</v>
      </c>
      <c r="G17" s="20">
        <v>0.33</v>
      </c>
      <c r="H17" s="20"/>
      <c r="I17" s="21"/>
      <c r="J17" s="21"/>
      <c r="K17" s="21"/>
      <c r="L17" s="21"/>
    </row>
    <row r="18" spans="1:12" ht="15.75" customHeight="1">
      <c r="A18" s="240"/>
      <c r="B18" s="43" t="s">
        <v>31</v>
      </c>
      <c r="C18" s="44">
        <f>CEILING((  F18*(1+G18*(E$3*E$4*E$5*E$9*E$13+E$12))*(E$7*E$8)  ),0.1)</f>
        <v>0.60000000000000009</v>
      </c>
      <c r="D18" s="240"/>
      <c r="E18" s="25"/>
      <c r="F18" s="20">
        <v>0.5</v>
      </c>
      <c r="G18" s="20">
        <v>0.05</v>
      </c>
      <c r="H18" s="20"/>
      <c r="I18" s="21"/>
      <c r="J18" s="21"/>
      <c r="K18" s="21"/>
      <c r="L18" s="21"/>
    </row>
    <row r="19" spans="1:12" ht="15.75" customHeight="1">
      <c r="A19" s="240"/>
      <c r="B19" s="43" t="s">
        <v>67</v>
      </c>
      <c r="C19" s="44">
        <f>CEILING((  F19*(1+G19*(E$3*E$4*E$5*E9*E13))*(E12)  ),0.1)</f>
        <v>0.60000000000000009</v>
      </c>
      <c r="D19" s="240"/>
      <c r="E19" s="25"/>
      <c r="F19" s="20">
        <v>0.5</v>
      </c>
      <c r="G19" s="20">
        <v>0.11</v>
      </c>
      <c r="H19" s="20"/>
      <c r="I19" s="21"/>
      <c r="J19" s="21"/>
      <c r="K19" s="21"/>
      <c r="L19" s="21"/>
    </row>
    <row r="20" spans="1:12" ht="15.75" customHeight="1">
      <c r="A20" s="240"/>
      <c r="B20" s="43" t="s">
        <v>68</v>
      </c>
      <c r="C20" s="44">
        <f t="shared" ref="C20:C21" si="1">CEILING((  F20*(1+G20*(E$3*E$4*E$5*E$9*E$13+E$12))*(E$10)  ),0.1)</f>
        <v>0.9</v>
      </c>
      <c r="D20" s="240"/>
      <c r="E20" s="25"/>
      <c r="F20" s="20">
        <v>0.5</v>
      </c>
      <c r="G20" s="20">
        <v>0.39</v>
      </c>
      <c r="H20" s="20"/>
      <c r="I20" s="21"/>
      <c r="J20" s="21"/>
      <c r="K20" s="21"/>
      <c r="L20" s="21"/>
    </row>
    <row r="21" spans="1:12" ht="15.75" customHeight="1">
      <c r="A21" s="240"/>
      <c r="B21" s="43" t="s">
        <v>69</v>
      </c>
      <c r="C21" s="44">
        <f t="shared" si="1"/>
        <v>0.9</v>
      </c>
      <c r="D21" s="240"/>
      <c r="E21" s="25"/>
      <c r="F21" s="20">
        <v>0.5</v>
      </c>
      <c r="G21" s="20">
        <v>0.39</v>
      </c>
      <c r="H21" s="20"/>
      <c r="I21" s="21"/>
      <c r="J21" s="21"/>
      <c r="K21" s="21"/>
      <c r="L21" s="21"/>
    </row>
    <row r="22" spans="1:12" ht="15.75" customHeight="1">
      <c r="A22" s="240"/>
      <c r="B22" s="43" t="s">
        <v>70</v>
      </c>
      <c r="C22" s="44">
        <f t="shared" ref="C22:C23" si="2">CEILING((  F22*(1+G22*(E$3*E$4*E$5*E$9*E$13+E$12))*(1)  ),0.1)</f>
        <v>0.70000000000000007</v>
      </c>
      <c r="D22" s="240"/>
      <c r="E22" s="25"/>
      <c r="F22" s="20">
        <v>0.5</v>
      </c>
      <c r="G22" s="20">
        <v>0.15</v>
      </c>
      <c r="H22" s="20"/>
      <c r="I22" s="21"/>
      <c r="J22" s="21"/>
      <c r="K22" s="21"/>
      <c r="L22" s="21"/>
    </row>
    <row r="23" spans="1:12" ht="15.75" customHeight="1">
      <c r="A23" s="240"/>
      <c r="B23" s="43" t="s">
        <v>71</v>
      </c>
      <c r="C23" s="44">
        <f t="shared" si="2"/>
        <v>0.70000000000000007</v>
      </c>
      <c r="D23" s="240"/>
      <c r="E23" s="25"/>
      <c r="F23" s="20">
        <v>0.5</v>
      </c>
      <c r="G23" s="20">
        <v>0.15</v>
      </c>
      <c r="H23" s="20"/>
      <c r="I23" s="21"/>
      <c r="J23" s="21"/>
      <c r="K23" s="21"/>
      <c r="L23" s="21"/>
    </row>
    <row r="24" spans="1:12" ht="15.75" customHeight="1">
      <c r="A24" s="240"/>
      <c r="B24" s="43" t="s">
        <v>52</v>
      </c>
      <c r="C24" s="44">
        <f>CEILING((  F24*(1+G24*(E$5*E$9+E7+E10))*(E$3)  ),0.1)</f>
        <v>0.8</v>
      </c>
      <c r="D24" s="240"/>
      <c r="E24" s="25"/>
      <c r="F24" s="20">
        <v>0.5</v>
      </c>
      <c r="G24" s="20">
        <v>0.2</v>
      </c>
      <c r="H24" s="20"/>
      <c r="I24" s="21"/>
      <c r="J24" s="21"/>
      <c r="K24" s="21"/>
      <c r="L24" s="21"/>
    </row>
    <row r="25" spans="1:12" ht="15.75" customHeight="1">
      <c r="A25" s="240"/>
      <c r="B25" s="245" t="s">
        <v>35</v>
      </c>
      <c r="C25" s="33">
        <f>CEILING((SUM(C15:C24)),1)</f>
        <v>8</v>
      </c>
      <c r="D25" s="240"/>
      <c r="E25" s="41"/>
      <c r="F25" s="42"/>
      <c r="G25" s="42"/>
      <c r="H25" s="42"/>
      <c r="I25" s="37"/>
      <c r="J25" s="37"/>
      <c r="K25" s="37"/>
      <c r="L25" s="37"/>
    </row>
    <row r="26" spans="1:12" ht="13.2">
      <c r="A26" s="240"/>
      <c r="B26" s="240"/>
      <c r="C26" s="45">
        <f>C25*Параметры!$B$2</f>
        <v>243200</v>
      </c>
      <c r="D26" s="240"/>
      <c r="E26" s="34"/>
      <c r="F26" s="42"/>
      <c r="G26" s="42"/>
      <c r="H26" s="42"/>
      <c r="I26" s="37"/>
      <c r="J26" s="37"/>
      <c r="K26" s="37"/>
      <c r="L26" s="37"/>
    </row>
    <row r="28" spans="1:12" ht="15.75" customHeight="1">
      <c r="B28" s="140" t="s">
        <v>275</v>
      </c>
    </row>
  </sheetData>
  <mergeCells count="4">
    <mergeCell ref="A1:A26"/>
    <mergeCell ref="B1:C1"/>
    <mergeCell ref="D1:D26"/>
    <mergeCell ref="B25:B26"/>
  </mergeCells>
  <dataValidations count="7">
    <dataValidation type="list" allowBlank="1" showErrorMessage="1" sqref="C8 C11" xr:uid="{00000000-0002-0000-0300-000000000000}">
      <formula1>"Неизвестно,Да,Нет"</formula1>
    </dataValidation>
    <dataValidation type="list" allowBlank="1" showErrorMessage="1" sqref="C3" xr:uid="{00000000-0002-0000-0300-000001000000}">
      <formula1>"Нет,Да"</formula1>
    </dataValidation>
    <dataValidation type="list" allowBlank="1" showErrorMessage="1" sqref="C5" xr:uid="{00000000-0002-0000-0300-000002000000}">
      <formula1>"Неизвестно,Точечное,Малое,Среднее,Крупное,Большое,Масштабное"</formula1>
    </dataValidation>
    <dataValidation type="list" allowBlank="1" showErrorMessage="1" sqref="C6" xr:uid="{00000000-0002-0000-0300-000003000000}">
      <formula1>"Неизвестно,Высокая,Средняя,Низкая"</formula1>
    </dataValidation>
    <dataValidation type="list" allowBlank="1" showErrorMessage="1" sqref="C7 C10 C12:C13" xr:uid="{00000000-0002-0000-0300-000004000000}">
      <formula1>"Неизвестно,Нет,Да"</formula1>
    </dataValidation>
    <dataValidation type="list" allowBlank="1" showErrorMessage="1" sqref="C9" xr:uid="{00000000-0002-0000-0300-000005000000}">
      <formula1>"Неизвестно,Регламентная,Разовая"</formula1>
    </dataValidation>
    <dataValidation type="list" allowBlank="1" showErrorMessage="1" sqref="C4" xr:uid="{00000000-0002-0000-0300-000006000000}">
      <formula1>"Неизвестно,Низкая,Средняя,Высокая"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L60"/>
  <sheetViews>
    <sheetView zoomScale="85" zoomScaleNormal="85" workbookViewId="0">
      <selection activeCell="B20" sqref="B20"/>
    </sheetView>
  </sheetViews>
  <sheetFormatPr defaultColWidth="12.6640625" defaultRowHeight="15.75" customHeight="1" outlineLevelCol="1"/>
  <cols>
    <col min="1" max="1" width="3.21875" customWidth="1"/>
    <col min="2" max="2" width="71.77734375" customWidth="1"/>
    <col min="3" max="3" width="19.88671875" customWidth="1"/>
    <col min="4" max="4" width="3.77734375" customWidth="1"/>
    <col min="5" max="12" width="12.6640625" outlineLevel="1"/>
  </cols>
  <sheetData>
    <row r="1" spans="1:12" ht="15.75" customHeight="1">
      <c r="A1" s="248"/>
      <c r="B1" s="248" t="s">
        <v>72</v>
      </c>
      <c r="C1" s="240"/>
      <c r="D1" s="248"/>
      <c r="E1" s="19"/>
      <c r="F1" s="20"/>
      <c r="G1" s="20"/>
      <c r="H1" s="20"/>
      <c r="I1" s="21"/>
      <c r="J1" s="21"/>
      <c r="K1" s="21"/>
      <c r="L1" s="21"/>
    </row>
    <row r="2" spans="1:12" ht="15.75" customHeight="1">
      <c r="A2" s="240"/>
      <c r="B2" s="46" t="s">
        <v>1</v>
      </c>
      <c r="C2" s="46" t="s">
        <v>2</v>
      </c>
      <c r="D2" s="240"/>
      <c r="E2" s="19" t="s">
        <v>3</v>
      </c>
      <c r="F2" s="22" t="s">
        <v>4</v>
      </c>
      <c r="G2" s="22" t="s">
        <v>5</v>
      </c>
      <c r="H2" s="22" t="s">
        <v>6</v>
      </c>
      <c r="I2" s="22" t="s">
        <v>7</v>
      </c>
      <c r="J2" s="22" t="s">
        <v>8</v>
      </c>
      <c r="K2" s="22" t="s">
        <v>9</v>
      </c>
      <c r="L2" s="22" t="s">
        <v>10</v>
      </c>
    </row>
    <row r="3" spans="1:12" ht="15.75" customHeight="1">
      <c r="A3" s="240"/>
      <c r="B3" s="143" t="s">
        <v>37</v>
      </c>
      <c r="C3" s="48" t="s">
        <v>11</v>
      </c>
      <c r="D3" s="240"/>
      <c r="E3" s="25">
        <f>IF(C3="Нет",G3,IF(C3="Да",H3,""))</f>
        <v>1</v>
      </c>
      <c r="F3" s="20"/>
      <c r="G3" s="20">
        <v>1</v>
      </c>
      <c r="H3" s="20">
        <v>0.75</v>
      </c>
      <c r="I3" s="21"/>
      <c r="J3" s="21"/>
      <c r="K3" s="21"/>
      <c r="L3" s="21"/>
    </row>
    <row r="4" spans="1:12" ht="15.75" customHeight="1">
      <c r="A4" s="240"/>
      <c r="B4" s="47" t="s">
        <v>73</v>
      </c>
      <c r="C4" s="48" t="s">
        <v>60</v>
      </c>
      <c r="D4" s="240"/>
      <c r="E4" s="25">
        <f>IF(C4="Неизвестно",F4,IF(C4="Доработка",G4,IF(C4="Новое",H4,"")))</f>
        <v>1</v>
      </c>
      <c r="F4" s="20">
        <v>1</v>
      </c>
      <c r="G4" s="20">
        <v>0.75</v>
      </c>
      <c r="H4" s="20">
        <v>1.1000000000000001</v>
      </c>
      <c r="I4" s="21"/>
      <c r="J4" s="21"/>
      <c r="K4" s="21"/>
      <c r="L4" s="21"/>
    </row>
    <row r="5" spans="1:12" ht="15.75" customHeight="1">
      <c r="A5" s="240"/>
      <c r="B5" s="143" t="s">
        <v>12</v>
      </c>
      <c r="C5" s="48" t="s">
        <v>108</v>
      </c>
      <c r="D5" s="240"/>
      <c r="E5" s="25">
        <f>IF(C5="Неизвестно",F5,IF(C5="Низкая",G5,IF(C5="Средняя",H5,IF(C5="Высокая",I5,""))))</f>
        <v>1</v>
      </c>
      <c r="F5" s="20">
        <v>1.25</v>
      </c>
      <c r="G5" s="20">
        <v>0.75</v>
      </c>
      <c r="H5" s="20">
        <v>1</v>
      </c>
      <c r="I5" s="20">
        <v>1.5</v>
      </c>
      <c r="J5" s="21"/>
      <c r="K5" s="21"/>
      <c r="L5" s="20"/>
    </row>
    <row r="6" spans="1:12" ht="55.2" customHeight="1">
      <c r="A6" s="240"/>
      <c r="B6" s="152" t="s">
        <v>39</v>
      </c>
      <c r="C6" s="48" t="s">
        <v>121</v>
      </c>
      <c r="D6" s="240"/>
      <c r="E6" s="25">
        <f>IF(C6="Неизвестно",F6,IF(C6="Точечное",G6,IF(C6="Малое",H6,IF(C6="Среднее",I6,IF(C6="Крупное",J6,IF(C6="Большое",K6,IF(C6="Масштабное",L6,"")))))))</f>
        <v>1</v>
      </c>
      <c r="F6" s="20">
        <v>1.25</v>
      </c>
      <c r="G6" s="20">
        <v>0.5</v>
      </c>
      <c r="H6" s="20">
        <v>0.75</v>
      </c>
      <c r="I6" s="20">
        <v>1</v>
      </c>
      <c r="J6" s="20">
        <v>1.25</v>
      </c>
      <c r="K6" s="20">
        <v>1.5</v>
      </c>
      <c r="L6" s="20">
        <v>1.75</v>
      </c>
    </row>
    <row r="7" spans="1:12" ht="15.75" customHeight="1">
      <c r="A7" s="240"/>
      <c r="B7" s="143" t="s">
        <v>16</v>
      </c>
      <c r="C7" s="48" t="s">
        <v>60</v>
      </c>
      <c r="D7" s="240"/>
      <c r="E7" s="25">
        <f>IF(C7="Неизвестно",F7,IF(C7="Низкая",G7,IF(C7="Средняя",H7,IF(C7="Высокая",I7,""))))</f>
        <v>1</v>
      </c>
      <c r="F7" s="20">
        <v>1</v>
      </c>
      <c r="G7" s="20">
        <v>1.5</v>
      </c>
      <c r="H7" s="20">
        <v>1.25</v>
      </c>
      <c r="I7" s="20">
        <v>0.75</v>
      </c>
      <c r="J7" s="21"/>
      <c r="K7" s="21"/>
      <c r="L7" s="21"/>
    </row>
    <row r="8" spans="1:12" ht="15.75" customHeight="1">
      <c r="A8" s="240"/>
      <c r="B8" s="47" t="s">
        <v>74</v>
      </c>
      <c r="C8" s="48" t="s">
        <v>60</v>
      </c>
      <c r="D8" s="240"/>
      <c r="E8" s="156">
        <f>IF(C8="Неизвестно",F8,IF(C8="Да",G8,IF(C8="Нет",H8,"")))</f>
        <v>1</v>
      </c>
      <c r="F8" s="20">
        <v>1</v>
      </c>
      <c r="G8" s="20">
        <v>0.9</v>
      </c>
      <c r="H8" s="20">
        <v>1.1000000000000001</v>
      </c>
      <c r="I8" s="21"/>
      <c r="J8" s="21"/>
      <c r="K8" s="21"/>
      <c r="L8" s="21"/>
    </row>
    <row r="9" spans="1:12" ht="15.75" customHeight="1">
      <c r="A9" s="240"/>
      <c r="B9" s="47" t="s">
        <v>75</v>
      </c>
      <c r="C9" s="48" t="s">
        <v>60</v>
      </c>
      <c r="D9" s="240"/>
      <c r="E9" s="156">
        <f>IF(C9="Неизвестно",F9,IF(C9="Непосредственно",G9,IF(C9="Опосредованно",H9,"")))</f>
        <v>1</v>
      </c>
      <c r="F9" s="20">
        <v>1</v>
      </c>
      <c r="G9" s="20">
        <v>0.8</v>
      </c>
      <c r="H9" s="20">
        <v>1.2</v>
      </c>
      <c r="I9" s="21"/>
      <c r="J9" s="21"/>
      <c r="K9" s="21"/>
      <c r="L9" s="21"/>
    </row>
    <row r="10" spans="1:12" ht="15.75" customHeight="1">
      <c r="A10" s="240"/>
      <c r="B10" s="143" t="s">
        <v>20</v>
      </c>
      <c r="C10" s="48" t="s">
        <v>60</v>
      </c>
      <c r="D10" s="240"/>
      <c r="E10" s="25">
        <f t="shared" ref="E10:E12" si="0">IF(C10="Неизвестно",F10,IF(C10="Да",G10,IF(C10="Нет",H10,"")))</f>
        <v>1</v>
      </c>
      <c r="F10" s="20">
        <v>1</v>
      </c>
      <c r="G10" s="20">
        <v>1.25</v>
      </c>
      <c r="H10" s="20">
        <v>0</v>
      </c>
      <c r="I10" s="21"/>
      <c r="J10" s="21"/>
      <c r="K10" s="21"/>
      <c r="L10" s="21"/>
    </row>
    <row r="11" spans="1:12" ht="15.75" customHeight="1">
      <c r="A11" s="240"/>
      <c r="B11" s="143" t="s">
        <v>21</v>
      </c>
      <c r="C11" s="48" t="s">
        <v>60</v>
      </c>
      <c r="D11" s="240"/>
      <c r="E11" s="25">
        <f t="shared" si="0"/>
        <v>1</v>
      </c>
      <c r="F11" s="20">
        <v>1</v>
      </c>
      <c r="G11" s="20">
        <v>0.75</v>
      </c>
      <c r="H11" s="20">
        <v>1.25</v>
      </c>
      <c r="I11" s="21"/>
      <c r="J11" s="21"/>
      <c r="K11" s="21"/>
      <c r="L11" s="21"/>
    </row>
    <row r="12" spans="1:12" ht="15.75" customHeight="1">
      <c r="A12" s="240"/>
      <c r="B12" s="47" t="s">
        <v>76</v>
      </c>
      <c r="C12" s="48" t="s">
        <v>60</v>
      </c>
      <c r="D12" s="240"/>
      <c r="E12" s="25">
        <f t="shared" si="0"/>
        <v>1</v>
      </c>
      <c r="F12" s="20">
        <v>1</v>
      </c>
      <c r="G12" s="20">
        <v>0</v>
      </c>
      <c r="H12" s="20">
        <v>1.25</v>
      </c>
      <c r="I12" s="21"/>
      <c r="J12" s="21"/>
      <c r="K12" s="21"/>
      <c r="L12" s="21"/>
    </row>
    <row r="13" spans="1:12" ht="15.75" customHeight="1">
      <c r="A13" s="240"/>
      <c r="B13" s="47" t="s">
        <v>77</v>
      </c>
      <c r="C13" s="48" t="s">
        <v>108</v>
      </c>
      <c r="D13" s="240"/>
      <c r="E13" s="176">
        <f>IF(C13="Неизвестно",F13,IF(C13="Низкая",G13,IF(C13="Средняя",H13,IF(C13="Высокая",I13,""))))</f>
        <v>1</v>
      </c>
      <c r="F13" s="20">
        <v>1.25</v>
      </c>
      <c r="G13" s="20">
        <v>0.75</v>
      </c>
      <c r="H13" s="20">
        <v>1</v>
      </c>
      <c r="I13" s="20">
        <v>1.5</v>
      </c>
      <c r="J13" s="21"/>
      <c r="K13" s="21"/>
      <c r="L13" s="21"/>
    </row>
    <row r="14" spans="1:12" ht="15.75" customHeight="1">
      <c r="A14" s="240"/>
      <c r="B14" s="143" t="s">
        <v>78</v>
      </c>
      <c r="C14" s="48" t="s">
        <v>60</v>
      </c>
      <c r="D14" s="240"/>
      <c r="E14" s="25">
        <f t="shared" ref="E14:E16" si="1">IF(C14="Неизвестно",F14,IF(C14="Да",G14,IF(C14="Нет",H14,"")))</f>
        <v>1</v>
      </c>
      <c r="F14" s="20">
        <v>1</v>
      </c>
      <c r="G14" s="20">
        <v>1.25</v>
      </c>
      <c r="H14" s="20">
        <v>0</v>
      </c>
      <c r="I14" s="21"/>
      <c r="J14" s="21"/>
      <c r="K14" s="21"/>
      <c r="L14" s="21"/>
    </row>
    <row r="15" spans="1:12" ht="15.75" customHeight="1">
      <c r="A15" s="240"/>
      <c r="B15" s="143" t="s">
        <v>79</v>
      </c>
      <c r="C15" s="48" t="s">
        <v>60</v>
      </c>
      <c r="D15" s="240"/>
      <c r="E15" s="25">
        <f t="shared" si="1"/>
        <v>1</v>
      </c>
      <c r="F15" s="20">
        <v>1</v>
      </c>
      <c r="G15" s="20">
        <v>1.25</v>
      </c>
      <c r="H15" s="20">
        <v>0.75</v>
      </c>
      <c r="I15" s="21"/>
      <c r="J15" s="21"/>
      <c r="K15" s="21"/>
      <c r="L15" s="21"/>
    </row>
    <row r="16" spans="1:12" ht="15.75" customHeight="1">
      <c r="A16" s="240"/>
      <c r="B16" s="143" t="s">
        <v>80</v>
      </c>
      <c r="C16" s="48" t="s">
        <v>60</v>
      </c>
      <c r="D16" s="240"/>
      <c r="E16" s="25">
        <f t="shared" si="1"/>
        <v>1</v>
      </c>
      <c r="F16" s="20">
        <v>1</v>
      </c>
      <c r="G16" s="20">
        <v>1.25</v>
      </c>
      <c r="H16" s="20">
        <v>0.75</v>
      </c>
      <c r="I16" s="21"/>
      <c r="J16" s="21"/>
      <c r="K16" s="21"/>
      <c r="L16" s="21"/>
    </row>
    <row r="17" spans="1:12" ht="15.75" customHeight="1">
      <c r="A17" s="240"/>
      <c r="B17" s="246" t="s">
        <v>45</v>
      </c>
      <c r="C17" s="46">
        <f>CEILING(SUM(C30,C46,C52),1)</f>
        <v>34</v>
      </c>
      <c r="D17" s="240"/>
      <c r="E17" s="25"/>
      <c r="F17" s="22"/>
      <c r="G17" s="22"/>
      <c r="H17" s="20"/>
      <c r="I17" s="21"/>
      <c r="J17" s="21"/>
      <c r="K17" s="21"/>
      <c r="L17" s="21"/>
    </row>
    <row r="18" spans="1:12" ht="15.75" customHeight="1">
      <c r="A18" s="240"/>
      <c r="B18" s="240"/>
      <c r="C18" s="49">
        <f>C17*Параметры!$B$2</f>
        <v>1033600</v>
      </c>
      <c r="D18" s="240"/>
      <c r="E18" s="25"/>
      <c r="F18" s="22"/>
      <c r="G18" s="22"/>
      <c r="H18" s="20"/>
      <c r="I18" s="21"/>
      <c r="J18" s="21"/>
      <c r="K18" s="21"/>
      <c r="L18" s="21"/>
    </row>
    <row r="19" spans="1:12" ht="15.75" customHeight="1">
      <c r="A19" s="240"/>
      <c r="B19" s="50" t="s">
        <v>81</v>
      </c>
      <c r="C19" s="46" t="s">
        <v>24</v>
      </c>
      <c r="D19" s="240"/>
      <c r="E19" s="25"/>
      <c r="F19" s="22" t="s">
        <v>25</v>
      </c>
      <c r="G19" s="22" t="s">
        <v>26</v>
      </c>
      <c r="H19" s="20"/>
      <c r="I19" s="21"/>
      <c r="J19" s="21"/>
      <c r="K19" s="21"/>
      <c r="L19" s="21"/>
    </row>
    <row r="20" spans="1:12" ht="15.75" customHeight="1">
      <c r="A20" s="240"/>
      <c r="B20" s="160" t="s">
        <v>27</v>
      </c>
      <c r="C20" s="52">
        <f>CEILING((  F20*(1+G20*(E$5*E$6*E$7*E$8*E$9*E$15*E$16+E$12+E$14))*(E$3*E$4)  ),0.1)</f>
        <v>0.9</v>
      </c>
      <c r="D20" s="240"/>
      <c r="E20" s="25"/>
      <c r="F20" s="20">
        <v>0.5</v>
      </c>
      <c r="G20" s="20">
        <v>0.248</v>
      </c>
      <c r="H20" s="20"/>
      <c r="I20" s="21"/>
      <c r="J20" s="21"/>
      <c r="K20" s="21"/>
      <c r="L20" s="21"/>
    </row>
    <row r="21" spans="1:12" ht="15.75" customHeight="1">
      <c r="A21" s="240"/>
      <c r="B21" s="160" t="s">
        <v>28</v>
      </c>
      <c r="C21" s="52">
        <f>CEILING((  F21*(1+G21*(E$3*E$4*E$5*E$7*E$8*E$9*E$15*E$16+E$10*E$11+E$12+E$14))*(E$6)  ),0.1)</f>
        <v>1.1000000000000001</v>
      </c>
      <c r="D21" s="240"/>
      <c r="E21" s="25"/>
      <c r="F21" s="20">
        <v>1</v>
      </c>
      <c r="G21" s="20">
        <v>0.01</v>
      </c>
      <c r="H21" s="20"/>
      <c r="I21" s="21"/>
      <c r="J21" s="21"/>
      <c r="K21" s="21"/>
      <c r="L21" s="21"/>
    </row>
    <row r="22" spans="1:12" ht="15.75" customHeight="1">
      <c r="A22" s="240"/>
      <c r="B22" s="51" t="s">
        <v>29</v>
      </c>
      <c r="C22" s="52">
        <f>CEILING((  F22*(1+G22*(E$5*E$6*E$7*E$8*E$9*E$15*E$16+E$14))*(E$3*E$4)  ),0.1)</f>
        <v>1.2000000000000002</v>
      </c>
      <c r="D22" s="240"/>
      <c r="E22" s="25"/>
      <c r="F22" s="20">
        <v>1</v>
      </c>
      <c r="G22" s="20">
        <v>0.08</v>
      </c>
      <c r="H22" s="20"/>
      <c r="I22" s="21"/>
      <c r="J22" s="21"/>
      <c r="K22" s="21"/>
      <c r="L22" s="21"/>
    </row>
    <row r="23" spans="1:12" ht="15.75" customHeight="1">
      <c r="A23" s="240"/>
      <c r="B23" s="51" t="s">
        <v>48</v>
      </c>
      <c r="C23" s="52">
        <f>CEILING((  F23*(1+G23*(E$3*E$5*E$6*E$8*E$9*E$15*E$16+E$14))*(E$12)  ),0.1)</f>
        <v>0.60000000000000009</v>
      </c>
      <c r="D23" s="240"/>
      <c r="E23" s="25"/>
      <c r="F23" s="20">
        <v>0.5</v>
      </c>
      <c r="G23" s="20">
        <v>7.0000000000000007E-2</v>
      </c>
      <c r="H23" s="20"/>
      <c r="I23" s="21"/>
      <c r="J23" s="21"/>
      <c r="K23" s="21"/>
      <c r="L23" s="21"/>
    </row>
    <row r="24" spans="1:12" ht="15.75" customHeight="1">
      <c r="A24" s="240"/>
      <c r="B24" s="51" t="s">
        <v>82</v>
      </c>
      <c r="C24" s="175">
        <f>CEILING((  F24*(1+G24*(E$3*E$5*E$16))*(E$6*E$4)  ),0.1)</f>
        <v>1.2000000000000002</v>
      </c>
      <c r="D24" s="240"/>
      <c r="E24" s="25"/>
      <c r="F24" s="20">
        <v>1</v>
      </c>
      <c r="G24" s="20">
        <v>0.15</v>
      </c>
      <c r="H24" s="20"/>
      <c r="I24" s="21"/>
      <c r="J24" s="21"/>
      <c r="K24" s="21"/>
      <c r="L24" s="21"/>
    </row>
    <row r="25" spans="1:12" ht="15.75" customHeight="1">
      <c r="A25" s="240"/>
      <c r="B25" s="51" t="s">
        <v>83</v>
      </c>
      <c r="C25" s="52">
        <f>CEILING((  F25*(1+G25*(E$3*E$5*E$6*E$8*E$9*E$15*E$16+E$14))*(E$4)  ),0.1)</f>
        <v>1.5</v>
      </c>
      <c r="D25" s="240"/>
      <c r="E25" s="25"/>
      <c r="F25" s="20">
        <v>1</v>
      </c>
      <c r="G25" s="20">
        <v>0.25</v>
      </c>
      <c r="H25" s="20"/>
      <c r="I25" s="21"/>
      <c r="J25" s="21"/>
      <c r="K25" s="21"/>
      <c r="L25" s="21"/>
    </row>
    <row r="26" spans="1:12" ht="13.2">
      <c r="A26" s="240"/>
      <c r="B26" s="51" t="s">
        <v>31</v>
      </c>
      <c r="C26" s="52">
        <f>CEILING((  F26*(1+G26*(E$3*E$4*E$5*E$6*E$8*E$9*E$16+E$14))*(E$10*E$11)  ),0.1)</f>
        <v>0.60000000000000009</v>
      </c>
      <c r="D26" s="240"/>
      <c r="E26" s="25"/>
      <c r="F26" s="20">
        <v>0.5</v>
      </c>
      <c r="G26" s="20">
        <v>4.5999999999999999E-2</v>
      </c>
      <c r="H26" s="20"/>
      <c r="I26" s="21"/>
      <c r="J26" s="21"/>
      <c r="K26" s="21"/>
      <c r="L26" s="21"/>
    </row>
    <row r="27" spans="1:12" ht="13.2">
      <c r="A27" s="240"/>
      <c r="B27" s="51" t="s">
        <v>67</v>
      </c>
      <c r="C27" s="175">
        <f>CEILING((  F27*(1+G27*(E$3*E$4*E$5*E$6*E$8*E$16))*(E$14)  ),0.1)</f>
        <v>0.60000000000000009</v>
      </c>
      <c r="D27" s="240"/>
      <c r="E27" s="25"/>
      <c r="F27" s="20">
        <v>0.5</v>
      </c>
      <c r="G27" s="20">
        <v>0.151</v>
      </c>
      <c r="H27" s="20"/>
      <c r="I27" s="21"/>
      <c r="J27" s="21"/>
      <c r="K27" s="21"/>
      <c r="L27" s="21"/>
    </row>
    <row r="28" spans="1:12" ht="13.2">
      <c r="A28" s="240"/>
      <c r="B28" s="51" t="s">
        <v>84</v>
      </c>
      <c r="C28" s="175">
        <f>CEILING((  F28*(1+G28*(E$3*E$5*E$6*E$15*E$16+E$14))*(E$4)  ),0.1)</f>
        <v>0.9</v>
      </c>
      <c r="D28" s="240"/>
      <c r="E28" s="25"/>
      <c r="F28" s="20">
        <v>0.5</v>
      </c>
      <c r="G28" s="20">
        <v>0.32200000000000001</v>
      </c>
      <c r="H28" s="20"/>
      <c r="I28" s="21"/>
      <c r="J28" s="21"/>
      <c r="K28" s="21"/>
      <c r="L28" s="21"/>
    </row>
    <row r="29" spans="1:12" ht="13.2">
      <c r="A29" s="240"/>
      <c r="B29" s="51" t="s">
        <v>52</v>
      </c>
      <c r="C29" s="52">
        <f>CEILING((  F29*(1+G29*(E$3*E$6*E$9))*(E$4)  ),0.1)</f>
        <v>0.9</v>
      </c>
      <c r="D29" s="240"/>
      <c r="E29" s="25"/>
      <c r="F29" s="20">
        <v>0.5</v>
      </c>
      <c r="G29" s="20">
        <v>0.8</v>
      </c>
      <c r="H29" s="20"/>
      <c r="I29" s="21"/>
      <c r="J29" s="21"/>
      <c r="K29" s="21"/>
      <c r="L29" s="21"/>
    </row>
    <row r="30" spans="1:12" ht="13.2">
      <c r="A30" s="240"/>
      <c r="B30" s="246" t="s">
        <v>35</v>
      </c>
      <c r="C30" s="46">
        <f>CEILING(SUM(C20:C29),1)</f>
        <v>10</v>
      </c>
      <c r="D30" s="240"/>
      <c r="E30" s="53"/>
      <c r="F30" s="53"/>
      <c r="G30" s="53"/>
      <c r="H30" s="20"/>
      <c r="I30" s="21"/>
      <c r="J30" s="21"/>
      <c r="K30" s="21"/>
      <c r="L30" s="21"/>
    </row>
    <row r="31" spans="1:12" ht="13.2">
      <c r="A31" s="240"/>
      <c r="B31" s="240"/>
      <c r="C31" s="49">
        <f>C30*Параметры!$B$2</f>
        <v>304000</v>
      </c>
      <c r="D31" s="240"/>
      <c r="E31" s="53"/>
      <c r="F31" s="53"/>
      <c r="G31" s="53"/>
      <c r="H31" s="20"/>
      <c r="I31" s="21"/>
      <c r="J31" s="21"/>
      <c r="K31" s="21"/>
      <c r="L31" s="21"/>
    </row>
    <row r="32" spans="1:12" ht="41.4">
      <c r="A32" s="240"/>
      <c r="B32" s="54" t="s">
        <v>85</v>
      </c>
      <c r="C32" s="46" t="s">
        <v>24</v>
      </c>
      <c r="D32" s="240"/>
      <c r="E32" s="53"/>
      <c r="F32" s="22" t="s">
        <v>25</v>
      </c>
      <c r="G32" s="22" t="s">
        <v>26</v>
      </c>
      <c r="H32" s="22" t="s">
        <v>54</v>
      </c>
      <c r="I32" s="21"/>
      <c r="J32" s="21"/>
      <c r="K32" s="21"/>
      <c r="L32" s="21"/>
    </row>
    <row r="33" spans="1:12" ht="13.2">
      <c r="A33" s="240"/>
      <c r="B33" s="55" t="s">
        <v>28</v>
      </c>
      <c r="C33" s="56">
        <f>CEILING((  F33*(1+G33*(E$5*E$6*E$9*E$15*E$16+E$12+E$14))*(E$3*E$4)  ),0.1)</f>
        <v>0.70000000000000007</v>
      </c>
      <c r="D33" s="240"/>
      <c r="E33" s="53"/>
      <c r="F33" s="20">
        <v>0.5</v>
      </c>
      <c r="G33" s="20">
        <v>0.11</v>
      </c>
      <c r="H33" s="20">
        <v>1</v>
      </c>
      <c r="I33" s="21"/>
      <c r="J33" s="21"/>
      <c r="K33" s="21"/>
      <c r="L33" s="21"/>
    </row>
    <row r="34" spans="1:12" ht="13.2">
      <c r="A34" s="240"/>
      <c r="B34" s="55" t="s">
        <v>55</v>
      </c>
      <c r="C34" s="56">
        <f>CEILING(F34 * G34, 0.1)</f>
        <v>0.8</v>
      </c>
      <c r="D34" s="240"/>
      <c r="E34" s="53"/>
      <c r="F34" s="32">
        <f>C25</f>
        <v>1.5</v>
      </c>
      <c r="G34" s="20">
        <v>0.5</v>
      </c>
      <c r="H34" s="32">
        <v>2</v>
      </c>
      <c r="I34" s="21"/>
      <c r="J34" s="21"/>
      <c r="K34" s="21"/>
      <c r="L34" s="21"/>
    </row>
    <row r="35" spans="1:12" ht="13.2">
      <c r="A35" s="240"/>
      <c r="B35" s="55" t="s">
        <v>56</v>
      </c>
      <c r="C35" s="56">
        <f>CEILING(F35 * G35, 0.1)</f>
        <v>0.5</v>
      </c>
      <c r="D35" s="240"/>
      <c r="E35" s="53"/>
      <c r="F35" s="32">
        <f>C24</f>
        <v>1.2000000000000002</v>
      </c>
      <c r="G35" s="20">
        <v>0.4</v>
      </c>
      <c r="H35" s="32">
        <v>1</v>
      </c>
      <c r="I35" s="21"/>
      <c r="J35" s="21"/>
      <c r="K35" s="21"/>
      <c r="L35" s="21"/>
    </row>
    <row r="36" spans="1:12" ht="13.2">
      <c r="A36" s="240"/>
      <c r="B36" s="55" t="s">
        <v>86</v>
      </c>
      <c r="C36" s="56">
        <f>CEILING((  F36*(1+G36*(E$3*E$5*E$6*E$15*E$16+E$14))*(E$4)  ),0.1)</f>
        <v>2.3000000000000003</v>
      </c>
      <c r="D36" s="240"/>
      <c r="E36" s="53"/>
      <c r="F36" s="20">
        <v>1</v>
      </c>
      <c r="G36" s="20">
        <v>0.65</v>
      </c>
      <c r="H36" s="32">
        <v>5</v>
      </c>
      <c r="I36" s="21"/>
      <c r="J36" s="21"/>
      <c r="K36" s="21"/>
      <c r="L36" s="21"/>
    </row>
    <row r="37" spans="1:12" ht="13.2">
      <c r="A37" s="240"/>
      <c r="B37" s="55" t="s">
        <v>87</v>
      </c>
      <c r="C37" s="56">
        <f>CEILING((  F37*(1+G37*(E$3*E$5*E$6*E$15*E$16+E$14))*(E$4)  ),0.1)</f>
        <v>1</v>
      </c>
      <c r="D37" s="240"/>
      <c r="E37" s="53"/>
      <c r="F37" s="20">
        <v>0.5</v>
      </c>
      <c r="G37" s="20">
        <v>0.49</v>
      </c>
      <c r="H37" s="32">
        <v>2</v>
      </c>
      <c r="I37" s="21"/>
      <c r="J37" s="21"/>
      <c r="K37" s="21"/>
      <c r="L37" s="21"/>
    </row>
    <row r="38" spans="1:12" ht="13.2">
      <c r="A38" s="240"/>
      <c r="B38" s="55" t="s">
        <v>57</v>
      </c>
      <c r="C38" s="56">
        <f>CEILING((  F38*(1+G38*(E$3*E$5*E$6*E$15*E$16+E$14))*(E$4)  ),0.1)</f>
        <v>1.7000000000000002</v>
      </c>
      <c r="D38" s="240"/>
      <c r="E38" s="53"/>
      <c r="F38" s="20">
        <v>0.5</v>
      </c>
      <c r="G38" s="20">
        <v>1.1399999999999999</v>
      </c>
      <c r="H38" s="32">
        <v>4</v>
      </c>
      <c r="I38" s="21"/>
      <c r="J38" s="21"/>
      <c r="K38" s="21"/>
      <c r="L38" s="21"/>
    </row>
    <row r="39" spans="1:12" ht="13.2">
      <c r="A39" s="240"/>
      <c r="B39" s="55" t="s">
        <v>88</v>
      </c>
      <c r="C39" s="56">
        <f>CEILING((  F39*(1+G39*(E$3*E$5*E$6*E$15*E$16+E$14))*(E$4)  ),0.1)</f>
        <v>1</v>
      </c>
      <c r="D39" s="240"/>
      <c r="E39" s="53"/>
      <c r="F39" s="20">
        <v>0.5</v>
      </c>
      <c r="G39" s="20">
        <v>0.46</v>
      </c>
      <c r="H39" s="32">
        <v>2</v>
      </c>
      <c r="I39" s="21"/>
      <c r="J39" s="21"/>
      <c r="K39" s="21"/>
      <c r="L39" s="21"/>
    </row>
    <row r="40" spans="1:12" ht="13.2">
      <c r="A40" s="240"/>
      <c r="B40" s="55" t="s">
        <v>89</v>
      </c>
      <c r="C40" s="56">
        <f>CEILING((  F40*(1+G40*(E$3*E$5*E$6*E$15*E$16+E$14))*(E$4)  ),1)</f>
        <v>6</v>
      </c>
      <c r="D40" s="240"/>
      <c r="E40" s="53"/>
      <c r="F40" s="32">
        <v>1</v>
      </c>
      <c r="G40" s="20">
        <v>2.1749999999999998</v>
      </c>
      <c r="H40" s="32">
        <v>14</v>
      </c>
      <c r="I40" s="21"/>
      <c r="J40" s="21"/>
      <c r="K40" s="21"/>
      <c r="L40" s="21"/>
    </row>
    <row r="41" spans="1:12" ht="13.2">
      <c r="A41" s="240"/>
      <c r="B41" s="55" t="s">
        <v>90</v>
      </c>
      <c r="C41" s="56">
        <f>CEILING((  F41*(1+G41*(E$3*E$5*E$6*E$15*E$16+E$14))*(E$4)  ),0.1)</f>
        <v>1.5</v>
      </c>
      <c r="D41" s="240"/>
      <c r="E41" s="53"/>
      <c r="F41" s="32">
        <v>1</v>
      </c>
      <c r="G41" s="20">
        <v>0.221</v>
      </c>
      <c r="H41" s="32">
        <v>2.5</v>
      </c>
      <c r="I41" s="21"/>
      <c r="J41" s="21"/>
      <c r="K41" s="21"/>
      <c r="L41" s="21"/>
    </row>
    <row r="42" spans="1:12" ht="13.2">
      <c r="A42" s="240"/>
      <c r="B42" s="55" t="s">
        <v>91</v>
      </c>
      <c r="C42" s="56">
        <f>CEILING((  F42*(1+G42*(E$3*E$5*E$6*E$15*E$16+E$14))*(E$4)  ),0.1)</f>
        <v>0.8</v>
      </c>
      <c r="D42" s="240"/>
      <c r="E42" s="53"/>
      <c r="F42" s="20">
        <v>0.5</v>
      </c>
      <c r="G42" s="20">
        <v>0.3</v>
      </c>
      <c r="H42" s="32">
        <v>1.5</v>
      </c>
      <c r="I42" s="21"/>
      <c r="J42" s="21"/>
      <c r="K42" s="21"/>
      <c r="L42" s="21"/>
    </row>
    <row r="43" spans="1:12" ht="13.2">
      <c r="A43" s="240"/>
      <c r="B43" s="55" t="s">
        <v>92</v>
      </c>
      <c r="C43" s="56">
        <f>CEILING((  F43*(1+G43*(E$3*E$5*E$6*E$15*E$16+E$14))*(E$4)  ),0.1)</f>
        <v>1</v>
      </c>
      <c r="D43" s="240"/>
      <c r="E43" s="53"/>
      <c r="F43" s="20">
        <v>0.5</v>
      </c>
      <c r="G43" s="20">
        <v>0.46</v>
      </c>
      <c r="H43" s="32">
        <v>2</v>
      </c>
      <c r="I43" s="21"/>
      <c r="J43" s="21"/>
      <c r="K43" s="21"/>
      <c r="L43" s="21"/>
    </row>
    <row r="44" spans="1:12" ht="13.2">
      <c r="A44" s="240"/>
      <c r="B44" s="55" t="s">
        <v>93</v>
      </c>
      <c r="C44" s="56">
        <f>CEILING((  F44*(1+G44*(E$3*E$5*E$6*E$15*E$16+E$14))*(E$4)  ),0.1)</f>
        <v>0.4</v>
      </c>
      <c r="D44" s="240"/>
      <c r="E44" s="53"/>
      <c r="F44" s="20">
        <v>0.3</v>
      </c>
      <c r="G44" s="20">
        <v>0.15</v>
      </c>
      <c r="H44" s="32">
        <v>1</v>
      </c>
      <c r="I44" s="21"/>
      <c r="J44" s="21"/>
      <c r="K44" s="21"/>
      <c r="L44" s="21"/>
    </row>
    <row r="45" spans="1:12" ht="13.2">
      <c r="A45" s="240"/>
      <c r="B45" s="55" t="s">
        <v>52</v>
      </c>
      <c r="C45" s="56">
        <f>CEILING((  F45*(1+G45*(E$3*E$5*E$6*E$15*E$16+E$14))*(E$4)  ),0.1)</f>
        <v>0.4</v>
      </c>
      <c r="D45" s="240"/>
      <c r="E45" s="53"/>
      <c r="F45" s="20">
        <v>0.3</v>
      </c>
      <c r="G45" s="20">
        <v>0.15</v>
      </c>
      <c r="H45" s="32">
        <v>1</v>
      </c>
      <c r="I45" s="21"/>
      <c r="J45" s="21"/>
      <c r="K45" s="21"/>
      <c r="L45" s="21"/>
    </row>
    <row r="46" spans="1:12" ht="13.2">
      <c r="A46" s="240"/>
      <c r="B46" s="246" t="s">
        <v>35</v>
      </c>
      <c r="C46" s="46">
        <f>CEILING(SUM(C33:C45),1)</f>
        <v>19</v>
      </c>
      <c r="D46" s="240"/>
      <c r="E46" s="25"/>
      <c r="F46" s="20"/>
      <c r="G46" s="20"/>
      <c r="H46" s="20"/>
      <c r="I46" s="21"/>
      <c r="J46" s="21"/>
      <c r="K46" s="21"/>
      <c r="L46" s="21"/>
    </row>
    <row r="47" spans="1:12" ht="13.2">
      <c r="A47" s="240"/>
      <c r="B47" s="240"/>
      <c r="C47" s="49">
        <f>C46*Параметры!$B$2</f>
        <v>577600</v>
      </c>
      <c r="D47" s="240"/>
      <c r="E47" s="25"/>
      <c r="F47" s="20"/>
      <c r="G47" s="20"/>
      <c r="H47" s="20"/>
      <c r="I47" s="21"/>
      <c r="J47" s="21"/>
      <c r="K47" s="21"/>
      <c r="L47" s="21"/>
    </row>
    <row r="48" spans="1:12" ht="13.2">
      <c r="A48" s="240"/>
      <c r="B48" s="50" t="s">
        <v>94</v>
      </c>
      <c r="C48" s="46" t="s">
        <v>24</v>
      </c>
      <c r="D48" s="240"/>
      <c r="E48" s="53"/>
      <c r="F48" s="22" t="s">
        <v>25</v>
      </c>
      <c r="G48" s="22" t="s">
        <v>26</v>
      </c>
      <c r="H48" s="22" t="s">
        <v>54</v>
      </c>
      <c r="I48" s="21"/>
      <c r="J48" s="21"/>
      <c r="K48" s="21"/>
      <c r="L48" s="21"/>
    </row>
    <row r="49" spans="1:12" ht="13.2">
      <c r="A49" s="240"/>
      <c r="B49" s="55" t="s">
        <v>28</v>
      </c>
      <c r="C49" s="52">
        <f>CEILING((  F49*(1+G49*(E$13*E$5*E$6*E$9*E$15*E$16+E$12+E$14))*(E$3*E$4)  ),0.1)</f>
        <v>0.4</v>
      </c>
      <c r="D49" s="240"/>
      <c r="E49" s="53"/>
      <c r="F49" s="20">
        <v>0.3</v>
      </c>
      <c r="G49" s="20">
        <v>0.11</v>
      </c>
      <c r="H49" s="20">
        <v>1</v>
      </c>
      <c r="I49" s="21"/>
      <c r="J49" s="21"/>
      <c r="K49" s="21"/>
      <c r="L49" s="21"/>
    </row>
    <row r="50" spans="1:12" ht="13.2">
      <c r="A50" s="240"/>
      <c r="B50" s="55" t="s">
        <v>95</v>
      </c>
      <c r="C50" s="52">
        <f t="shared" ref="C50:C51" si="2">CEILING((  F50*(1+G50*(E$13*E$3*E$5*E$6*E$15*E$16+E$14))*(E$4)  ),0.1)</f>
        <v>3.9000000000000004</v>
      </c>
      <c r="D50" s="240"/>
      <c r="E50" s="53"/>
      <c r="F50" s="20">
        <v>3</v>
      </c>
      <c r="G50" s="20">
        <v>0.15</v>
      </c>
      <c r="H50" s="20">
        <v>4</v>
      </c>
      <c r="I50" s="21"/>
      <c r="J50" s="21"/>
      <c r="K50" s="21"/>
      <c r="L50" s="21"/>
    </row>
    <row r="51" spans="1:12" ht="13.2">
      <c r="A51" s="240"/>
      <c r="B51" s="55" t="s">
        <v>52</v>
      </c>
      <c r="C51" s="52">
        <f t="shared" si="2"/>
        <v>0.30000000000000004</v>
      </c>
      <c r="D51" s="240"/>
      <c r="E51" s="53"/>
      <c r="F51" s="20">
        <v>0.2</v>
      </c>
      <c r="G51" s="20">
        <v>0.15</v>
      </c>
      <c r="H51" s="20">
        <v>1</v>
      </c>
      <c r="I51" s="21"/>
      <c r="J51" s="21"/>
      <c r="K51" s="21"/>
      <c r="L51" s="21"/>
    </row>
    <row r="52" spans="1:12" ht="13.2">
      <c r="A52" s="240"/>
      <c r="B52" s="246" t="s">
        <v>35</v>
      </c>
      <c r="C52" s="46">
        <f>CEILING(SUM(C49:C51),1)</f>
        <v>5</v>
      </c>
      <c r="D52" s="240"/>
      <c r="E52" s="25"/>
      <c r="F52" s="20"/>
      <c r="G52" s="20"/>
      <c r="H52" s="20"/>
      <c r="I52" s="21"/>
      <c r="J52" s="21"/>
      <c r="K52" s="21"/>
      <c r="L52" s="21"/>
    </row>
    <row r="53" spans="1:12" ht="13.2">
      <c r="A53" s="240"/>
      <c r="B53" s="240"/>
      <c r="C53" s="49">
        <f>C52*Параметры!$B$2</f>
        <v>152000</v>
      </c>
      <c r="D53" s="240"/>
      <c r="E53" s="25"/>
      <c r="F53" s="20"/>
      <c r="G53" s="20"/>
      <c r="H53" s="20"/>
      <c r="I53" s="21"/>
      <c r="J53" s="21"/>
      <c r="K53" s="21"/>
      <c r="L53" s="21"/>
    </row>
    <row r="54" spans="1:12" ht="21">
      <c r="A54" s="46"/>
      <c r="B54" s="54" t="s">
        <v>96</v>
      </c>
      <c r="C54" s="46" t="s">
        <v>24</v>
      </c>
      <c r="D54" s="46"/>
      <c r="E54" s="25"/>
      <c r="F54" s="20"/>
      <c r="G54" s="20"/>
      <c r="H54" s="20"/>
      <c r="I54" s="21"/>
      <c r="J54" s="21"/>
      <c r="K54" s="21"/>
      <c r="L54" s="21"/>
    </row>
    <row r="55" spans="1:12" ht="13.2">
      <c r="A55" s="46"/>
      <c r="B55" s="249" t="s">
        <v>97</v>
      </c>
      <c r="C55" s="240"/>
      <c r="D55" s="46"/>
      <c r="E55" s="25"/>
      <c r="F55" s="20"/>
      <c r="G55" s="20"/>
      <c r="H55" s="20"/>
      <c r="I55" s="21"/>
      <c r="J55" s="21"/>
      <c r="K55" s="21"/>
      <c r="L55" s="21"/>
    </row>
    <row r="56" spans="1:12" ht="13.2">
      <c r="A56" s="46"/>
      <c r="B56" s="57" t="s">
        <v>98</v>
      </c>
      <c r="C56" s="56" t="s">
        <v>99</v>
      </c>
      <c r="D56" s="46"/>
      <c r="E56" s="25"/>
      <c r="F56" s="20"/>
      <c r="G56" s="20"/>
      <c r="H56" s="20"/>
      <c r="I56" s="21"/>
      <c r="J56" s="21"/>
      <c r="K56" s="21"/>
      <c r="L56" s="21"/>
    </row>
    <row r="57" spans="1:12" ht="21">
      <c r="A57" s="46"/>
      <c r="B57" s="57" t="s">
        <v>100</v>
      </c>
      <c r="C57" s="58" t="s">
        <v>101</v>
      </c>
      <c r="D57" s="46"/>
      <c r="E57" s="25"/>
      <c r="F57" s="20"/>
      <c r="G57" s="20"/>
      <c r="H57" s="20"/>
      <c r="I57" s="21"/>
      <c r="J57" s="21"/>
      <c r="K57" s="21"/>
      <c r="L57" s="21"/>
    </row>
    <row r="58" spans="1:12" ht="31.2">
      <c r="A58" s="46"/>
      <c r="B58" s="57" t="s">
        <v>102</v>
      </c>
      <c r="C58" s="58" t="s">
        <v>103</v>
      </c>
      <c r="D58" s="46"/>
      <c r="E58" s="25"/>
      <c r="F58" s="20"/>
      <c r="G58" s="20"/>
      <c r="H58" s="20"/>
      <c r="I58" s="21"/>
      <c r="J58" s="21"/>
      <c r="K58" s="21"/>
      <c r="L58" s="21"/>
    </row>
    <row r="59" spans="1:12" ht="13.2">
      <c r="A59" s="46"/>
      <c r="B59" s="247" t="s">
        <v>35</v>
      </c>
      <c r="C59" s="59" t="s">
        <v>104</v>
      </c>
      <c r="D59" s="46"/>
      <c r="E59" s="25"/>
      <c r="F59" s="20"/>
      <c r="G59" s="20"/>
      <c r="H59" s="20"/>
      <c r="I59" s="21"/>
      <c r="J59" s="21"/>
      <c r="K59" s="21"/>
      <c r="L59" s="21"/>
    </row>
    <row r="60" spans="1:12" ht="13.2">
      <c r="A60" s="46"/>
      <c r="B60" s="240"/>
      <c r="C60" s="60" t="s">
        <v>104</v>
      </c>
      <c r="D60" s="46"/>
      <c r="E60" s="25"/>
      <c r="F60" s="20"/>
      <c r="G60" s="20"/>
      <c r="H60" s="20"/>
      <c r="I60" s="21"/>
      <c r="J60" s="21"/>
      <c r="K60" s="21"/>
      <c r="L60" s="21"/>
    </row>
  </sheetData>
  <mergeCells count="9">
    <mergeCell ref="B52:B53"/>
    <mergeCell ref="B59:B60"/>
    <mergeCell ref="A1:A53"/>
    <mergeCell ref="B1:C1"/>
    <mergeCell ref="D1:D53"/>
    <mergeCell ref="B17:B18"/>
    <mergeCell ref="B30:B31"/>
    <mergeCell ref="B46:B47"/>
    <mergeCell ref="B55:C55"/>
  </mergeCells>
  <dataValidations count="8">
    <dataValidation type="list" allowBlank="1" showErrorMessage="1" sqref="C9" xr:uid="{00000000-0002-0000-0400-000000000000}">
      <formula1>"Неизвестно,Непосредственно,Опосредованно"</formula1>
    </dataValidation>
    <dataValidation type="list" allowBlank="1" showErrorMessage="1" sqref="C8 C11:C12" xr:uid="{00000000-0002-0000-0400-000001000000}">
      <formula1>"Неизвестно,Да,Нет"</formula1>
    </dataValidation>
    <dataValidation type="list" allowBlank="1" showErrorMessage="1" sqref="C3" xr:uid="{00000000-0002-0000-0400-000002000000}">
      <formula1>"Нет,Да"</formula1>
    </dataValidation>
    <dataValidation type="list" allowBlank="1" showErrorMessage="1" sqref="C6" xr:uid="{00000000-0002-0000-0400-000003000000}">
      <formula1>"Неизвестно,Точечное,Малое,Среднее,Крупное,Большое,Масштабное"</formula1>
    </dataValidation>
    <dataValidation type="list" allowBlank="1" showErrorMessage="1" sqref="C7" xr:uid="{00000000-0002-0000-0400-000004000000}">
      <formula1>"Неизвестно,Высокая,Средняя,Низкая"</formula1>
    </dataValidation>
    <dataValidation type="list" allowBlank="1" showErrorMessage="1" sqref="C10 C14:C16" xr:uid="{00000000-0002-0000-0400-000005000000}">
      <formula1>"Неизвестно,Нет,Да"</formula1>
    </dataValidation>
    <dataValidation type="list" allowBlank="1" showErrorMessage="1" sqref="C4" xr:uid="{00000000-0002-0000-0400-000006000000}">
      <formula1>"Неизвестно,Доработка,Новое"</formula1>
    </dataValidation>
    <dataValidation type="list" allowBlank="1" showErrorMessage="1" sqref="C5 C13" xr:uid="{00000000-0002-0000-0400-000007000000}">
      <formula1>"Неизвестно,Низкая,Средняя,Высокая"</formula1>
    </dataValidation>
  </dataValidations>
  <printOptions horizontalCentered="1" gridLines="1"/>
  <pageMargins left="0.25" right="0.25" top="0.75" bottom="0.75" header="0" footer="0"/>
  <pageSetup paperSize="9" fitToWidth="0" pageOrder="overThenDown" orientation="portrait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24"/>
  <sheetViews>
    <sheetView workbookViewId="0">
      <selection activeCell="C11" sqref="C11"/>
    </sheetView>
  </sheetViews>
  <sheetFormatPr defaultColWidth="12.6640625" defaultRowHeight="15.75" customHeight="1" outlineLevelCol="1"/>
  <cols>
    <col min="1" max="1" width="3" customWidth="1"/>
    <col min="2" max="2" width="78.77734375" customWidth="1"/>
    <col min="3" max="3" width="18.77734375" customWidth="1"/>
    <col min="4" max="4" width="3.6640625" customWidth="1"/>
    <col min="5" max="12" width="12.6640625" outlineLevel="1"/>
  </cols>
  <sheetData>
    <row r="1" spans="1:12" ht="13.2">
      <c r="A1" s="250"/>
      <c r="B1" s="251" t="s">
        <v>105</v>
      </c>
      <c r="C1" s="240"/>
      <c r="D1" s="250"/>
      <c r="E1" s="10"/>
      <c r="F1" s="10"/>
      <c r="G1" s="10"/>
      <c r="H1" s="10"/>
      <c r="I1" s="10"/>
      <c r="J1" s="10"/>
      <c r="K1" s="10"/>
      <c r="L1" s="10"/>
    </row>
    <row r="2" spans="1:12" ht="13.2">
      <c r="A2" s="240"/>
      <c r="B2" s="61" t="s">
        <v>1</v>
      </c>
      <c r="C2" s="61" t="s">
        <v>2</v>
      </c>
      <c r="D2" s="240"/>
      <c r="E2" s="62" t="s">
        <v>3</v>
      </c>
      <c r="F2" s="63" t="s">
        <v>4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</row>
    <row r="3" spans="1:12" ht="13.2">
      <c r="A3" s="240"/>
      <c r="B3" s="144" t="s">
        <v>37</v>
      </c>
      <c r="C3" s="65" t="s">
        <v>11</v>
      </c>
      <c r="D3" s="240"/>
      <c r="E3" s="66">
        <f>IF(C3="Нет",G3,IF(C3="Да",H3,""))</f>
        <v>1</v>
      </c>
      <c r="F3" s="10"/>
      <c r="G3" s="67">
        <v>1</v>
      </c>
      <c r="H3" s="67">
        <v>0.75</v>
      </c>
      <c r="I3" s="10"/>
      <c r="J3" s="10"/>
      <c r="K3" s="10"/>
      <c r="L3" s="10"/>
    </row>
    <row r="4" spans="1:12" ht="13.2">
      <c r="A4" s="240"/>
      <c r="B4" s="144" t="s">
        <v>73</v>
      </c>
      <c r="C4" s="65" t="s">
        <v>60</v>
      </c>
      <c r="D4" s="240"/>
      <c r="E4" s="66">
        <f>IF(C4="Неизвестно",F4,IF(C4="Доработка",G4,IF(C4="Новое",H4,"")))</f>
        <v>1</v>
      </c>
      <c r="F4" s="67">
        <v>1</v>
      </c>
      <c r="G4" s="67">
        <v>0.75</v>
      </c>
      <c r="H4" s="67">
        <v>1.1000000000000001</v>
      </c>
      <c r="I4" s="10"/>
      <c r="J4" s="10"/>
      <c r="K4" s="10"/>
      <c r="L4" s="10"/>
    </row>
    <row r="5" spans="1:12" ht="13.2">
      <c r="A5" s="240"/>
      <c r="B5" s="64" t="s">
        <v>107</v>
      </c>
      <c r="C5" s="65" t="s">
        <v>108</v>
      </c>
      <c r="D5" s="240"/>
      <c r="E5" s="177">
        <f>IF(C5="Неизвестно",F5,IF(C5="Низкая",G5,IF(C5="Средняя",H5,IF(C5="Высокая",I5,""))))</f>
        <v>1</v>
      </c>
      <c r="F5" s="67">
        <v>1.25</v>
      </c>
      <c r="G5" s="67">
        <v>0.75</v>
      </c>
      <c r="H5" s="67">
        <v>1</v>
      </c>
      <c r="I5" s="67">
        <v>1.5</v>
      </c>
      <c r="J5" s="10"/>
      <c r="K5" s="10"/>
      <c r="L5" s="10"/>
    </row>
    <row r="6" spans="1:12" ht="46.2" customHeight="1">
      <c r="A6" s="240"/>
      <c r="B6" s="153" t="s">
        <v>39</v>
      </c>
      <c r="C6" s="65" t="s">
        <v>121</v>
      </c>
      <c r="D6" s="240"/>
      <c r="E6" s="66">
        <f>IF(C6="Неизвестно",F6,IF(C6="Точечное",G6,IF(C6="Малое",H6,IF(C6="Среднее",I6,IF(C6="Крупное",J6,IF(C6="Большое",K6,IF(C6="Масштабное",L6,"")))))))</f>
        <v>1</v>
      </c>
      <c r="F6" s="67">
        <v>1.25</v>
      </c>
      <c r="G6" s="67">
        <v>0.5</v>
      </c>
      <c r="H6" s="67">
        <v>0.75</v>
      </c>
      <c r="I6" s="67">
        <v>1</v>
      </c>
      <c r="J6" s="67">
        <v>1.25</v>
      </c>
      <c r="K6" s="67">
        <v>1.5</v>
      </c>
      <c r="L6" s="67">
        <v>1.75</v>
      </c>
    </row>
    <row r="7" spans="1:12" ht="13.2">
      <c r="A7" s="240"/>
      <c r="B7" s="144" t="s">
        <v>16</v>
      </c>
      <c r="C7" s="65" t="s">
        <v>60</v>
      </c>
      <c r="D7" s="240"/>
      <c r="E7" s="66">
        <f>IF(C7="Неизвестно",F7,IF(C7="Низкая",G7,IF(C7="Средняя",H7,IF(C7="Высокая",I7,""))))</f>
        <v>1</v>
      </c>
      <c r="F7" s="67">
        <v>1</v>
      </c>
      <c r="G7" s="67">
        <v>1.5</v>
      </c>
      <c r="H7" s="67">
        <v>1.25</v>
      </c>
      <c r="I7" s="67">
        <v>0.75</v>
      </c>
      <c r="J7" s="10"/>
      <c r="K7" s="10"/>
      <c r="L7" s="10"/>
    </row>
    <row r="8" spans="1:12" ht="13.2">
      <c r="A8" s="240"/>
      <c r="B8" s="144" t="s">
        <v>74</v>
      </c>
      <c r="C8" s="65" t="s">
        <v>60</v>
      </c>
      <c r="D8" s="240"/>
      <c r="E8" s="66">
        <f>IF(C8="Неизвестно",F8,IF(C8="Да",G8,IF(C8="Нет",H8,"")))</f>
        <v>1</v>
      </c>
      <c r="F8" s="67">
        <v>1</v>
      </c>
      <c r="G8" s="67">
        <v>0.9</v>
      </c>
      <c r="H8" s="67">
        <v>1.1000000000000001</v>
      </c>
      <c r="I8" s="10"/>
      <c r="J8" s="10"/>
      <c r="K8" s="10"/>
      <c r="L8" s="10"/>
    </row>
    <row r="9" spans="1:12" ht="13.2">
      <c r="A9" s="240"/>
      <c r="B9" s="144" t="s">
        <v>110</v>
      </c>
      <c r="C9" s="65" t="s">
        <v>60</v>
      </c>
      <c r="D9" s="240"/>
      <c r="E9" s="66">
        <f>IF(C9="Неизвестно",F9,IF(C9="Непосредственно",G9,IF(C9="Опосредованно",H9,"")))</f>
        <v>1</v>
      </c>
      <c r="F9" s="67">
        <v>1</v>
      </c>
      <c r="G9" s="67">
        <v>0.8</v>
      </c>
      <c r="H9" s="67">
        <v>1.2</v>
      </c>
      <c r="I9" s="10"/>
      <c r="J9" s="10"/>
      <c r="K9" s="10"/>
      <c r="L9" s="10"/>
    </row>
    <row r="10" spans="1:12" ht="13.2">
      <c r="A10" s="240"/>
      <c r="B10" s="68" t="s">
        <v>112</v>
      </c>
      <c r="C10" s="61" t="s">
        <v>24</v>
      </c>
      <c r="D10" s="240"/>
      <c r="E10" s="10"/>
      <c r="F10" s="63" t="s">
        <v>25</v>
      </c>
      <c r="G10" s="63" t="s">
        <v>26</v>
      </c>
      <c r="H10" s="10"/>
      <c r="I10" s="10"/>
      <c r="J10" s="10"/>
      <c r="K10" s="10"/>
      <c r="L10" s="10"/>
    </row>
    <row r="11" spans="1:12" ht="13.2">
      <c r="A11" s="240"/>
      <c r="B11" s="161" t="s">
        <v>27</v>
      </c>
      <c r="C11" s="70">
        <f>CEILING((  F11*(1+G11*(E$5*E$6*E$7*E$8*E$9))*(E$3*E$4)  ),0.1)</f>
        <v>0.70000000000000007</v>
      </c>
      <c r="D11" s="240"/>
      <c r="E11" s="10"/>
      <c r="F11" s="67">
        <v>0.5</v>
      </c>
      <c r="G11" s="67">
        <v>0.248</v>
      </c>
      <c r="H11" s="10"/>
      <c r="I11" s="10"/>
      <c r="J11" s="10"/>
      <c r="K11" s="10"/>
      <c r="L11" s="10"/>
    </row>
    <row r="12" spans="1:12" ht="13.2">
      <c r="A12" s="240"/>
      <c r="B12" s="69" t="s">
        <v>28</v>
      </c>
      <c r="C12" s="70">
        <f>CEILING((  F12*(1+G12*(E$3*E$4*E$5*E$7*E$8*E$9))*(E$6)  ),0.1)</f>
        <v>1.1000000000000001</v>
      </c>
      <c r="D12" s="240"/>
      <c r="E12" s="10"/>
      <c r="F12" s="67">
        <v>1</v>
      </c>
      <c r="G12" s="67">
        <v>0.01</v>
      </c>
      <c r="H12" s="10"/>
      <c r="I12" s="10"/>
      <c r="J12" s="10"/>
      <c r="K12" s="10"/>
      <c r="L12" s="10"/>
    </row>
    <row r="13" spans="1:12" ht="13.2">
      <c r="A13" s="240"/>
      <c r="B13" s="69" t="s">
        <v>29</v>
      </c>
      <c r="C13" s="70">
        <f>CEILING((  F13*(1+G13*(E$6*E$7*E$8*E$9))*(E$3*E$4*E$5)  ),0.1)</f>
        <v>1.1000000000000001</v>
      </c>
      <c r="D13" s="240"/>
      <c r="E13" s="10"/>
      <c r="F13" s="67">
        <v>1</v>
      </c>
      <c r="G13" s="67">
        <v>0.08</v>
      </c>
      <c r="H13" s="10"/>
      <c r="I13" s="10"/>
      <c r="J13" s="10"/>
      <c r="K13" s="10"/>
      <c r="L13" s="10"/>
    </row>
    <row r="14" spans="1:12" ht="13.2">
      <c r="A14" s="240"/>
      <c r="B14" s="69" t="s">
        <v>82</v>
      </c>
      <c r="C14" s="70">
        <f>CEILING((  F14*(1+G14*(E$3))*(E$6*E$4*E$5)  ),0.1)</f>
        <v>1.2000000000000002</v>
      </c>
      <c r="D14" s="240"/>
      <c r="E14" s="10"/>
      <c r="F14" s="67">
        <v>1</v>
      </c>
      <c r="G14" s="67">
        <v>0.15</v>
      </c>
      <c r="H14" s="10"/>
      <c r="I14" s="10"/>
      <c r="J14" s="10"/>
      <c r="K14" s="10"/>
      <c r="L14" s="10"/>
    </row>
    <row r="15" spans="1:12" ht="13.2">
      <c r="A15" s="240"/>
      <c r="B15" s="69" t="s">
        <v>113</v>
      </c>
      <c r="C15" s="70">
        <f>CEILING((  F15*(1+G15*(E$3*E$6*E$8*E$9))*(E$4*E$5)  ),0.1)</f>
        <v>1.3</v>
      </c>
      <c r="D15" s="240"/>
      <c r="E15" s="10"/>
      <c r="F15" s="67">
        <v>1</v>
      </c>
      <c r="G15" s="67">
        <v>0.25</v>
      </c>
      <c r="H15" s="10"/>
      <c r="I15" s="10"/>
      <c r="J15" s="10"/>
      <c r="K15" s="10"/>
      <c r="L15" s="10"/>
    </row>
    <row r="16" spans="1:12" ht="13.2">
      <c r="A16" s="240"/>
      <c r="B16" s="69" t="s">
        <v>114</v>
      </c>
      <c r="C16" s="70">
        <f>CEILING((  F16*(1+G16*(E$3*E$6))*(E$4*E$5)  ),0.1)</f>
        <v>0.70000000000000007</v>
      </c>
      <c r="D16" s="240"/>
      <c r="E16" s="10"/>
      <c r="F16" s="67">
        <v>0.5</v>
      </c>
      <c r="G16" s="67">
        <v>0.32200000000000001</v>
      </c>
      <c r="H16" s="10"/>
      <c r="I16" s="10"/>
      <c r="J16" s="10"/>
      <c r="K16" s="10"/>
      <c r="L16" s="10"/>
    </row>
    <row r="17" spans="1:12" ht="13.2">
      <c r="A17" s="240"/>
      <c r="B17" s="69" t="s">
        <v>52</v>
      </c>
      <c r="C17" s="70">
        <f>CEILING((  F17*(1+G17*(E$3*E$6*E$9))*(E$4)  ),0.1)</f>
        <v>0.9</v>
      </c>
      <c r="D17" s="240"/>
      <c r="E17" s="10"/>
      <c r="F17" s="67">
        <v>0.5</v>
      </c>
      <c r="G17" s="67">
        <v>0.8</v>
      </c>
      <c r="H17" s="10"/>
      <c r="I17" s="10"/>
      <c r="J17" s="10"/>
      <c r="K17" s="10"/>
      <c r="L17" s="10"/>
    </row>
    <row r="18" spans="1:12" ht="13.2">
      <c r="A18" s="240"/>
      <c r="B18" s="246" t="s">
        <v>35</v>
      </c>
      <c r="C18" s="61">
        <f>CEILING(SUM(C11:C17),1)</f>
        <v>7</v>
      </c>
      <c r="D18" s="240"/>
      <c r="E18" s="10"/>
      <c r="F18" s="10"/>
      <c r="G18" s="10"/>
      <c r="H18" s="10"/>
      <c r="I18" s="10"/>
      <c r="J18" s="10"/>
      <c r="K18" s="10"/>
      <c r="L18" s="10"/>
    </row>
    <row r="19" spans="1:12" ht="13.2">
      <c r="A19" s="240"/>
      <c r="B19" s="240"/>
      <c r="C19" s="71">
        <f>C18*Параметры!$B$2</f>
        <v>212800</v>
      </c>
      <c r="D19" s="240"/>
      <c r="E19" s="10"/>
      <c r="F19" s="10"/>
      <c r="G19" s="10"/>
      <c r="H19" s="10"/>
      <c r="I19" s="10"/>
      <c r="J19" s="10"/>
      <c r="K19" s="10"/>
      <c r="L19" s="10"/>
    </row>
    <row r="20" spans="1:12" ht="34.799999999999997" customHeight="1">
      <c r="A20" s="240"/>
      <c r="B20" s="72" t="s">
        <v>115</v>
      </c>
      <c r="C20" s="61" t="s">
        <v>24</v>
      </c>
      <c r="D20" s="240"/>
      <c r="E20" s="10"/>
      <c r="F20" s="10"/>
      <c r="G20" s="10"/>
      <c r="H20" s="10"/>
      <c r="I20" s="10"/>
      <c r="J20" s="10"/>
      <c r="K20" s="10"/>
      <c r="L20" s="10"/>
    </row>
    <row r="21" spans="1:12" ht="57.6" customHeight="1">
      <c r="A21" s="240"/>
      <c r="B21" s="252" t="s">
        <v>116</v>
      </c>
      <c r="C21" s="240"/>
      <c r="D21" s="240"/>
      <c r="E21" s="10"/>
      <c r="F21" s="10"/>
      <c r="G21" s="10"/>
      <c r="H21" s="10"/>
      <c r="I21" s="10"/>
      <c r="J21" s="10"/>
      <c r="K21" s="10"/>
      <c r="L21" s="10"/>
    </row>
    <row r="22" spans="1:12" ht="24.6" customHeight="1">
      <c r="A22" s="240"/>
      <c r="B22" s="73" t="s">
        <v>117</v>
      </c>
      <c r="C22" s="74" t="s">
        <v>118</v>
      </c>
      <c r="D22" s="240"/>
      <c r="E22" s="10"/>
      <c r="F22" s="10"/>
      <c r="G22" s="10"/>
      <c r="H22" s="10"/>
      <c r="I22" s="10"/>
      <c r="J22" s="10"/>
      <c r="K22" s="10"/>
      <c r="L22" s="10"/>
    </row>
    <row r="23" spans="1:12" ht="27.6" customHeight="1">
      <c r="A23" s="240"/>
      <c r="B23" s="246" t="s">
        <v>35</v>
      </c>
      <c r="C23" s="75" t="s">
        <v>104</v>
      </c>
      <c r="D23" s="240"/>
      <c r="E23" s="10"/>
      <c r="F23" s="10"/>
      <c r="G23" s="10"/>
      <c r="H23" s="10"/>
      <c r="I23" s="10"/>
      <c r="J23" s="10"/>
      <c r="K23" s="10"/>
      <c r="L23" s="10"/>
    </row>
    <row r="24" spans="1:12" ht="13.2">
      <c r="A24" s="240"/>
      <c r="B24" s="240"/>
      <c r="C24" s="76" t="s">
        <v>104</v>
      </c>
      <c r="D24" s="240"/>
      <c r="E24" s="10"/>
      <c r="F24" s="10"/>
      <c r="G24" s="10"/>
      <c r="H24" s="10"/>
      <c r="I24" s="10"/>
      <c r="J24" s="10"/>
      <c r="K24" s="10"/>
      <c r="L24" s="10"/>
    </row>
  </sheetData>
  <mergeCells count="6">
    <mergeCell ref="A1:A24"/>
    <mergeCell ref="B1:C1"/>
    <mergeCell ref="D1:D24"/>
    <mergeCell ref="B18:B19"/>
    <mergeCell ref="B21:C21"/>
    <mergeCell ref="B23:B24"/>
  </mergeCells>
  <dataValidations count="7">
    <dataValidation type="list" allowBlank="1" showErrorMessage="1" sqref="C9" xr:uid="{00000000-0002-0000-0500-000000000000}">
      <formula1>"Неизвестно,Непосредственно,Опосредованно"</formula1>
    </dataValidation>
    <dataValidation type="list" allowBlank="1" showErrorMessage="1" sqref="C8" xr:uid="{00000000-0002-0000-0500-000001000000}">
      <formula1>"Неизвестно,Да,Нет"</formula1>
    </dataValidation>
    <dataValidation type="list" allowBlank="1" showErrorMessage="1" sqref="C3" xr:uid="{00000000-0002-0000-0500-000002000000}">
      <formula1>"Нет,Да"</formula1>
    </dataValidation>
    <dataValidation type="list" allowBlank="1" showErrorMessage="1" sqref="C6" xr:uid="{00000000-0002-0000-0500-000003000000}">
      <formula1>"Неизвестно,Точечное,Малое,Среднее,Крупное,Большое,Масштабное"</formula1>
    </dataValidation>
    <dataValidation type="list" allowBlank="1" showErrorMessage="1" sqref="C7" xr:uid="{00000000-0002-0000-0500-000004000000}">
      <formula1>"Неизвестно,Высокая,Средняя,Низкая"</formula1>
    </dataValidation>
    <dataValidation type="list" allowBlank="1" showErrorMessage="1" sqref="C4" xr:uid="{00000000-0002-0000-0500-000005000000}">
      <formula1>"Неизвестно,Доработка,Новое"</formula1>
    </dataValidation>
    <dataValidation type="list" allowBlank="1" showErrorMessage="1" sqref="C5" xr:uid="{00000000-0002-0000-0500-000006000000}">
      <formula1>"Неизвестно,Низкая,Средняя,Высокая"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L13"/>
  <sheetViews>
    <sheetView workbookViewId="0">
      <selection activeCell="C3" sqref="C3"/>
    </sheetView>
  </sheetViews>
  <sheetFormatPr defaultColWidth="12.6640625" defaultRowHeight="15.75" customHeight="1" outlineLevelCol="1"/>
  <cols>
    <col min="1" max="1" width="3.33203125" customWidth="1"/>
    <col min="2" max="2" width="62.33203125" customWidth="1"/>
    <col min="3" max="3" width="16.21875" customWidth="1"/>
    <col min="4" max="4" width="3.21875" customWidth="1"/>
    <col min="5" max="6" width="12.77734375" customWidth="1" outlineLevel="1"/>
    <col min="7" max="7" width="11.77734375" customWidth="1" outlineLevel="1"/>
    <col min="8" max="8" width="9.109375" customWidth="1" outlineLevel="1"/>
    <col min="9" max="12" width="12.6640625" outlineLevel="1"/>
  </cols>
  <sheetData>
    <row r="1" spans="1:12">
      <c r="A1" s="239"/>
      <c r="B1" s="239" t="s">
        <v>119</v>
      </c>
      <c r="C1" s="240"/>
      <c r="D1" s="239"/>
      <c r="E1" s="2"/>
      <c r="F1" s="3"/>
      <c r="G1" s="4"/>
      <c r="H1" s="4"/>
      <c r="I1" s="4"/>
      <c r="J1" s="4"/>
      <c r="K1" s="4"/>
      <c r="L1" s="4"/>
    </row>
    <row r="2" spans="1:12">
      <c r="A2" s="240"/>
      <c r="B2" s="1" t="s">
        <v>1</v>
      </c>
      <c r="C2" s="1" t="s">
        <v>2</v>
      </c>
      <c r="D2" s="240"/>
      <c r="E2" s="2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</row>
    <row r="3" spans="1:12">
      <c r="A3" s="240"/>
      <c r="B3" s="11" t="s">
        <v>120</v>
      </c>
      <c r="C3" s="7" t="s">
        <v>121</v>
      </c>
      <c r="D3" s="240"/>
      <c r="E3" s="8">
        <f>IF(C3="Неизвестно",F3,IF(C3="Точечное",G3,IF(C3="Малое",H3,IF(C3="Среднее",I3,IF(C3="Крупное",J3,IF(C3="Большое",K3,IF(C3="Масштабное",L3,"")))))))</f>
        <v>1</v>
      </c>
      <c r="F3" s="9">
        <v>1.25</v>
      </c>
      <c r="G3" s="9">
        <v>0.5</v>
      </c>
      <c r="H3" s="9">
        <v>0.75</v>
      </c>
      <c r="I3" s="9">
        <v>1</v>
      </c>
      <c r="J3" s="9">
        <v>1.25</v>
      </c>
      <c r="K3" s="9">
        <v>1.5</v>
      </c>
      <c r="L3" s="9">
        <v>1.75</v>
      </c>
    </row>
    <row r="4" spans="1:12">
      <c r="A4" s="240"/>
      <c r="B4" s="6" t="s">
        <v>122</v>
      </c>
      <c r="C4" s="7" t="s">
        <v>18</v>
      </c>
      <c r="D4" s="240"/>
      <c r="E4" s="8">
        <f t="shared" ref="E4:E5" si="0">IF(C4="Неизвестно",F4,IF(C4="Да",G4,IF(C4="Нет",H4,"")))</f>
        <v>1</v>
      </c>
      <c r="F4" s="9">
        <v>1</v>
      </c>
      <c r="G4" s="9">
        <v>1</v>
      </c>
      <c r="H4" s="9">
        <v>0</v>
      </c>
      <c r="I4" s="10"/>
      <c r="J4" s="10"/>
      <c r="K4" s="10"/>
      <c r="L4" s="10"/>
    </row>
    <row r="5" spans="1:12">
      <c r="A5" s="240"/>
      <c r="B5" s="6" t="s">
        <v>123</v>
      </c>
      <c r="C5" s="7" t="s">
        <v>18</v>
      </c>
      <c r="D5" s="240"/>
      <c r="E5" s="8">
        <f t="shared" si="0"/>
        <v>1</v>
      </c>
      <c r="F5" s="9">
        <v>1</v>
      </c>
      <c r="G5" s="9">
        <v>1</v>
      </c>
      <c r="H5" s="9">
        <v>0</v>
      </c>
      <c r="I5" s="10"/>
      <c r="J5" s="10"/>
      <c r="K5" s="10"/>
      <c r="L5" s="10"/>
    </row>
    <row r="6" spans="1:12">
      <c r="A6" s="240"/>
      <c r="B6" s="12" t="s">
        <v>124</v>
      </c>
      <c r="C6" s="1" t="s">
        <v>24</v>
      </c>
      <c r="D6" s="240"/>
      <c r="E6" s="13"/>
      <c r="F6" s="5" t="s">
        <v>25</v>
      </c>
      <c r="G6" s="5" t="s">
        <v>26</v>
      </c>
      <c r="H6" s="3"/>
      <c r="I6" s="4"/>
      <c r="J6" s="4"/>
      <c r="K6" s="4"/>
      <c r="L6" s="4"/>
    </row>
    <row r="7" spans="1:12">
      <c r="A7" s="240"/>
      <c r="B7" s="14" t="s">
        <v>125</v>
      </c>
      <c r="C7" s="15">
        <f>CEILING((F7*(1+G7*(E$3+E$4+E$5))*(E$3)),0.1)</f>
        <v>2</v>
      </c>
      <c r="D7" s="240"/>
      <c r="E7" s="8"/>
      <c r="F7" s="9">
        <v>1</v>
      </c>
      <c r="G7" s="9">
        <v>0.31</v>
      </c>
      <c r="H7" s="9"/>
      <c r="I7" s="10"/>
      <c r="J7" s="10"/>
      <c r="K7" s="10"/>
      <c r="L7" s="10"/>
    </row>
    <row r="8" spans="1:12">
      <c r="A8" s="240"/>
      <c r="B8" s="14" t="s">
        <v>126</v>
      </c>
      <c r="C8" s="15">
        <f t="shared" ref="C8" si="1">CEILING((F8*(1+G8*(E$3+E$4+E$5))*(E$3)),0.1)</f>
        <v>3.8000000000000003</v>
      </c>
      <c r="D8" s="240"/>
      <c r="E8" s="8"/>
      <c r="F8" s="9">
        <v>2</v>
      </c>
      <c r="G8" s="9">
        <v>0.3</v>
      </c>
      <c r="H8" s="9"/>
      <c r="I8" s="10"/>
      <c r="J8" s="10"/>
      <c r="K8" s="10"/>
      <c r="L8" s="10"/>
    </row>
    <row r="9" spans="1:12">
      <c r="A9" s="240"/>
      <c r="B9" s="14" t="s">
        <v>127</v>
      </c>
      <c r="C9" s="15">
        <f>CEILING((F9*(1+G9*(E$3+E$5))*(E$3*E$4)),0.1)</f>
        <v>0.8</v>
      </c>
      <c r="D9" s="240"/>
      <c r="E9" s="8"/>
      <c r="F9" s="9">
        <v>0.5</v>
      </c>
      <c r="G9" s="9">
        <v>0.3</v>
      </c>
      <c r="H9" s="9"/>
      <c r="I9" s="10"/>
      <c r="J9" s="10"/>
      <c r="K9" s="10"/>
      <c r="L9" s="10"/>
    </row>
    <row r="10" spans="1:12">
      <c r="A10" s="240"/>
      <c r="B10" s="14" t="s">
        <v>128</v>
      </c>
      <c r="C10" s="15">
        <f>CEILING((F10*(1+G10*(E$3+E$4+E$5))*(E$3)),0.1)</f>
        <v>4.4000000000000004</v>
      </c>
      <c r="D10" s="240"/>
      <c r="E10" s="8"/>
      <c r="F10" s="9">
        <v>2</v>
      </c>
      <c r="G10" s="9">
        <v>0.4</v>
      </c>
      <c r="H10" s="9"/>
      <c r="I10" s="10"/>
      <c r="J10" s="10"/>
      <c r="K10" s="10"/>
      <c r="L10" s="10"/>
    </row>
    <row r="11" spans="1:12">
      <c r="A11" s="240"/>
      <c r="B11" s="14" t="s">
        <v>129</v>
      </c>
      <c r="C11" s="15">
        <f>CEILING((F11*(1+G11*(E$3+E$4))*(E$5*E$3)),0.1)</f>
        <v>0.8</v>
      </c>
      <c r="D11" s="240"/>
      <c r="E11" s="8"/>
      <c r="F11" s="9">
        <v>0.5</v>
      </c>
      <c r="G11" s="9">
        <v>0.3</v>
      </c>
      <c r="H11" s="9"/>
      <c r="I11" s="10"/>
      <c r="J11" s="10"/>
      <c r="K11" s="10"/>
      <c r="L11" s="10"/>
    </row>
    <row r="12" spans="1:12">
      <c r="A12" s="240"/>
      <c r="B12" s="241" t="s">
        <v>35</v>
      </c>
      <c r="C12" s="16">
        <f>ROUND(SUM(C7:C11),0)</f>
        <v>12</v>
      </c>
      <c r="D12" s="240"/>
      <c r="E12" s="13"/>
      <c r="F12" s="3"/>
      <c r="G12" s="3"/>
      <c r="H12" s="3"/>
      <c r="I12" s="4"/>
      <c r="J12" s="4"/>
      <c r="K12" s="4"/>
      <c r="L12" s="4"/>
    </row>
    <row r="13" spans="1:12">
      <c r="A13" s="240"/>
      <c r="B13" s="240"/>
      <c r="C13" s="17">
        <f>C12*Параметры!$B$2</f>
        <v>364800</v>
      </c>
      <c r="D13" s="240"/>
      <c r="E13" s="2"/>
      <c r="F13" s="3"/>
      <c r="G13" s="3"/>
      <c r="H13" s="3"/>
      <c r="I13" s="4"/>
      <c r="J13" s="4"/>
      <c r="K13" s="4"/>
      <c r="L13" s="4"/>
    </row>
  </sheetData>
  <mergeCells count="4">
    <mergeCell ref="A1:A13"/>
    <mergeCell ref="B1:C1"/>
    <mergeCell ref="D1:D13"/>
    <mergeCell ref="B12:B13"/>
  </mergeCells>
  <dataValidations count="2">
    <dataValidation type="list" allowBlank="1" showErrorMessage="1" sqref="C3" xr:uid="{00000000-0002-0000-0600-000000000000}">
      <formula1>"Неизвестно,Точечное,Малое,Среднее,Крупное,Большое,Масштабное"</formula1>
    </dataValidation>
    <dataValidation type="list" allowBlank="1" showErrorMessage="1" sqref="C4:C5" xr:uid="{00000000-0002-0000-0600-000001000000}">
      <formula1>"Неизвестно,Нет,Да"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L21"/>
  <sheetViews>
    <sheetView workbookViewId="0">
      <selection sqref="A1:A21"/>
    </sheetView>
  </sheetViews>
  <sheetFormatPr defaultColWidth="12.6640625" defaultRowHeight="15.75" customHeight="1" outlineLevelCol="1"/>
  <cols>
    <col min="1" max="1" width="3.33203125" customWidth="1"/>
    <col min="2" max="2" width="71.21875" customWidth="1"/>
    <col min="3" max="3" width="16.21875" customWidth="1"/>
    <col min="4" max="4" width="3.21875" customWidth="1"/>
    <col min="5" max="6" width="12.77734375" customWidth="1" outlineLevel="1"/>
    <col min="7" max="7" width="11.77734375" customWidth="1" outlineLevel="1"/>
    <col min="8" max="8" width="9.109375" customWidth="1" outlineLevel="1"/>
    <col min="9" max="12" width="12.6640625" outlineLevel="1"/>
  </cols>
  <sheetData>
    <row r="1" spans="1:12">
      <c r="A1" s="239"/>
      <c r="B1" s="239" t="s">
        <v>130</v>
      </c>
      <c r="C1" s="240"/>
      <c r="D1" s="239"/>
      <c r="E1" s="2"/>
      <c r="F1" s="3"/>
      <c r="G1" s="4"/>
      <c r="H1" s="4"/>
      <c r="I1" s="4"/>
      <c r="J1" s="4"/>
      <c r="K1" s="4"/>
      <c r="L1" s="4"/>
    </row>
    <row r="2" spans="1:12">
      <c r="A2" s="240"/>
      <c r="B2" s="1" t="s">
        <v>1</v>
      </c>
      <c r="C2" s="1" t="s">
        <v>2</v>
      </c>
      <c r="D2" s="240"/>
      <c r="E2" s="2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</row>
    <row r="3" spans="1:12">
      <c r="A3" s="240"/>
      <c r="B3" s="6" t="s">
        <v>131</v>
      </c>
      <c r="C3" s="7" t="s">
        <v>11</v>
      </c>
      <c r="D3" s="240"/>
      <c r="E3" s="8">
        <f>IF(C3="Нет", G3, IF(C3="Да", H3, ""))</f>
        <v>1</v>
      </c>
      <c r="F3" s="9"/>
      <c r="G3" s="9">
        <v>1</v>
      </c>
      <c r="H3" s="9">
        <v>0.75</v>
      </c>
      <c r="I3" s="10"/>
      <c r="J3" s="10"/>
      <c r="K3" s="10"/>
      <c r="L3" s="10"/>
    </row>
    <row r="4" spans="1:12">
      <c r="A4" s="240"/>
      <c r="B4" s="6" t="s">
        <v>12</v>
      </c>
      <c r="C4" s="7" t="s">
        <v>13</v>
      </c>
      <c r="D4" s="240"/>
      <c r="E4" s="8">
        <f>IF(C4="Неизвестно",F4,IF(C4="Низкая",G4,IF(C4="Средняя",H4,IF(C4="Высокая",I4,""))))</f>
        <v>1.5</v>
      </c>
      <c r="F4" s="9">
        <v>1.25</v>
      </c>
      <c r="G4" s="9">
        <v>0.75</v>
      </c>
      <c r="H4" s="9">
        <v>1</v>
      </c>
      <c r="I4" s="9">
        <v>1.5</v>
      </c>
      <c r="J4" s="10"/>
      <c r="K4" s="10"/>
      <c r="L4" s="10"/>
    </row>
    <row r="5" spans="1:12">
      <c r="A5" s="240"/>
      <c r="B5" s="6" t="s">
        <v>14</v>
      </c>
      <c r="C5" s="7" t="s">
        <v>15</v>
      </c>
      <c r="D5" s="240"/>
      <c r="E5" s="8">
        <f>IF(C5="Неизвестно",F5,IF(C5="Точечное",G5,IF(C5="Малое",H5,IF(C5="Среднее",I5,IF(C5="Крупное",J5,IF(C5="Большое",K5,IF(C5="Масштабное",L5,"")))))))</f>
        <v>1.75</v>
      </c>
      <c r="F5" s="9">
        <v>1.25</v>
      </c>
      <c r="G5" s="9">
        <v>0.5</v>
      </c>
      <c r="H5" s="9">
        <v>0.75</v>
      </c>
      <c r="I5" s="9">
        <v>1</v>
      </c>
      <c r="J5" s="9">
        <v>1.25</v>
      </c>
      <c r="K5" s="9">
        <v>1.5</v>
      </c>
      <c r="L5" s="9">
        <v>1.75</v>
      </c>
    </row>
    <row r="6" spans="1:12">
      <c r="A6" s="240"/>
      <c r="B6" s="6" t="s">
        <v>16</v>
      </c>
      <c r="C6" s="7" t="s">
        <v>108</v>
      </c>
      <c r="D6" s="240"/>
      <c r="E6" s="8">
        <f>IF(C6="Неизвестно",F6,IF(C6="Низкая",G6,IF(C6="Средняя",H6,IF(C6="Высокая",I6,""))))</f>
        <v>1.25</v>
      </c>
      <c r="F6" s="9">
        <v>1</v>
      </c>
      <c r="G6" s="9">
        <v>1.5</v>
      </c>
      <c r="H6" s="9">
        <v>1.25</v>
      </c>
      <c r="I6" s="9">
        <v>0.75</v>
      </c>
      <c r="J6" s="10"/>
      <c r="K6" s="10"/>
      <c r="L6" s="10"/>
    </row>
    <row r="7" spans="1:12">
      <c r="A7" s="240"/>
      <c r="B7" s="6" t="s">
        <v>17</v>
      </c>
      <c r="C7" s="7" t="s">
        <v>18</v>
      </c>
      <c r="D7" s="240"/>
      <c r="E7" s="8">
        <f t="shared" ref="E7:E8" si="0">IF(C7="Неизвестно",F7,IF(C7="Да",G7,IF(C7="Нет",H7,"")))</f>
        <v>0.75</v>
      </c>
      <c r="F7" s="9">
        <v>1</v>
      </c>
      <c r="G7" s="9">
        <v>0.75</v>
      </c>
      <c r="H7" s="9">
        <v>1.25</v>
      </c>
      <c r="I7" s="9"/>
      <c r="J7" s="10"/>
      <c r="K7" s="10"/>
      <c r="L7" s="10"/>
    </row>
    <row r="8" spans="1:12">
      <c r="A8" s="240"/>
      <c r="B8" s="6" t="s">
        <v>19</v>
      </c>
      <c r="C8" s="7" t="s">
        <v>18</v>
      </c>
      <c r="D8" s="240"/>
      <c r="E8" s="8">
        <f t="shared" si="0"/>
        <v>0.75</v>
      </c>
      <c r="F8" s="9">
        <v>1</v>
      </c>
      <c r="G8" s="9">
        <v>0.75</v>
      </c>
      <c r="H8" s="9">
        <v>1.25</v>
      </c>
      <c r="I8" s="10"/>
      <c r="J8" s="10"/>
      <c r="K8" s="10"/>
      <c r="L8" s="10"/>
    </row>
    <row r="9" spans="1:12">
      <c r="A9" s="240"/>
      <c r="B9" s="12" t="s">
        <v>132</v>
      </c>
      <c r="C9" s="1" t="s">
        <v>24</v>
      </c>
      <c r="D9" s="240"/>
      <c r="E9" s="13"/>
      <c r="F9" s="5" t="s">
        <v>25</v>
      </c>
      <c r="G9" s="5" t="s">
        <v>26</v>
      </c>
      <c r="H9" s="3"/>
      <c r="I9" s="4"/>
      <c r="J9" s="4"/>
      <c r="K9" s="4"/>
      <c r="L9" s="4"/>
    </row>
    <row r="10" spans="1:12">
      <c r="A10" s="240"/>
      <c r="B10" s="14" t="s">
        <v>133</v>
      </c>
      <c r="C10" s="15">
        <f>CEILING((F10*(1+G10*E4*E5*E6*E7*E8))*(E3),0.1)</f>
        <v>0.8</v>
      </c>
      <c r="D10" s="240"/>
      <c r="E10" s="8"/>
      <c r="F10" s="9">
        <v>0.5</v>
      </c>
      <c r="G10" s="9">
        <v>0.31</v>
      </c>
      <c r="H10" s="9"/>
      <c r="I10" s="10"/>
      <c r="J10" s="10"/>
      <c r="K10" s="10"/>
      <c r="L10" s="10"/>
    </row>
    <row r="11" spans="1:12">
      <c r="A11" s="240"/>
      <c r="B11" s="14" t="s">
        <v>28</v>
      </c>
      <c r="C11" s="15">
        <f>CEILING((F11*(1+G11*(E3*E4*E5*E6*E7*E8))),0.1)</f>
        <v>0.9</v>
      </c>
      <c r="D11" s="240"/>
      <c r="E11" s="8"/>
      <c r="F11" s="9">
        <v>0.5</v>
      </c>
      <c r="G11" s="9">
        <v>0.33</v>
      </c>
      <c r="H11" s="9"/>
      <c r="I11" s="10"/>
      <c r="J11" s="10"/>
      <c r="K11" s="10"/>
      <c r="L11" s="10"/>
    </row>
    <row r="12" spans="1:12">
      <c r="A12" s="240"/>
      <c r="B12" s="14" t="s">
        <v>29</v>
      </c>
      <c r="C12" s="15">
        <f>CEILING((F12*(1+G12*(E4*E5*E6*E7*E8))*(E3)),0.1)</f>
        <v>0.9</v>
      </c>
      <c r="D12" s="240"/>
      <c r="E12" s="8"/>
      <c r="F12" s="9">
        <v>0.5</v>
      </c>
      <c r="G12" s="9">
        <v>0.4</v>
      </c>
      <c r="H12" s="9"/>
      <c r="I12" s="10"/>
      <c r="J12" s="10"/>
      <c r="K12" s="10"/>
      <c r="L12" s="10"/>
    </row>
    <row r="13" spans="1:12">
      <c r="A13" s="240"/>
      <c r="B13" s="14" t="s">
        <v>134</v>
      </c>
      <c r="C13" s="15">
        <f>CEILING((F13*(1+G13*(E3*E4*E6*E8))*(E5*E7)),0.1)</f>
        <v>2.4000000000000004</v>
      </c>
      <c r="D13" s="240"/>
      <c r="E13" s="8"/>
      <c r="F13" s="9">
        <v>1</v>
      </c>
      <c r="G13" s="9">
        <v>0.55000000000000004</v>
      </c>
      <c r="H13" s="9"/>
      <c r="I13" s="10"/>
      <c r="J13" s="10"/>
      <c r="K13" s="10"/>
      <c r="L13" s="10"/>
    </row>
    <row r="14" spans="1:12">
      <c r="A14" s="240"/>
      <c r="B14" s="14" t="s">
        <v>135</v>
      </c>
      <c r="C14" s="15">
        <f>CEILING((F14*(1+G14*(E3*E4*E6*E8))*(E5*E7)),0.1)</f>
        <v>2.4000000000000004</v>
      </c>
      <c r="D14" s="240"/>
      <c r="E14" s="8"/>
      <c r="F14" s="9">
        <v>1</v>
      </c>
      <c r="G14" s="9">
        <v>0.55000000000000004</v>
      </c>
      <c r="H14" s="9"/>
      <c r="I14" s="10"/>
      <c r="J14" s="10"/>
      <c r="K14" s="10"/>
      <c r="L14" s="10"/>
    </row>
    <row r="15" spans="1:12">
      <c r="A15" s="240"/>
      <c r="B15" s="14" t="s">
        <v>136</v>
      </c>
      <c r="C15" s="15">
        <f>CEILING((F15*(1+G15*(E3*E4*E6*E8))*(E5*E7)),0.1)</f>
        <v>2.4000000000000004</v>
      </c>
      <c r="D15" s="240"/>
      <c r="E15" s="8"/>
      <c r="F15" s="9">
        <v>1</v>
      </c>
      <c r="G15" s="9">
        <v>0.55000000000000004</v>
      </c>
      <c r="H15" s="9"/>
      <c r="I15" s="10"/>
      <c r="J15" s="10"/>
      <c r="K15" s="10"/>
      <c r="L15" s="10"/>
    </row>
    <row r="16" spans="1:12">
      <c r="A16" s="240"/>
      <c r="B16" s="14" t="s">
        <v>137</v>
      </c>
      <c r="C16" s="15">
        <f>CEILING((F16*(1+G16*(E3*E4*E6*E8))*(E5*E7)),0.1)</f>
        <v>2.4000000000000004</v>
      </c>
      <c r="D16" s="240"/>
      <c r="E16" s="8"/>
      <c r="F16" s="9">
        <v>1</v>
      </c>
      <c r="G16" s="9">
        <v>0.55000000000000004</v>
      </c>
      <c r="H16" s="9"/>
      <c r="I16" s="10"/>
      <c r="J16" s="10"/>
      <c r="K16" s="10"/>
      <c r="L16" s="10"/>
    </row>
    <row r="17" spans="1:12">
      <c r="A17" s="240"/>
      <c r="B17" s="14" t="s">
        <v>138</v>
      </c>
      <c r="C17" s="15">
        <f>CEILING((F17*(1+G17*(E3))*(E4*E5)),0.1)</f>
        <v>1.7000000000000002</v>
      </c>
      <c r="D17" s="240"/>
      <c r="E17" s="8"/>
      <c r="F17" s="9">
        <v>0.5</v>
      </c>
      <c r="G17" s="9">
        <v>0.22</v>
      </c>
      <c r="H17" s="9"/>
      <c r="I17" s="10"/>
      <c r="J17" s="10"/>
      <c r="K17" s="10"/>
      <c r="L17" s="10"/>
    </row>
    <row r="18" spans="1:12">
      <c r="A18" s="240"/>
      <c r="B18" s="14" t="s">
        <v>34</v>
      </c>
      <c r="C18" s="15">
        <f>CEILING((F18*(1+G18*(E5))*(E3)),0.1)</f>
        <v>0.9</v>
      </c>
      <c r="D18" s="240"/>
      <c r="E18" s="8"/>
      <c r="F18" s="9">
        <v>0.5</v>
      </c>
      <c r="G18" s="9">
        <v>0.45</v>
      </c>
      <c r="H18" s="9"/>
      <c r="I18" s="10"/>
      <c r="J18" s="10"/>
      <c r="K18" s="10"/>
      <c r="L18" s="10"/>
    </row>
    <row r="19" spans="1:12">
      <c r="A19" s="240"/>
      <c r="B19" s="14" t="s">
        <v>139</v>
      </c>
      <c r="C19" s="15">
        <f>CEILING((F19*(1+G19)*(E4*E5)),0.1)</f>
        <v>6.5</v>
      </c>
      <c r="D19" s="240"/>
      <c r="E19" s="8"/>
      <c r="F19" s="9">
        <v>2</v>
      </c>
      <c r="G19" s="9">
        <v>0.22</v>
      </c>
      <c r="H19" s="9"/>
      <c r="I19" s="10"/>
      <c r="J19" s="10"/>
      <c r="K19" s="10"/>
      <c r="L19" s="10"/>
    </row>
    <row r="20" spans="1:12">
      <c r="A20" s="240"/>
      <c r="B20" s="241" t="s">
        <v>35</v>
      </c>
      <c r="C20" s="16">
        <f>ROUND(SUM(C10:C19),0)</f>
        <v>21</v>
      </c>
      <c r="D20" s="240"/>
      <c r="E20" s="13"/>
      <c r="F20" s="3"/>
      <c r="G20" s="3"/>
      <c r="H20" s="3"/>
      <c r="I20" s="4"/>
      <c r="J20" s="4"/>
      <c r="K20" s="4"/>
      <c r="L20" s="4"/>
    </row>
    <row r="21" spans="1:12">
      <c r="A21" s="240"/>
      <c r="B21" s="240"/>
      <c r="C21" s="17">
        <f>C20*Параметры!$B$2</f>
        <v>638400</v>
      </c>
      <c r="D21" s="240"/>
      <c r="E21" s="2"/>
      <c r="F21" s="3"/>
      <c r="G21" s="3"/>
      <c r="H21" s="3"/>
      <c r="I21" s="4"/>
      <c r="J21" s="4"/>
      <c r="K21" s="4"/>
      <c r="L21" s="4"/>
    </row>
  </sheetData>
  <mergeCells count="4">
    <mergeCell ref="A1:A21"/>
    <mergeCell ref="B1:C1"/>
    <mergeCell ref="D1:D21"/>
    <mergeCell ref="B20:B21"/>
  </mergeCells>
  <dataValidations count="5">
    <dataValidation type="list" allowBlank="1" showErrorMessage="1" sqref="C7:C8" xr:uid="{00000000-0002-0000-0700-000000000000}">
      <formula1>"Неизвестно,Да,Нет"</formula1>
    </dataValidation>
    <dataValidation type="list" allowBlank="1" showErrorMessage="1" sqref="C3" xr:uid="{00000000-0002-0000-0700-000001000000}">
      <formula1>"Нет,Да"</formula1>
    </dataValidation>
    <dataValidation type="list" allowBlank="1" showErrorMessage="1" sqref="C5" xr:uid="{00000000-0002-0000-0700-000002000000}">
      <formula1>"Неизвестно,Точечное,Малое,Среднее,Крупное,Большое,Масштабное"</formula1>
    </dataValidation>
    <dataValidation type="list" allowBlank="1" showErrorMessage="1" sqref="C6" xr:uid="{00000000-0002-0000-0700-000003000000}">
      <formula1>"Неизвестно,Высокая,Средняя,Низкая"</formula1>
    </dataValidation>
    <dataValidation type="list" allowBlank="1" showErrorMessage="1" sqref="C4" xr:uid="{00000000-0002-0000-0700-000004000000}">
      <formula1>"Неизвестно,Низкая,Средняя,Высокая"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L29"/>
  <sheetViews>
    <sheetView workbookViewId="0">
      <selection sqref="A1:A29"/>
    </sheetView>
  </sheetViews>
  <sheetFormatPr defaultColWidth="12.6640625" defaultRowHeight="15.75" customHeight="1" outlineLevelCol="1"/>
  <cols>
    <col min="1" max="1" width="3" customWidth="1"/>
    <col min="2" max="2" width="51.21875" customWidth="1"/>
    <col min="3" max="3" width="18.77734375" customWidth="1"/>
    <col min="4" max="4" width="3.6640625" customWidth="1"/>
    <col min="5" max="12" width="12.6640625" outlineLevel="1"/>
  </cols>
  <sheetData>
    <row r="1" spans="1:12">
      <c r="A1" s="250"/>
      <c r="B1" s="253" t="s">
        <v>140</v>
      </c>
      <c r="C1" s="240"/>
      <c r="D1" s="250"/>
      <c r="E1" s="10"/>
      <c r="F1" s="10"/>
      <c r="G1" s="10"/>
      <c r="H1" s="10"/>
      <c r="I1" s="10"/>
      <c r="J1" s="10"/>
      <c r="K1" s="10"/>
      <c r="L1" s="10"/>
    </row>
    <row r="2" spans="1:12">
      <c r="A2" s="240"/>
      <c r="B2" s="61" t="s">
        <v>1</v>
      </c>
      <c r="C2" s="61" t="s">
        <v>2</v>
      </c>
      <c r="D2" s="240"/>
      <c r="E2" s="62" t="s">
        <v>3</v>
      </c>
      <c r="F2" s="63" t="s">
        <v>4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</row>
    <row r="3" spans="1:12">
      <c r="A3" s="240"/>
      <c r="B3" s="64" t="s">
        <v>37</v>
      </c>
      <c r="C3" s="65" t="s">
        <v>18</v>
      </c>
      <c r="D3" s="240"/>
      <c r="E3" s="66">
        <f>IF(C3="Нет",G3,IF(C3="Да",H3,""))</f>
        <v>0.75</v>
      </c>
      <c r="F3" s="10"/>
      <c r="G3" s="67">
        <v>1</v>
      </c>
      <c r="H3" s="67">
        <v>0.75</v>
      </c>
      <c r="I3" s="10"/>
      <c r="J3" s="10"/>
      <c r="K3" s="10"/>
      <c r="L3" s="10"/>
    </row>
    <row r="4" spans="1:12">
      <c r="A4" s="240"/>
      <c r="B4" s="64" t="s">
        <v>73</v>
      </c>
      <c r="C4" s="65" t="s">
        <v>106</v>
      </c>
      <c r="D4" s="240"/>
      <c r="E4" s="66">
        <f>IF(C4="Неизвестно",F4,IF(C4="Доработка",G4,IF(C4="Новое",H4,"")))</f>
        <v>0.75</v>
      </c>
      <c r="F4" s="67">
        <v>1</v>
      </c>
      <c r="G4" s="67">
        <v>0.75</v>
      </c>
      <c r="H4" s="67">
        <v>1.1000000000000001</v>
      </c>
      <c r="I4" s="10"/>
      <c r="J4" s="10"/>
      <c r="K4" s="10"/>
      <c r="L4" s="10"/>
    </row>
    <row r="5" spans="1:12">
      <c r="A5" s="240"/>
      <c r="B5" s="64" t="s">
        <v>107</v>
      </c>
      <c r="C5" s="65" t="s">
        <v>108</v>
      </c>
      <c r="D5" s="240"/>
      <c r="E5" s="66">
        <f>IF(C5="Неизвестно",F5,IF(C5="Низкая",G5,IF(C5="Средняя",H5,IF(C5="Высокая",I5,""))))</f>
        <v>1</v>
      </c>
      <c r="F5" s="67">
        <v>1.25</v>
      </c>
      <c r="G5" s="67">
        <v>0.75</v>
      </c>
      <c r="H5" s="67">
        <v>1</v>
      </c>
      <c r="I5" s="67">
        <v>1.5</v>
      </c>
      <c r="J5" s="10"/>
      <c r="K5" s="10"/>
      <c r="L5" s="10"/>
    </row>
    <row r="6" spans="1:12">
      <c r="A6" s="240"/>
      <c r="B6" s="64" t="s">
        <v>39</v>
      </c>
      <c r="C6" s="65" t="s">
        <v>109</v>
      </c>
      <c r="D6" s="240"/>
      <c r="E6" s="66">
        <f>IF(C6="Неизвестно",F6,IF(C6="Точечное",G6,IF(C6="Малое",H6,IF(C6="Среднее",I6,IF(C6="Крупное",J6,IF(C6="Большое",K6,IF(C6="Масштабное",L6,"")))))))</f>
        <v>0.5</v>
      </c>
      <c r="F6" s="67">
        <v>1.25</v>
      </c>
      <c r="G6" s="67">
        <v>0.5</v>
      </c>
      <c r="H6" s="67">
        <v>0.75</v>
      </c>
      <c r="I6" s="67">
        <v>1</v>
      </c>
      <c r="J6" s="67">
        <v>1.25</v>
      </c>
      <c r="K6" s="67">
        <v>1.5</v>
      </c>
      <c r="L6" s="67">
        <v>1.75</v>
      </c>
    </row>
    <row r="7" spans="1:12">
      <c r="A7" s="240"/>
      <c r="B7" s="64" t="s">
        <v>16</v>
      </c>
      <c r="C7" s="65" t="s">
        <v>13</v>
      </c>
      <c r="D7" s="240"/>
      <c r="E7" s="66">
        <f>IF(C7="Неизвестно",F7,IF(C7="Низкая",G7,IF(C7="Средняя",H7,IF(C7="Высокая",I7,""))))</f>
        <v>0.75</v>
      </c>
      <c r="F7" s="67">
        <v>1</v>
      </c>
      <c r="G7" s="67">
        <v>1.5</v>
      </c>
      <c r="H7" s="67">
        <v>1.25</v>
      </c>
      <c r="I7" s="67">
        <v>0.75</v>
      </c>
      <c r="J7" s="10"/>
      <c r="K7" s="10"/>
      <c r="L7" s="10"/>
    </row>
    <row r="8" spans="1:12">
      <c r="A8" s="240"/>
      <c r="B8" s="64" t="s">
        <v>74</v>
      </c>
      <c r="C8" s="65" t="s">
        <v>11</v>
      </c>
      <c r="D8" s="240"/>
      <c r="E8" s="66">
        <f>IF(C8="Неизвестно",F8,IF(C8="Да",G8,IF(C8="Нет",H8,"")))</f>
        <v>1.1000000000000001</v>
      </c>
      <c r="F8" s="67">
        <v>1</v>
      </c>
      <c r="G8" s="67">
        <v>0.9</v>
      </c>
      <c r="H8" s="67">
        <v>1.1000000000000001</v>
      </c>
      <c r="I8" s="10"/>
      <c r="J8" s="10"/>
      <c r="K8" s="10"/>
      <c r="L8" s="10"/>
    </row>
    <row r="9" spans="1:12">
      <c r="A9" s="240"/>
      <c r="B9" s="64" t="s">
        <v>110</v>
      </c>
      <c r="C9" s="65" t="s">
        <v>111</v>
      </c>
      <c r="D9" s="240"/>
      <c r="E9" s="66">
        <f>IF(C9="Неизвестно",F9,IF(C9="Непосредственно",G9,IF(C9="Опосредованно",H9,"")))</f>
        <v>0.8</v>
      </c>
      <c r="F9" s="67">
        <v>1</v>
      </c>
      <c r="G9" s="67">
        <v>0.8</v>
      </c>
      <c r="H9" s="67">
        <v>1.2</v>
      </c>
      <c r="I9" s="10"/>
      <c r="J9" s="10"/>
      <c r="K9" s="10"/>
      <c r="L9" s="10"/>
    </row>
    <row r="10" spans="1:12">
      <c r="A10" s="240"/>
      <c r="B10" s="68" t="s">
        <v>141</v>
      </c>
      <c r="C10" s="61" t="s">
        <v>24</v>
      </c>
      <c r="D10" s="240"/>
      <c r="E10" s="10"/>
      <c r="F10" s="63" t="s">
        <v>25</v>
      </c>
      <c r="G10" s="63" t="s">
        <v>26</v>
      </c>
      <c r="H10" s="10"/>
      <c r="I10" s="10"/>
      <c r="J10" s="10"/>
      <c r="K10" s="10"/>
      <c r="L10" s="10"/>
    </row>
    <row r="11" spans="1:12">
      <c r="A11" s="240"/>
      <c r="B11" s="69" t="s">
        <v>27</v>
      </c>
      <c r="C11" s="70">
        <f>CEILING((  F11*(1+G11*(E$5*E$6*E$7*E$8*E$9))*(E$3*E$4)  ),0.1)</f>
        <v>0.4</v>
      </c>
      <c r="D11" s="240"/>
      <c r="E11" s="10"/>
      <c r="F11" s="67">
        <v>0.5</v>
      </c>
      <c r="G11" s="67">
        <v>0.248</v>
      </c>
      <c r="H11" s="10"/>
      <c r="I11" s="10"/>
      <c r="J11" s="10"/>
      <c r="K11" s="10"/>
      <c r="L11" s="10"/>
    </row>
    <row r="12" spans="1:12">
      <c r="A12" s="240"/>
      <c r="B12" s="69" t="s">
        <v>28</v>
      </c>
      <c r="C12" s="70">
        <f>CEILING((  F12*(1+G12*(E$3*E$4*E$5*E$7*E$8*E$9))*(E$6)  ),0.1)</f>
        <v>0.60000000000000009</v>
      </c>
      <c r="D12" s="240"/>
      <c r="E12" s="10"/>
      <c r="F12" s="67">
        <v>1</v>
      </c>
      <c r="G12" s="67">
        <v>0.01</v>
      </c>
      <c r="H12" s="10"/>
      <c r="I12" s="10"/>
      <c r="J12" s="10"/>
      <c r="K12" s="10"/>
      <c r="L12" s="10"/>
    </row>
    <row r="13" spans="1:12">
      <c r="A13" s="240"/>
      <c r="B13" s="69" t="s">
        <v>142</v>
      </c>
      <c r="C13" s="70">
        <f t="shared" ref="C13:C15" si="0">CEILING((  F13*(1+G13*(E$6*E$7*E$8*E$9))*(E$3*E$4*E$5)  ),0.1)</f>
        <v>1.8</v>
      </c>
      <c r="D13" s="240"/>
      <c r="E13" s="10"/>
      <c r="F13" s="67">
        <v>3</v>
      </c>
      <c r="G13" s="67">
        <v>0.08</v>
      </c>
      <c r="H13" s="10"/>
      <c r="I13" s="10"/>
      <c r="J13" s="10"/>
      <c r="K13" s="10"/>
      <c r="L13" s="10"/>
    </row>
    <row r="14" spans="1:12">
      <c r="A14" s="240"/>
      <c r="B14" s="69" t="s">
        <v>143</v>
      </c>
      <c r="C14" s="70">
        <f t="shared" si="0"/>
        <v>2.4000000000000004</v>
      </c>
      <c r="D14" s="240"/>
      <c r="E14" s="10"/>
      <c r="F14" s="67">
        <v>4</v>
      </c>
      <c r="G14" s="67">
        <v>0.08</v>
      </c>
      <c r="H14" s="10"/>
      <c r="I14" s="10"/>
      <c r="J14" s="10"/>
      <c r="K14" s="10"/>
      <c r="L14" s="10"/>
    </row>
    <row r="15" spans="1:12">
      <c r="A15" s="240"/>
      <c r="B15" s="69" t="s">
        <v>144</v>
      </c>
      <c r="C15" s="70">
        <f t="shared" si="0"/>
        <v>1.2000000000000002</v>
      </c>
      <c r="D15" s="240"/>
      <c r="E15" s="10"/>
      <c r="F15" s="67">
        <v>2</v>
      </c>
      <c r="G15" s="67">
        <v>0.08</v>
      </c>
      <c r="H15" s="10"/>
      <c r="I15" s="10"/>
      <c r="J15" s="10"/>
      <c r="K15" s="10"/>
      <c r="L15" s="10"/>
    </row>
    <row r="16" spans="1:12">
      <c r="A16" s="240"/>
      <c r="B16" s="69" t="s">
        <v>145</v>
      </c>
      <c r="C16" s="70">
        <f>CEILING((  F16*(1+G16*(E$3))*(E$6*E$4*E$5)  ),0.1)</f>
        <v>1.3</v>
      </c>
      <c r="D16" s="240"/>
      <c r="E16" s="10"/>
      <c r="F16" s="67">
        <v>3</v>
      </c>
      <c r="G16" s="67">
        <v>0.15</v>
      </c>
      <c r="H16" s="10"/>
      <c r="I16" s="10"/>
      <c r="J16" s="10"/>
      <c r="K16" s="10"/>
      <c r="L16" s="10"/>
    </row>
    <row r="17" spans="1:12">
      <c r="A17" s="240"/>
      <c r="B17" s="69" t="s">
        <v>146</v>
      </c>
      <c r="C17" s="70">
        <f t="shared" ref="C17:C19" si="1">CEILING((  F17*(1+G17*(E$3*E$6*E$8*E$9))*(E$4*E$5)  ),0.1)</f>
        <v>0.9</v>
      </c>
      <c r="D17" s="240"/>
      <c r="E17" s="10"/>
      <c r="F17" s="67">
        <v>1</v>
      </c>
      <c r="G17" s="67">
        <v>0.25</v>
      </c>
      <c r="H17" s="10"/>
      <c r="I17" s="10"/>
      <c r="J17" s="10"/>
      <c r="K17" s="10"/>
      <c r="L17" s="10"/>
    </row>
    <row r="18" spans="1:12">
      <c r="A18" s="240"/>
      <c r="B18" s="69" t="s">
        <v>147</v>
      </c>
      <c r="C18" s="70">
        <f t="shared" si="1"/>
        <v>3.3000000000000003</v>
      </c>
      <c r="D18" s="240"/>
      <c r="E18" s="10"/>
      <c r="F18" s="67">
        <v>4</v>
      </c>
      <c r="G18" s="67">
        <v>0.25</v>
      </c>
      <c r="H18" s="10"/>
      <c r="I18" s="10"/>
      <c r="J18" s="10"/>
      <c r="K18" s="10"/>
      <c r="L18" s="10"/>
    </row>
    <row r="19" spans="1:12">
      <c r="A19" s="240"/>
      <c r="B19" s="69" t="s">
        <v>148</v>
      </c>
      <c r="C19" s="70">
        <f t="shared" si="1"/>
        <v>2.5</v>
      </c>
      <c r="D19" s="240"/>
      <c r="E19" s="10"/>
      <c r="F19" s="67">
        <v>3</v>
      </c>
      <c r="G19" s="67">
        <v>0.25</v>
      </c>
      <c r="H19" s="10"/>
      <c r="I19" s="10"/>
      <c r="J19" s="10"/>
      <c r="K19" s="10"/>
      <c r="L19" s="10"/>
    </row>
    <row r="20" spans="1:12">
      <c r="A20" s="240"/>
      <c r="B20" s="69" t="s">
        <v>149</v>
      </c>
      <c r="C20" s="70">
        <f>CEILING((  F20*(1+G20*(E$6*E$7*E$8*E$9))*(E$3*E$4*E$5)  ),0.1)</f>
        <v>0.60000000000000009</v>
      </c>
      <c r="D20" s="240"/>
      <c r="E20" s="10"/>
      <c r="F20" s="67">
        <v>1</v>
      </c>
      <c r="G20" s="67">
        <v>0.08</v>
      </c>
      <c r="H20" s="10"/>
      <c r="I20" s="10"/>
      <c r="J20" s="10"/>
      <c r="K20" s="10"/>
      <c r="L20" s="10"/>
    </row>
    <row r="21" spans="1:12">
      <c r="A21" s="240"/>
      <c r="B21" s="69" t="s">
        <v>114</v>
      </c>
      <c r="C21" s="70">
        <f>CEILING((  F21*(1+G21*(E$3*E$6))*(E$4*E$5)  ),0.1)</f>
        <v>0.5</v>
      </c>
      <c r="D21" s="240"/>
      <c r="E21" s="10"/>
      <c r="F21" s="67">
        <v>0.5</v>
      </c>
      <c r="G21" s="67">
        <v>0.32200000000000001</v>
      </c>
      <c r="H21" s="10"/>
      <c r="I21" s="10"/>
      <c r="J21" s="10"/>
      <c r="K21" s="10"/>
      <c r="L21" s="10"/>
    </row>
    <row r="22" spans="1:12">
      <c r="A22" s="240"/>
      <c r="B22" s="69" t="s">
        <v>52</v>
      </c>
      <c r="C22" s="70">
        <f>CEILING((  F22*(1+G22*(E$3*E$6*E$9))*(E$4)  ),0.1)</f>
        <v>0.5</v>
      </c>
      <c r="D22" s="240"/>
      <c r="E22" s="10"/>
      <c r="F22" s="67">
        <v>0.5</v>
      </c>
      <c r="G22" s="67">
        <v>0.8</v>
      </c>
      <c r="H22" s="10"/>
      <c r="I22" s="10"/>
      <c r="J22" s="10"/>
      <c r="K22" s="10"/>
      <c r="L22" s="10"/>
    </row>
    <row r="23" spans="1:12">
      <c r="A23" s="240"/>
      <c r="B23" s="246" t="s">
        <v>35</v>
      </c>
      <c r="C23" s="61">
        <f>CEILING(SUM(C11:C22),1)</f>
        <v>16</v>
      </c>
      <c r="D23" s="240"/>
      <c r="E23" s="10"/>
      <c r="F23" s="10"/>
      <c r="G23" s="10"/>
      <c r="H23" s="10"/>
      <c r="I23" s="10"/>
      <c r="J23" s="10"/>
      <c r="K23" s="10"/>
      <c r="L23" s="10"/>
    </row>
    <row r="24" spans="1:12">
      <c r="A24" s="240"/>
      <c r="B24" s="240"/>
      <c r="C24" s="71">
        <f>C23*Параметры!$B$2</f>
        <v>486400</v>
      </c>
      <c r="D24" s="240"/>
      <c r="E24" s="10"/>
      <c r="F24" s="10"/>
      <c r="G24" s="10"/>
      <c r="H24" s="10"/>
      <c r="I24" s="10"/>
      <c r="J24" s="10"/>
      <c r="K24" s="10"/>
      <c r="L24" s="10"/>
    </row>
    <row r="25" spans="1:12">
      <c r="A25" s="240"/>
      <c r="B25" s="72" t="s">
        <v>150</v>
      </c>
      <c r="C25" s="61" t="s">
        <v>24</v>
      </c>
      <c r="D25" s="240"/>
      <c r="E25" s="10"/>
      <c r="F25" s="10"/>
      <c r="G25" s="10"/>
      <c r="H25" s="10"/>
      <c r="I25" s="10"/>
      <c r="J25" s="10"/>
      <c r="K25" s="10"/>
      <c r="L25" s="10"/>
    </row>
    <row r="26" spans="1:12">
      <c r="A26" s="240"/>
      <c r="B26" s="252" t="s">
        <v>151</v>
      </c>
      <c r="C26" s="240"/>
      <c r="D26" s="240"/>
      <c r="E26" s="10"/>
      <c r="F26" s="10"/>
      <c r="G26" s="10"/>
      <c r="H26" s="10"/>
      <c r="I26" s="10"/>
      <c r="J26" s="10"/>
      <c r="K26" s="10"/>
      <c r="L26" s="10"/>
    </row>
    <row r="27" spans="1:12">
      <c r="A27" s="240"/>
      <c r="B27" s="73" t="s">
        <v>117</v>
      </c>
      <c r="C27" s="74" t="s">
        <v>118</v>
      </c>
      <c r="D27" s="240"/>
      <c r="E27" s="10"/>
      <c r="F27" s="10"/>
      <c r="G27" s="10"/>
      <c r="H27" s="10"/>
      <c r="I27" s="10"/>
      <c r="J27" s="10"/>
      <c r="K27" s="10"/>
      <c r="L27" s="10"/>
    </row>
    <row r="28" spans="1:12">
      <c r="A28" s="240"/>
      <c r="B28" s="246" t="s">
        <v>35</v>
      </c>
      <c r="C28" s="75" t="s">
        <v>104</v>
      </c>
      <c r="D28" s="240"/>
      <c r="E28" s="10"/>
      <c r="F28" s="10"/>
      <c r="G28" s="10"/>
      <c r="H28" s="10"/>
      <c r="I28" s="10"/>
      <c r="J28" s="10"/>
      <c r="K28" s="10"/>
      <c r="L28" s="10"/>
    </row>
    <row r="29" spans="1:12">
      <c r="A29" s="240"/>
      <c r="B29" s="240"/>
      <c r="C29" s="76" t="s">
        <v>104</v>
      </c>
      <c r="D29" s="240"/>
      <c r="E29" s="10"/>
      <c r="F29" s="10"/>
      <c r="G29" s="10"/>
      <c r="H29" s="10"/>
      <c r="I29" s="10"/>
      <c r="J29" s="10"/>
      <c r="K29" s="10"/>
      <c r="L29" s="10"/>
    </row>
  </sheetData>
  <mergeCells count="6">
    <mergeCell ref="A1:A29"/>
    <mergeCell ref="B1:C1"/>
    <mergeCell ref="D1:D29"/>
    <mergeCell ref="B23:B24"/>
    <mergeCell ref="B26:C26"/>
    <mergeCell ref="B28:B29"/>
  </mergeCells>
  <dataValidations count="7">
    <dataValidation type="list" allowBlank="1" showErrorMessage="1" sqref="C9" xr:uid="{00000000-0002-0000-0800-000000000000}">
      <formula1>"Неизвестно,Непосредственно,Опосредованно"</formula1>
    </dataValidation>
    <dataValidation type="list" allowBlank="1" showErrorMessage="1" sqref="C8" xr:uid="{00000000-0002-0000-0800-000001000000}">
      <formula1>"Неизвестно,Да,Нет"</formula1>
    </dataValidation>
    <dataValidation type="list" allowBlank="1" showErrorMessage="1" sqref="C3" xr:uid="{00000000-0002-0000-0800-000002000000}">
      <formula1>"Нет,Да"</formula1>
    </dataValidation>
    <dataValidation type="list" allowBlank="1" showErrorMessage="1" sqref="C6" xr:uid="{00000000-0002-0000-0800-000003000000}">
      <formula1>"Неизвестно,Точечное,Малое,Среднее,Крупное,Большое,Масштабное"</formula1>
    </dataValidation>
    <dataValidation type="list" allowBlank="1" showErrorMessage="1" sqref="C7" xr:uid="{00000000-0002-0000-0800-000004000000}">
      <formula1>"Неизвестно,Высокая,Средняя,Низкая"</formula1>
    </dataValidation>
    <dataValidation type="list" allowBlank="1" showErrorMessage="1" sqref="C4" xr:uid="{00000000-0002-0000-0800-000005000000}">
      <formula1>"Неизвестно,Доработка,Новое"</formula1>
    </dataValidation>
    <dataValidation type="list" allowBlank="1" showErrorMessage="1" sqref="C5" xr:uid="{00000000-0002-0000-0800-000006000000}">
      <formula1>"Неизвестно,Низкая,Средняя,Высокая"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L16"/>
  <sheetViews>
    <sheetView workbookViewId="0">
      <selection sqref="A1:A16"/>
    </sheetView>
  </sheetViews>
  <sheetFormatPr defaultColWidth="12.6640625" defaultRowHeight="15.75" customHeight="1" outlineLevelCol="1"/>
  <cols>
    <col min="1" max="1" width="4.88671875" customWidth="1"/>
    <col min="2" max="2" width="50" customWidth="1"/>
    <col min="3" max="3" width="16.21875" customWidth="1"/>
    <col min="4" max="4" width="4.6640625" customWidth="1" collapsed="1"/>
    <col min="5" max="5" width="7.21875" hidden="1" customWidth="1" outlineLevel="1"/>
    <col min="6" max="6" width="4.33203125" hidden="1" customWidth="1" outlineLevel="1"/>
    <col min="7" max="7" width="9.88671875" hidden="1" customWidth="1" outlineLevel="1"/>
    <col min="8" max="8" width="4.6640625" hidden="1" customWidth="1" outlineLevel="1"/>
    <col min="9" max="9" width="4.77734375" hidden="1" customWidth="1" outlineLevel="1"/>
    <col min="10" max="12" width="4.6640625" hidden="1" customWidth="1" outlineLevel="1"/>
  </cols>
  <sheetData>
    <row r="1" spans="1:12">
      <c r="A1" s="250"/>
      <c r="B1" s="253" t="s">
        <v>152</v>
      </c>
      <c r="C1" s="240"/>
      <c r="D1" s="250"/>
      <c r="E1" s="10"/>
      <c r="F1" s="10"/>
      <c r="G1" s="10"/>
      <c r="H1" s="10"/>
      <c r="I1" s="10"/>
      <c r="J1" s="10"/>
      <c r="K1" s="10"/>
      <c r="L1" s="10"/>
    </row>
    <row r="2" spans="1:12">
      <c r="A2" s="240"/>
      <c r="B2" s="61" t="s">
        <v>1</v>
      </c>
      <c r="C2" s="61" t="s">
        <v>2</v>
      </c>
      <c r="D2" s="240"/>
      <c r="E2" s="62" t="s">
        <v>3</v>
      </c>
      <c r="F2" s="63" t="s">
        <v>4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</row>
    <row r="3" spans="1:12">
      <c r="A3" s="240"/>
      <c r="B3" s="64" t="s">
        <v>153</v>
      </c>
      <c r="C3" s="65" t="s">
        <v>154</v>
      </c>
      <c r="D3" s="240"/>
      <c r="E3" s="66">
        <f>IF(C3="L1",F3,IF(C3="L2",G3,IF(C3="L3",H3,"")))</f>
        <v>0.5</v>
      </c>
      <c r="F3" s="67">
        <v>0.5</v>
      </c>
      <c r="G3" s="67">
        <v>1</v>
      </c>
      <c r="H3" s="67">
        <v>1.5</v>
      </c>
      <c r="I3" s="10"/>
      <c r="J3" s="10"/>
      <c r="K3" s="10"/>
      <c r="L3" s="10"/>
    </row>
    <row r="4" spans="1:12">
      <c r="A4" s="240"/>
      <c r="B4" s="68" t="s">
        <v>155</v>
      </c>
      <c r="C4" s="61" t="s">
        <v>24</v>
      </c>
      <c r="D4" s="240"/>
      <c r="E4" s="10"/>
      <c r="F4" s="63" t="s">
        <v>25</v>
      </c>
      <c r="G4" s="63" t="s">
        <v>26</v>
      </c>
      <c r="H4" s="10"/>
      <c r="I4" s="10"/>
      <c r="J4" s="10"/>
      <c r="K4" s="10"/>
      <c r="L4" s="10"/>
    </row>
    <row r="5" spans="1:12">
      <c r="A5" s="240"/>
      <c r="B5" s="69" t="s">
        <v>156</v>
      </c>
      <c r="C5" s="70">
        <f t="shared" ref="C5:C9" si="0">CEILING(F5*E$3,0.1)</f>
        <v>1.5</v>
      </c>
      <c r="D5" s="240"/>
      <c r="E5" s="10"/>
      <c r="F5" s="67">
        <v>3</v>
      </c>
      <c r="G5" s="67"/>
      <c r="H5" s="10"/>
      <c r="I5" s="10"/>
      <c r="J5" s="10"/>
      <c r="K5" s="10"/>
      <c r="L5" s="10"/>
    </row>
    <row r="6" spans="1:12">
      <c r="A6" s="240"/>
      <c r="B6" s="69" t="s">
        <v>157</v>
      </c>
      <c r="C6" s="70">
        <f t="shared" si="0"/>
        <v>2.5</v>
      </c>
      <c r="D6" s="240"/>
      <c r="E6" s="10"/>
      <c r="F6" s="67">
        <v>5</v>
      </c>
      <c r="G6" s="67"/>
      <c r="H6" s="10"/>
      <c r="I6" s="10"/>
      <c r="J6" s="10"/>
      <c r="K6" s="10"/>
      <c r="L6" s="10"/>
    </row>
    <row r="7" spans="1:12">
      <c r="A7" s="240"/>
      <c r="B7" s="69" t="s">
        <v>158</v>
      </c>
      <c r="C7" s="70">
        <f t="shared" si="0"/>
        <v>2.5</v>
      </c>
      <c r="D7" s="240"/>
      <c r="E7" s="10"/>
      <c r="F7" s="67">
        <v>5</v>
      </c>
      <c r="G7" s="67"/>
      <c r="H7" s="10"/>
      <c r="I7" s="10"/>
      <c r="J7" s="10"/>
      <c r="K7" s="10"/>
      <c r="L7" s="10"/>
    </row>
    <row r="8" spans="1:12">
      <c r="A8" s="240"/>
      <c r="B8" s="69" t="s">
        <v>159</v>
      </c>
      <c r="C8" s="70">
        <f t="shared" si="0"/>
        <v>2.5</v>
      </c>
      <c r="D8" s="240"/>
      <c r="E8" s="10"/>
      <c r="F8" s="67">
        <v>5</v>
      </c>
      <c r="G8" s="67"/>
      <c r="H8" s="10"/>
      <c r="I8" s="10"/>
      <c r="J8" s="10"/>
      <c r="K8" s="10"/>
      <c r="L8" s="10"/>
    </row>
    <row r="9" spans="1:12">
      <c r="A9" s="240"/>
      <c r="B9" s="69" t="s">
        <v>160</v>
      </c>
      <c r="C9" s="70">
        <f t="shared" si="0"/>
        <v>2</v>
      </c>
      <c r="D9" s="240"/>
      <c r="E9" s="10"/>
      <c r="F9" s="67">
        <v>4</v>
      </c>
      <c r="G9" s="67"/>
      <c r="H9" s="10"/>
      <c r="I9" s="10"/>
      <c r="J9" s="10"/>
      <c r="K9" s="10"/>
      <c r="L9" s="10"/>
    </row>
    <row r="10" spans="1:12">
      <c r="A10" s="240"/>
      <c r="B10" s="246" t="s">
        <v>35</v>
      </c>
      <c r="C10" s="61">
        <f>CEILING(SUM(C5:C9),1)</f>
        <v>11</v>
      </c>
      <c r="D10" s="240"/>
      <c r="E10" s="10"/>
      <c r="F10" s="10"/>
      <c r="G10" s="10"/>
      <c r="H10" s="10"/>
      <c r="I10" s="10"/>
      <c r="J10" s="10"/>
      <c r="K10" s="10"/>
      <c r="L10" s="10"/>
    </row>
    <row r="11" spans="1:12">
      <c r="A11" s="240"/>
      <c r="B11" s="240"/>
      <c r="C11" s="71">
        <f>C10*Параметры!$B$2</f>
        <v>334400</v>
      </c>
      <c r="D11" s="240"/>
      <c r="E11" s="10"/>
      <c r="F11" s="10"/>
      <c r="G11" s="10"/>
      <c r="H11" s="10"/>
      <c r="I11" s="10"/>
      <c r="J11" s="10"/>
      <c r="K11" s="10"/>
      <c r="L11" s="10"/>
    </row>
    <row r="12" spans="1:12">
      <c r="A12" s="240"/>
      <c r="B12" s="77" t="s">
        <v>161</v>
      </c>
      <c r="C12" s="61" t="s">
        <v>24</v>
      </c>
      <c r="D12" s="240"/>
      <c r="E12" s="10"/>
      <c r="F12" s="10"/>
      <c r="G12" s="10"/>
      <c r="H12" s="10"/>
      <c r="I12" s="10"/>
      <c r="J12" s="10"/>
      <c r="K12" s="10"/>
      <c r="L12" s="10"/>
    </row>
    <row r="13" spans="1:12">
      <c r="A13" s="240"/>
      <c r="B13" s="252" t="s">
        <v>162</v>
      </c>
      <c r="C13" s="240"/>
      <c r="D13" s="240"/>
      <c r="E13" s="10"/>
      <c r="F13" s="10"/>
      <c r="G13" s="10"/>
      <c r="H13" s="10"/>
      <c r="I13" s="10"/>
      <c r="J13" s="10"/>
      <c r="K13" s="10"/>
      <c r="L13" s="10"/>
    </row>
    <row r="14" spans="1:12">
      <c r="A14" s="240"/>
      <c r="B14" s="73" t="s">
        <v>162</v>
      </c>
      <c r="C14" s="74" t="s">
        <v>162</v>
      </c>
      <c r="D14" s="240"/>
      <c r="E14" s="10"/>
      <c r="F14" s="10"/>
      <c r="G14" s="10"/>
      <c r="H14" s="10"/>
      <c r="I14" s="10"/>
      <c r="J14" s="10"/>
      <c r="K14" s="10"/>
      <c r="L14" s="10"/>
    </row>
    <row r="15" spans="1:12">
      <c r="A15" s="240"/>
      <c r="B15" s="246" t="s">
        <v>35</v>
      </c>
      <c r="C15" s="75" t="s">
        <v>104</v>
      </c>
      <c r="D15" s="240"/>
      <c r="E15" s="10"/>
      <c r="F15" s="10"/>
      <c r="G15" s="10"/>
      <c r="H15" s="10"/>
      <c r="I15" s="10"/>
      <c r="J15" s="10"/>
      <c r="K15" s="10"/>
      <c r="L15" s="10"/>
    </row>
    <row r="16" spans="1:12">
      <c r="A16" s="240"/>
      <c r="B16" s="240"/>
      <c r="C16" s="76" t="s">
        <v>104</v>
      </c>
      <c r="D16" s="240"/>
      <c r="E16" s="10"/>
      <c r="F16" s="10"/>
      <c r="G16" s="10"/>
      <c r="H16" s="10"/>
      <c r="I16" s="10"/>
      <c r="J16" s="10"/>
      <c r="K16" s="10"/>
      <c r="L16" s="10"/>
    </row>
  </sheetData>
  <mergeCells count="6">
    <mergeCell ref="A1:A16"/>
    <mergeCell ref="B1:C1"/>
    <mergeCell ref="D1:D16"/>
    <mergeCell ref="B10:B11"/>
    <mergeCell ref="B13:C13"/>
    <mergeCell ref="B15:B16"/>
  </mergeCells>
  <dataValidations count="1">
    <dataValidation type="list" allowBlank="1" showErrorMessage="1" sqref="C3" xr:uid="{00000000-0002-0000-0900-000000000000}">
      <formula1>"L1,L2,L3"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7"/>
  <sheetViews>
    <sheetView workbookViewId="0">
      <selection activeCell="A4" sqref="A4:B4"/>
    </sheetView>
  </sheetViews>
  <sheetFormatPr defaultColWidth="12.6640625" defaultRowHeight="15.75" customHeight="1"/>
  <cols>
    <col min="1" max="1" width="35.21875" customWidth="1"/>
    <col min="2" max="2" width="15.88671875" customWidth="1"/>
  </cols>
  <sheetData>
    <row r="1" spans="1:2" ht="13.2">
      <c r="A1" s="254" t="s">
        <v>163</v>
      </c>
      <c r="B1" s="240"/>
    </row>
    <row r="2" spans="1:2" ht="13.2">
      <c r="A2" s="78" t="s">
        <v>164</v>
      </c>
      <c r="B2" s="79">
        <f>B3*8</f>
        <v>30400</v>
      </c>
    </row>
    <row r="3" spans="1:2" ht="13.2">
      <c r="A3" s="78" t="s">
        <v>165</v>
      </c>
      <c r="B3" s="79">
        <v>3800</v>
      </c>
    </row>
    <row r="4" spans="1:2" ht="13.2">
      <c r="A4" s="255" t="s">
        <v>166</v>
      </c>
      <c r="B4" s="240"/>
    </row>
    <row r="5" spans="1:2" ht="49.2" customHeight="1">
      <c r="A5" s="80" t="s">
        <v>167</v>
      </c>
      <c r="B5" s="81">
        <v>0.5</v>
      </c>
    </row>
    <row r="6" spans="1:2" ht="52.2" customHeight="1">
      <c r="A6" s="82" t="s">
        <v>168</v>
      </c>
      <c r="B6" s="81">
        <v>1.5</v>
      </c>
    </row>
    <row r="7" spans="1:2" ht="52.2" customHeight="1">
      <c r="A7" s="83" t="s">
        <v>169</v>
      </c>
      <c r="B7" s="81">
        <v>2</v>
      </c>
    </row>
  </sheetData>
  <mergeCells count="2">
    <mergeCell ref="A1:B1"/>
    <mergeCell ref="A4:B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85"/>
  <sheetViews>
    <sheetView tabSelected="1" topLeftCell="A64" zoomScale="85" zoomScaleNormal="85" workbookViewId="0">
      <selection activeCell="C63" sqref="C63"/>
    </sheetView>
  </sheetViews>
  <sheetFormatPr defaultRowHeight="13.2"/>
  <cols>
    <col min="1" max="1" width="7.33203125" style="139" customWidth="1"/>
    <col min="2" max="2" width="12.109375" style="133" bestFit="1" customWidth="1"/>
    <col min="3" max="3" width="21.88671875" style="133" customWidth="1"/>
    <col min="4" max="4" width="16.77734375" style="133" customWidth="1"/>
    <col min="5" max="5" width="45.44140625" style="133" bestFit="1" customWidth="1"/>
    <col min="6" max="6" width="39.88671875" style="134" customWidth="1"/>
    <col min="7" max="7" width="54.6640625" style="133" customWidth="1"/>
    <col min="8" max="8" width="38.109375" style="165" customWidth="1"/>
    <col min="9" max="9" width="50.109375" style="139" customWidth="1"/>
    <col min="10" max="10" width="39.5546875" style="139" customWidth="1"/>
    <col min="11" max="11" width="38.88671875" style="139" customWidth="1"/>
    <col min="12" max="16384" width="8.88671875" style="139"/>
  </cols>
  <sheetData>
    <row r="1" spans="1:10">
      <c r="A1" s="169" t="s">
        <v>321</v>
      </c>
      <c r="B1" s="170" t="s">
        <v>170</v>
      </c>
      <c r="C1" s="170" t="s">
        <v>171</v>
      </c>
      <c r="D1" s="170" t="s">
        <v>172</v>
      </c>
      <c r="E1" s="170" t="s">
        <v>173</v>
      </c>
      <c r="F1" s="170" t="s">
        <v>348</v>
      </c>
      <c r="G1" s="170" t="s">
        <v>174</v>
      </c>
      <c r="H1" s="178" t="s">
        <v>175</v>
      </c>
      <c r="I1" s="169" t="s">
        <v>176</v>
      </c>
      <c r="J1" s="169" t="s">
        <v>288</v>
      </c>
    </row>
    <row r="2" spans="1:10" ht="66">
      <c r="A2" s="139" t="s">
        <v>346</v>
      </c>
      <c r="B2" s="133" t="s">
        <v>239</v>
      </c>
      <c r="C2" s="133" t="s">
        <v>240</v>
      </c>
      <c r="D2" s="133" t="s">
        <v>241</v>
      </c>
      <c r="E2" s="163" t="s">
        <v>242</v>
      </c>
      <c r="F2" s="133"/>
      <c r="G2" s="133" t="s">
        <v>325</v>
      </c>
      <c r="H2" s="179"/>
      <c r="I2" s="97"/>
    </row>
    <row r="3" spans="1:10" ht="66">
      <c r="A3" s="139" t="s">
        <v>346</v>
      </c>
      <c r="B3" s="133" t="s">
        <v>239</v>
      </c>
      <c r="C3" s="133" t="s">
        <v>240</v>
      </c>
      <c r="D3" s="133" t="s">
        <v>241</v>
      </c>
      <c r="E3" s="163" t="s">
        <v>243</v>
      </c>
      <c r="F3" s="133"/>
      <c r="G3" s="133" t="s">
        <v>244</v>
      </c>
      <c r="H3" s="134" t="s">
        <v>322</v>
      </c>
      <c r="I3" s="97"/>
      <c r="J3" s="133" t="s">
        <v>290</v>
      </c>
    </row>
    <row r="4" spans="1:10" ht="52.8">
      <c r="A4" s="139" t="s">
        <v>346</v>
      </c>
      <c r="B4" s="133" t="s">
        <v>239</v>
      </c>
      <c r="C4" s="133" t="s">
        <v>240</v>
      </c>
      <c r="D4" s="133" t="s">
        <v>241</v>
      </c>
      <c r="E4" s="163" t="s">
        <v>245</v>
      </c>
      <c r="F4" s="133"/>
      <c r="G4" s="133" t="s">
        <v>246</v>
      </c>
      <c r="H4" s="134" t="s">
        <v>268</v>
      </c>
      <c r="I4" s="97"/>
    </row>
    <row r="5" spans="1:10" ht="79.2">
      <c r="A5" s="257" t="s">
        <v>346</v>
      </c>
      <c r="B5" s="258" t="s">
        <v>239</v>
      </c>
      <c r="C5" s="258" t="s">
        <v>247</v>
      </c>
      <c r="D5" s="258" t="s">
        <v>248</v>
      </c>
      <c r="E5" s="163" t="s">
        <v>196</v>
      </c>
      <c r="G5" s="133" t="s">
        <v>291</v>
      </c>
      <c r="H5" s="179"/>
      <c r="I5" s="133" t="s">
        <v>292</v>
      </c>
    </row>
    <row r="6" spans="1:10" ht="52.8">
      <c r="A6" s="139" t="s">
        <v>346</v>
      </c>
      <c r="B6" s="134" t="s">
        <v>239</v>
      </c>
      <c r="C6" s="133" t="s">
        <v>247</v>
      </c>
      <c r="D6" s="133" t="s">
        <v>241</v>
      </c>
      <c r="E6" s="163" t="s">
        <v>351</v>
      </c>
      <c r="F6" s="133"/>
      <c r="G6" s="134" t="s">
        <v>249</v>
      </c>
      <c r="H6" s="134" t="s">
        <v>250</v>
      </c>
      <c r="I6" s="97"/>
    </row>
    <row r="7" spans="1:10" ht="39.6">
      <c r="A7" s="139" t="s">
        <v>346</v>
      </c>
      <c r="B7" s="133" t="s">
        <v>239</v>
      </c>
      <c r="C7" s="133" t="s">
        <v>247</v>
      </c>
      <c r="D7" s="133" t="s">
        <v>241</v>
      </c>
      <c r="E7" s="163" t="s">
        <v>352</v>
      </c>
      <c r="F7" s="133"/>
      <c r="G7" s="133" t="s">
        <v>251</v>
      </c>
      <c r="H7" s="256" t="s">
        <v>252</v>
      </c>
      <c r="I7" s="97"/>
    </row>
    <row r="8" spans="1:10" ht="39.6">
      <c r="A8" s="139" t="s">
        <v>346</v>
      </c>
      <c r="B8" s="133" t="s">
        <v>239</v>
      </c>
      <c r="C8" s="133" t="s">
        <v>247</v>
      </c>
      <c r="D8" s="133" t="s">
        <v>241</v>
      </c>
      <c r="E8" s="163" t="s">
        <v>353</v>
      </c>
      <c r="F8" s="133"/>
      <c r="G8" s="133" t="s">
        <v>253</v>
      </c>
      <c r="H8" s="256"/>
      <c r="I8" s="97"/>
    </row>
    <row r="9" spans="1:10" ht="39.6">
      <c r="A9" s="139" t="s">
        <v>346</v>
      </c>
      <c r="B9" s="133" t="s">
        <v>239</v>
      </c>
      <c r="C9" s="133" t="s">
        <v>247</v>
      </c>
      <c r="D9" s="133" t="s">
        <v>241</v>
      </c>
      <c r="E9" s="163" t="s">
        <v>354</v>
      </c>
      <c r="F9" s="133"/>
      <c r="G9" s="133" t="s">
        <v>254</v>
      </c>
      <c r="H9" s="256"/>
      <c r="I9" s="97"/>
    </row>
    <row r="10" spans="1:10" ht="39.6">
      <c r="A10" s="139" t="s">
        <v>346</v>
      </c>
      <c r="B10" s="133" t="s">
        <v>239</v>
      </c>
      <c r="C10" s="133" t="s">
        <v>247</v>
      </c>
      <c r="D10" s="133" t="s">
        <v>241</v>
      </c>
      <c r="E10" s="163" t="s">
        <v>355</v>
      </c>
      <c r="F10" s="133"/>
      <c r="G10" s="133" t="s">
        <v>255</v>
      </c>
      <c r="H10" s="256" t="s">
        <v>293</v>
      </c>
      <c r="I10" s="97"/>
    </row>
    <row r="11" spans="1:10" ht="39.6">
      <c r="A11" s="139" t="s">
        <v>346</v>
      </c>
      <c r="B11" s="133" t="s">
        <v>239</v>
      </c>
      <c r="C11" s="133" t="s">
        <v>247</v>
      </c>
      <c r="D11" s="133" t="s">
        <v>241</v>
      </c>
      <c r="E11" s="163" t="s">
        <v>256</v>
      </c>
      <c r="F11" s="133"/>
      <c r="G11" s="133" t="s">
        <v>257</v>
      </c>
      <c r="H11" s="256"/>
      <c r="I11" s="97"/>
    </row>
    <row r="12" spans="1:10" ht="39.6">
      <c r="A12" s="139" t="s">
        <v>346</v>
      </c>
      <c r="B12" s="133" t="s">
        <v>239</v>
      </c>
      <c r="C12" s="133" t="s">
        <v>247</v>
      </c>
      <c r="D12" s="133" t="s">
        <v>241</v>
      </c>
      <c r="E12" s="163" t="s">
        <v>258</v>
      </c>
      <c r="F12" s="133"/>
      <c r="G12" s="133" t="s">
        <v>259</v>
      </c>
      <c r="H12" s="256"/>
      <c r="I12" s="97"/>
    </row>
    <row r="13" spans="1:10" ht="39.6">
      <c r="A13" s="139" t="s">
        <v>346</v>
      </c>
      <c r="B13" s="133" t="s">
        <v>239</v>
      </c>
      <c r="C13" s="135" t="s">
        <v>240</v>
      </c>
      <c r="D13" s="133" t="s">
        <v>241</v>
      </c>
      <c r="E13" s="163" t="s">
        <v>356</v>
      </c>
      <c r="F13" s="133"/>
      <c r="G13" s="133" t="s">
        <v>260</v>
      </c>
      <c r="H13" s="180" t="s">
        <v>294</v>
      </c>
      <c r="I13" s="97"/>
    </row>
    <row r="14" spans="1:10" ht="39.6">
      <c r="A14" s="139" t="s">
        <v>346</v>
      </c>
      <c r="B14" s="133" t="s">
        <v>239</v>
      </c>
      <c r="C14" s="135" t="s">
        <v>240</v>
      </c>
      <c r="D14" s="133" t="s">
        <v>241</v>
      </c>
      <c r="E14" s="163" t="s">
        <v>357</v>
      </c>
      <c r="F14" s="133"/>
      <c r="G14" s="133" t="s">
        <v>261</v>
      </c>
      <c r="H14" s="180" t="s">
        <v>294</v>
      </c>
      <c r="I14" s="97"/>
    </row>
    <row r="15" spans="1:10" ht="39.6">
      <c r="A15" s="139" t="s">
        <v>346</v>
      </c>
      <c r="B15" s="133" t="s">
        <v>239</v>
      </c>
      <c r="C15" s="135" t="s">
        <v>240</v>
      </c>
      <c r="D15" s="133" t="s">
        <v>241</v>
      </c>
      <c r="E15" s="163" t="s">
        <v>358</v>
      </c>
      <c r="F15" s="133"/>
      <c r="G15" s="133" t="s">
        <v>262</v>
      </c>
      <c r="H15" s="180" t="s">
        <v>294</v>
      </c>
      <c r="I15" s="97"/>
    </row>
    <row r="16" spans="1:10" ht="52.8">
      <c r="A16" s="139" t="s">
        <v>346</v>
      </c>
      <c r="B16" s="133" t="s">
        <v>239</v>
      </c>
      <c r="C16" s="135" t="s">
        <v>240</v>
      </c>
      <c r="D16" s="133" t="s">
        <v>241</v>
      </c>
      <c r="E16" s="163" t="s">
        <v>359</v>
      </c>
      <c r="F16" s="133"/>
      <c r="G16" s="133" t="s">
        <v>324</v>
      </c>
      <c r="H16" s="181" t="s">
        <v>295</v>
      </c>
      <c r="I16" s="97"/>
    </row>
    <row r="17" spans="1:11" ht="132">
      <c r="A17" s="139" t="s">
        <v>347</v>
      </c>
      <c r="B17" s="133" t="s">
        <v>239</v>
      </c>
      <c r="C17" s="135" t="s">
        <v>104</v>
      </c>
      <c r="D17" s="133" t="s">
        <v>241</v>
      </c>
      <c r="E17" s="133" t="s">
        <v>37</v>
      </c>
      <c r="G17" s="137" t="s">
        <v>266</v>
      </c>
      <c r="H17" s="174" t="s">
        <v>303</v>
      </c>
      <c r="K17" s="133" t="s">
        <v>282</v>
      </c>
    </row>
    <row r="18" spans="1:11" ht="92.4">
      <c r="A18" s="139" t="s">
        <v>347</v>
      </c>
      <c r="B18" s="134" t="s">
        <v>265</v>
      </c>
      <c r="C18" s="135" t="s">
        <v>104</v>
      </c>
      <c r="D18" s="133" t="s">
        <v>241</v>
      </c>
      <c r="E18" s="133" t="s">
        <v>12</v>
      </c>
      <c r="G18" s="133" t="s">
        <v>326</v>
      </c>
      <c r="H18" s="174" t="s">
        <v>345</v>
      </c>
      <c r="K18" s="133" t="s">
        <v>327</v>
      </c>
    </row>
    <row r="19" spans="1:11" ht="92.4">
      <c r="A19" s="139" t="s">
        <v>347</v>
      </c>
      <c r="B19" s="135"/>
      <c r="C19" s="135"/>
      <c r="D19" s="135"/>
      <c r="E19" s="133" t="s">
        <v>14</v>
      </c>
      <c r="G19" s="133" t="s">
        <v>328</v>
      </c>
      <c r="H19" s="174" t="s">
        <v>296</v>
      </c>
    </row>
    <row r="20" spans="1:11" ht="118.8">
      <c r="A20" s="139" t="s">
        <v>347</v>
      </c>
      <c r="B20" s="133" t="s">
        <v>239</v>
      </c>
      <c r="C20" s="135" t="s">
        <v>264</v>
      </c>
      <c r="D20" s="133" t="s">
        <v>241</v>
      </c>
      <c r="E20" s="133" t="s">
        <v>16</v>
      </c>
      <c r="G20" s="133" t="s">
        <v>270</v>
      </c>
      <c r="H20" s="174" t="s">
        <v>298</v>
      </c>
      <c r="K20" s="133" t="s">
        <v>283</v>
      </c>
    </row>
    <row r="21" spans="1:11" ht="66">
      <c r="A21" s="139" t="s">
        <v>347</v>
      </c>
      <c r="B21" s="133" t="s">
        <v>239</v>
      </c>
      <c r="C21" s="135" t="s">
        <v>264</v>
      </c>
      <c r="D21" s="133" t="s">
        <v>241</v>
      </c>
      <c r="E21" s="133" t="s">
        <v>17</v>
      </c>
      <c r="G21" s="133" t="s">
        <v>271</v>
      </c>
      <c r="H21" s="174" t="s">
        <v>299</v>
      </c>
    </row>
    <row r="22" spans="1:11" ht="66">
      <c r="A22" s="139" t="s">
        <v>347</v>
      </c>
      <c r="B22" s="133" t="s">
        <v>239</v>
      </c>
      <c r="C22" s="135" t="s">
        <v>264</v>
      </c>
      <c r="D22" s="133" t="s">
        <v>241</v>
      </c>
      <c r="E22" s="133" t="s">
        <v>19</v>
      </c>
      <c r="G22" s="133" t="s">
        <v>271</v>
      </c>
      <c r="H22" s="174" t="s">
        <v>299</v>
      </c>
    </row>
    <row r="23" spans="1:11" ht="52.8">
      <c r="A23" s="139" t="s">
        <v>347</v>
      </c>
      <c r="B23" s="133" t="s">
        <v>239</v>
      </c>
      <c r="C23" s="134" t="s">
        <v>240</v>
      </c>
      <c r="D23" s="133" t="s">
        <v>241</v>
      </c>
      <c r="E23" s="133" t="s">
        <v>20</v>
      </c>
      <c r="F23" s="134" t="s">
        <v>240</v>
      </c>
      <c r="G23" s="133" t="s">
        <v>272</v>
      </c>
      <c r="H23" s="174" t="s">
        <v>284</v>
      </c>
    </row>
    <row r="24" spans="1:11" ht="52.8">
      <c r="A24" s="139" t="s">
        <v>347</v>
      </c>
      <c r="B24" s="133" t="s">
        <v>239</v>
      </c>
      <c r="C24" s="134" t="s">
        <v>240</v>
      </c>
      <c r="D24" s="133" t="s">
        <v>241</v>
      </c>
      <c r="E24" s="133" t="s">
        <v>21</v>
      </c>
      <c r="F24" s="134" t="s">
        <v>240</v>
      </c>
      <c r="G24" s="133" t="s">
        <v>271</v>
      </c>
      <c r="H24" s="174" t="s">
        <v>284</v>
      </c>
    </row>
    <row r="25" spans="1:11" ht="52.8">
      <c r="A25" s="139" t="s">
        <v>347</v>
      </c>
      <c r="B25" s="133" t="s">
        <v>239</v>
      </c>
      <c r="C25" s="135" t="s">
        <v>269</v>
      </c>
      <c r="D25" s="133" t="s">
        <v>241</v>
      </c>
      <c r="E25" s="133" t="s">
        <v>22</v>
      </c>
      <c r="G25" s="133" t="s">
        <v>272</v>
      </c>
      <c r="H25" s="174" t="s">
        <v>284</v>
      </c>
      <c r="I25" s="133"/>
    </row>
    <row r="26" spans="1:11" ht="52.8">
      <c r="A26" s="139" t="s">
        <v>347</v>
      </c>
      <c r="B26" s="133" t="s">
        <v>239</v>
      </c>
      <c r="C26" s="135" t="s">
        <v>247</v>
      </c>
      <c r="D26" s="133" t="s">
        <v>241</v>
      </c>
      <c r="E26" s="133" t="s">
        <v>22</v>
      </c>
      <c r="G26" s="133" t="s">
        <v>272</v>
      </c>
      <c r="H26" s="174" t="s">
        <v>284</v>
      </c>
      <c r="I26" s="133"/>
    </row>
    <row r="27" spans="1:11" ht="52.8">
      <c r="A27" s="139" t="s">
        <v>347</v>
      </c>
      <c r="B27" s="133" t="s">
        <v>239</v>
      </c>
      <c r="C27" s="135" t="s">
        <v>240</v>
      </c>
      <c r="D27" s="133" t="s">
        <v>241</v>
      </c>
      <c r="E27" s="133" t="s">
        <v>22</v>
      </c>
      <c r="G27" s="133" t="s">
        <v>272</v>
      </c>
      <c r="H27" s="174" t="s">
        <v>284</v>
      </c>
      <c r="I27" s="133"/>
    </row>
    <row r="28" spans="1:11" ht="66">
      <c r="A28" s="139" t="s">
        <v>347</v>
      </c>
      <c r="B28" s="133" t="s">
        <v>239</v>
      </c>
      <c r="C28" s="134" t="s">
        <v>269</v>
      </c>
      <c r="D28" s="133" t="s">
        <v>241</v>
      </c>
      <c r="E28" s="133" t="s">
        <v>38</v>
      </c>
      <c r="F28" s="134" t="s">
        <v>269</v>
      </c>
      <c r="G28" s="133" t="s">
        <v>280</v>
      </c>
      <c r="H28" s="134" t="s">
        <v>286</v>
      </c>
      <c r="I28" s="133" t="s">
        <v>297</v>
      </c>
      <c r="K28" s="133" t="s">
        <v>273</v>
      </c>
    </row>
    <row r="29" spans="1:11" ht="52.8">
      <c r="A29" s="139" t="s">
        <v>347</v>
      </c>
      <c r="B29" s="133" t="s">
        <v>239</v>
      </c>
      <c r="C29" s="134" t="s">
        <v>240</v>
      </c>
      <c r="D29" s="133" t="s">
        <v>241</v>
      </c>
      <c r="E29" s="133" t="s">
        <v>40</v>
      </c>
      <c r="F29" s="134" t="s">
        <v>240</v>
      </c>
      <c r="G29" s="133" t="s">
        <v>279</v>
      </c>
      <c r="H29" s="134" t="s">
        <v>278</v>
      </c>
    </row>
    <row r="30" spans="1:11" ht="52.8">
      <c r="A30" s="139" t="s">
        <v>347</v>
      </c>
      <c r="B30" s="133" t="s">
        <v>239</v>
      </c>
      <c r="C30" s="134" t="s">
        <v>269</v>
      </c>
      <c r="D30" s="133" t="s">
        <v>241</v>
      </c>
      <c r="E30" s="133" t="s">
        <v>41</v>
      </c>
      <c r="F30" s="134" t="s">
        <v>269</v>
      </c>
      <c r="G30" s="133" t="s">
        <v>281</v>
      </c>
      <c r="I30" s="139" t="s">
        <v>287</v>
      </c>
    </row>
    <row r="31" spans="1:11" ht="52.8">
      <c r="A31" s="139" t="s">
        <v>347</v>
      </c>
      <c r="B31" s="133" t="s">
        <v>239</v>
      </c>
      <c r="C31" s="134" t="s">
        <v>269</v>
      </c>
      <c r="D31" s="133" t="s">
        <v>241</v>
      </c>
      <c r="E31" s="133" t="s">
        <v>42</v>
      </c>
      <c r="F31" s="134" t="s">
        <v>269</v>
      </c>
      <c r="G31" s="133" t="s">
        <v>329</v>
      </c>
      <c r="I31" s="139" t="s">
        <v>289</v>
      </c>
    </row>
    <row r="32" spans="1:11" ht="52.8">
      <c r="A32" s="139" t="s">
        <v>347</v>
      </c>
      <c r="B32" s="133" t="s">
        <v>239</v>
      </c>
      <c r="C32" s="134" t="s">
        <v>269</v>
      </c>
      <c r="D32" s="133" t="s">
        <v>241</v>
      </c>
      <c r="E32" s="133" t="s">
        <v>43</v>
      </c>
      <c r="F32" s="134" t="s">
        <v>269</v>
      </c>
      <c r="G32" s="133" t="s">
        <v>329</v>
      </c>
      <c r="I32" s="139" t="s">
        <v>300</v>
      </c>
    </row>
    <row r="33" spans="1:10" ht="26.4">
      <c r="A33" s="139" t="s">
        <v>347</v>
      </c>
      <c r="B33" s="135" t="s">
        <v>285</v>
      </c>
      <c r="C33" s="135"/>
      <c r="D33" s="135"/>
      <c r="E33" s="133" t="s">
        <v>307</v>
      </c>
      <c r="G33" s="135"/>
      <c r="H33" s="182" t="s">
        <v>336</v>
      </c>
    </row>
    <row r="34" spans="1:10" ht="39.6">
      <c r="A34" s="139" t="s">
        <v>347</v>
      </c>
      <c r="B34" s="133" t="s">
        <v>239</v>
      </c>
      <c r="C34" s="134" t="s">
        <v>240</v>
      </c>
      <c r="D34" s="133" t="s">
        <v>241</v>
      </c>
      <c r="E34" s="133" t="s">
        <v>304</v>
      </c>
      <c r="H34" s="173"/>
      <c r="I34" s="139" t="s">
        <v>337</v>
      </c>
    </row>
    <row r="35" spans="1:10" ht="39.6">
      <c r="A35" s="139" t="s">
        <v>347</v>
      </c>
      <c r="B35" s="133" t="s">
        <v>239</v>
      </c>
      <c r="C35" s="134" t="s">
        <v>240</v>
      </c>
      <c r="D35" s="133" t="s">
        <v>241</v>
      </c>
      <c r="E35" s="133" t="s">
        <v>305</v>
      </c>
      <c r="H35" s="173"/>
    </row>
    <row r="36" spans="1:10" ht="39.6">
      <c r="A36" s="139" t="s">
        <v>347</v>
      </c>
      <c r="B36" s="133" t="s">
        <v>239</v>
      </c>
      <c r="C36" s="134" t="s">
        <v>240</v>
      </c>
      <c r="D36" s="133" t="s">
        <v>241</v>
      </c>
      <c r="E36" s="133" t="s">
        <v>306</v>
      </c>
      <c r="H36" s="173"/>
    </row>
    <row r="37" spans="1:10" ht="52.8">
      <c r="A37" s="139" t="s">
        <v>347</v>
      </c>
      <c r="B37" s="133" t="s">
        <v>239</v>
      </c>
      <c r="C37" s="134" t="s">
        <v>240</v>
      </c>
      <c r="D37" s="133" t="s">
        <v>241</v>
      </c>
      <c r="E37" s="133" t="s">
        <v>308</v>
      </c>
      <c r="G37" s="133" t="s">
        <v>310</v>
      </c>
      <c r="H37" s="174" t="s">
        <v>309</v>
      </c>
      <c r="I37" s="133" t="s">
        <v>338</v>
      </c>
    </row>
    <row r="38" spans="1:10" ht="39.6">
      <c r="A38" s="139" t="s">
        <v>347</v>
      </c>
      <c r="B38" s="133" t="s">
        <v>302</v>
      </c>
      <c r="C38" s="133" t="s">
        <v>179</v>
      </c>
      <c r="D38" s="133" t="s">
        <v>241</v>
      </c>
      <c r="E38" s="133" t="s">
        <v>314</v>
      </c>
      <c r="G38" s="133" t="s">
        <v>311</v>
      </c>
      <c r="H38" s="174"/>
    </row>
    <row r="39" spans="1:10" ht="52.8">
      <c r="A39" s="139" t="s">
        <v>347</v>
      </c>
      <c r="B39" s="135" t="s">
        <v>239</v>
      </c>
      <c r="C39" s="135" t="s">
        <v>269</v>
      </c>
      <c r="D39" s="135" t="s">
        <v>241</v>
      </c>
      <c r="E39" s="133" t="s">
        <v>315</v>
      </c>
      <c r="G39" s="133" t="s">
        <v>312</v>
      </c>
      <c r="H39" s="174" t="s">
        <v>340</v>
      </c>
      <c r="I39" s="133" t="s">
        <v>339</v>
      </c>
    </row>
    <row r="40" spans="1:10" ht="39.6">
      <c r="A40" s="139" t="s">
        <v>347</v>
      </c>
      <c r="B40" s="133" t="s">
        <v>239</v>
      </c>
      <c r="C40" s="134" t="s">
        <v>269</v>
      </c>
      <c r="D40" s="133" t="s">
        <v>241</v>
      </c>
      <c r="E40" s="133" t="s">
        <v>316</v>
      </c>
      <c r="G40" s="133" t="s">
        <v>313</v>
      </c>
      <c r="H40" s="182" t="s">
        <v>341</v>
      </c>
    </row>
    <row r="41" spans="1:10" ht="39.6">
      <c r="A41" s="139" t="s">
        <v>347</v>
      </c>
      <c r="B41" s="133" t="s">
        <v>239</v>
      </c>
      <c r="C41" s="134" t="s">
        <v>269</v>
      </c>
      <c r="D41" s="133" t="s">
        <v>241</v>
      </c>
      <c r="E41" s="133" t="s">
        <v>317</v>
      </c>
      <c r="H41" s="174" t="s">
        <v>342</v>
      </c>
    </row>
    <row r="42" spans="1:10" ht="39.6">
      <c r="A42" s="139" t="s">
        <v>347</v>
      </c>
      <c r="B42" s="133" t="s">
        <v>239</v>
      </c>
      <c r="C42" s="134" t="s">
        <v>343</v>
      </c>
      <c r="D42" s="133" t="s">
        <v>241</v>
      </c>
      <c r="E42" s="133" t="s">
        <v>317</v>
      </c>
      <c r="H42" s="174" t="s">
        <v>342</v>
      </c>
    </row>
    <row r="43" spans="1:10" ht="52.8">
      <c r="A43" s="139" t="s">
        <v>347</v>
      </c>
      <c r="B43" s="133" t="s">
        <v>239</v>
      </c>
      <c r="C43" s="134" t="s">
        <v>269</v>
      </c>
      <c r="D43" s="133" t="s">
        <v>241</v>
      </c>
      <c r="E43" s="133" t="s">
        <v>318</v>
      </c>
      <c r="G43" s="133" t="s">
        <v>319</v>
      </c>
      <c r="H43" s="174" t="s">
        <v>344</v>
      </c>
    </row>
    <row r="44" spans="1:10" ht="52.8">
      <c r="A44" s="139" t="s">
        <v>347</v>
      </c>
      <c r="B44" s="133" t="s">
        <v>239</v>
      </c>
      <c r="C44" s="134" t="s">
        <v>343</v>
      </c>
      <c r="D44" s="133" t="s">
        <v>241</v>
      </c>
      <c r="E44" s="133" t="s">
        <v>318</v>
      </c>
      <c r="G44" s="133" t="s">
        <v>319</v>
      </c>
      <c r="H44" s="174" t="s">
        <v>344</v>
      </c>
    </row>
    <row r="45" spans="1:10" ht="26.4">
      <c r="A45" s="139" t="s">
        <v>347</v>
      </c>
      <c r="B45" s="133" t="s">
        <v>302</v>
      </c>
      <c r="C45" s="133" t="s">
        <v>179</v>
      </c>
      <c r="D45" s="133" t="s">
        <v>241</v>
      </c>
      <c r="E45" s="133" t="s">
        <v>120</v>
      </c>
    </row>
    <row r="46" spans="1:10" ht="26.4">
      <c r="A46" s="139" t="s">
        <v>347</v>
      </c>
      <c r="B46" s="133" t="s">
        <v>302</v>
      </c>
      <c r="C46" s="133" t="s">
        <v>179</v>
      </c>
      <c r="D46" s="133" t="s">
        <v>241</v>
      </c>
      <c r="E46" s="133" t="s">
        <v>122</v>
      </c>
    </row>
    <row r="47" spans="1:10" ht="26.4">
      <c r="A47" s="139" t="s">
        <v>347</v>
      </c>
      <c r="B47" s="133" t="s">
        <v>302</v>
      </c>
      <c r="C47" s="133" t="s">
        <v>179</v>
      </c>
      <c r="D47" s="133" t="s">
        <v>241</v>
      </c>
      <c r="E47" s="133" t="s">
        <v>123</v>
      </c>
    </row>
    <row r="48" spans="1:10" ht="26.4">
      <c r="A48" s="139" t="s">
        <v>346</v>
      </c>
      <c r="B48" s="133" t="s">
        <v>302</v>
      </c>
      <c r="C48" s="133" t="s">
        <v>240</v>
      </c>
      <c r="D48" s="135" t="s">
        <v>301</v>
      </c>
      <c r="E48" s="166" t="s">
        <v>133</v>
      </c>
      <c r="F48" s="133" t="s">
        <v>240</v>
      </c>
      <c r="G48" s="171"/>
      <c r="H48" s="167"/>
      <c r="I48" s="162" t="s">
        <v>349</v>
      </c>
      <c r="J48" s="139" t="s">
        <v>243</v>
      </c>
    </row>
    <row r="49" spans="1:9" ht="145.19999999999999">
      <c r="A49" s="139" t="s">
        <v>346</v>
      </c>
      <c r="B49" s="133" t="s">
        <v>302</v>
      </c>
      <c r="C49" s="133" t="s">
        <v>240</v>
      </c>
      <c r="D49" s="134" t="s">
        <v>301</v>
      </c>
      <c r="E49" s="166" t="s">
        <v>134</v>
      </c>
      <c r="F49" s="133" t="s">
        <v>240</v>
      </c>
      <c r="G49" s="171"/>
      <c r="H49" s="167"/>
      <c r="I49" s="162" t="s">
        <v>350</v>
      </c>
    </row>
    <row r="50" spans="1:9" ht="145.19999999999999">
      <c r="A50" s="139" t="s">
        <v>346</v>
      </c>
      <c r="B50" s="133" t="s">
        <v>302</v>
      </c>
      <c r="C50" s="133" t="s">
        <v>240</v>
      </c>
      <c r="D50" s="134" t="s">
        <v>301</v>
      </c>
      <c r="E50" s="166" t="s">
        <v>135</v>
      </c>
      <c r="F50" s="133" t="s">
        <v>240</v>
      </c>
      <c r="G50" s="171"/>
      <c r="H50" s="167"/>
      <c r="I50" s="162" t="s">
        <v>333</v>
      </c>
    </row>
    <row r="51" spans="1:9" ht="145.19999999999999">
      <c r="A51" s="139" t="s">
        <v>346</v>
      </c>
      <c r="B51" s="133" t="s">
        <v>302</v>
      </c>
      <c r="C51" s="133" t="s">
        <v>240</v>
      </c>
      <c r="D51" s="134" t="s">
        <v>301</v>
      </c>
      <c r="E51" s="166" t="s">
        <v>136</v>
      </c>
      <c r="F51" s="133" t="s">
        <v>240</v>
      </c>
      <c r="G51" s="171"/>
      <c r="H51" s="167"/>
      <c r="I51" s="162" t="s">
        <v>333</v>
      </c>
    </row>
    <row r="52" spans="1:9" ht="145.19999999999999">
      <c r="A52" s="139" t="s">
        <v>346</v>
      </c>
      <c r="B52" s="133" t="s">
        <v>302</v>
      </c>
      <c r="C52" s="133" t="s">
        <v>240</v>
      </c>
      <c r="D52" s="134" t="s">
        <v>301</v>
      </c>
      <c r="E52" s="166" t="s">
        <v>192</v>
      </c>
      <c r="F52" s="133" t="s">
        <v>240</v>
      </c>
      <c r="G52" s="171"/>
      <c r="H52" s="167"/>
      <c r="I52" s="162" t="s">
        <v>333</v>
      </c>
    </row>
    <row r="53" spans="1:9" ht="145.19999999999999">
      <c r="A53" s="139" t="s">
        <v>346</v>
      </c>
      <c r="B53" s="133" t="s">
        <v>302</v>
      </c>
      <c r="C53" s="133" t="s">
        <v>240</v>
      </c>
      <c r="D53" s="134" t="s">
        <v>301</v>
      </c>
      <c r="E53" s="166" t="s">
        <v>138</v>
      </c>
      <c r="F53" s="133" t="s">
        <v>240</v>
      </c>
      <c r="G53" s="171"/>
      <c r="H53" s="167"/>
      <c r="I53" s="162" t="s">
        <v>333</v>
      </c>
    </row>
    <row r="54" spans="1:9" ht="145.19999999999999">
      <c r="A54" s="139" t="s">
        <v>346</v>
      </c>
      <c r="B54" s="133" t="s">
        <v>302</v>
      </c>
      <c r="C54" s="133" t="s">
        <v>240</v>
      </c>
      <c r="D54" s="134" t="s">
        <v>301</v>
      </c>
      <c r="E54" s="166" t="s">
        <v>139</v>
      </c>
      <c r="F54" s="133" t="s">
        <v>240</v>
      </c>
      <c r="G54" s="171"/>
      <c r="H54" s="167"/>
      <c r="I54" s="162" t="s">
        <v>333</v>
      </c>
    </row>
    <row r="55" spans="1:9" ht="250.8">
      <c r="A55" s="139" t="s">
        <v>346</v>
      </c>
      <c r="B55" s="133" t="s">
        <v>302</v>
      </c>
      <c r="C55" s="133" t="s">
        <v>247</v>
      </c>
      <c r="D55" s="134" t="s">
        <v>301</v>
      </c>
      <c r="E55" s="167" t="s">
        <v>209</v>
      </c>
      <c r="F55" s="133" t="s">
        <v>247</v>
      </c>
      <c r="G55" s="167"/>
      <c r="H55" s="167"/>
      <c r="I55" s="162" t="s">
        <v>334</v>
      </c>
    </row>
    <row r="56" spans="1:9" ht="250.8">
      <c r="A56" s="139" t="s">
        <v>346</v>
      </c>
      <c r="B56" s="133" t="s">
        <v>302</v>
      </c>
      <c r="C56" s="133" t="s">
        <v>247</v>
      </c>
      <c r="D56" s="134" t="s">
        <v>301</v>
      </c>
      <c r="E56" s="167" t="s">
        <v>143</v>
      </c>
      <c r="F56" s="133" t="s">
        <v>247</v>
      </c>
      <c r="G56" s="167"/>
      <c r="H56" s="167"/>
      <c r="I56" s="162" t="s">
        <v>334</v>
      </c>
    </row>
    <row r="57" spans="1:9" ht="250.8">
      <c r="A57" s="139" t="s">
        <v>346</v>
      </c>
      <c r="B57" s="133" t="s">
        <v>302</v>
      </c>
      <c r="C57" s="133" t="s">
        <v>247</v>
      </c>
      <c r="D57" s="134" t="s">
        <v>301</v>
      </c>
      <c r="E57" s="167" t="s">
        <v>144</v>
      </c>
      <c r="F57" s="133" t="s">
        <v>247</v>
      </c>
      <c r="G57" s="167"/>
      <c r="H57" s="167"/>
      <c r="I57" s="162" t="s">
        <v>334</v>
      </c>
    </row>
    <row r="58" spans="1:9" ht="250.8">
      <c r="A58" s="139" t="s">
        <v>346</v>
      </c>
      <c r="B58" s="133" t="s">
        <v>302</v>
      </c>
      <c r="C58" s="133" t="s">
        <v>247</v>
      </c>
      <c r="D58" s="134" t="s">
        <v>301</v>
      </c>
      <c r="E58" s="167" t="s">
        <v>146</v>
      </c>
      <c r="F58" s="133" t="s">
        <v>247</v>
      </c>
      <c r="G58" s="167"/>
      <c r="H58" s="167"/>
      <c r="I58" s="162" t="s">
        <v>334</v>
      </c>
    </row>
    <row r="59" spans="1:9" ht="171.6">
      <c r="A59" s="139" t="s">
        <v>346</v>
      </c>
      <c r="B59" s="133" t="s">
        <v>302</v>
      </c>
      <c r="C59" s="133" t="s">
        <v>247</v>
      </c>
      <c r="D59" s="134" t="s">
        <v>301</v>
      </c>
      <c r="E59" s="167" t="s">
        <v>210</v>
      </c>
      <c r="F59" s="133" t="s">
        <v>247</v>
      </c>
      <c r="G59" s="167"/>
      <c r="H59" s="167"/>
      <c r="I59" s="162" t="s">
        <v>323</v>
      </c>
    </row>
    <row r="60" spans="1:9" ht="250.8">
      <c r="A60" s="139" t="s">
        <v>346</v>
      </c>
      <c r="B60" s="133" t="s">
        <v>302</v>
      </c>
      <c r="C60" s="133" t="s">
        <v>247</v>
      </c>
      <c r="D60" s="134" t="s">
        <v>301</v>
      </c>
      <c r="E60" s="168" t="s">
        <v>211</v>
      </c>
      <c r="F60" s="133" t="s">
        <v>247</v>
      </c>
      <c r="G60" s="167"/>
      <c r="H60" s="167"/>
      <c r="I60" s="162" t="s">
        <v>334</v>
      </c>
    </row>
    <row r="61" spans="1:9" ht="250.8">
      <c r="A61" s="139" t="s">
        <v>346</v>
      </c>
      <c r="B61" s="133" t="s">
        <v>302</v>
      </c>
      <c r="C61" s="133" t="s">
        <v>247</v>
      </c>
      <c r="D61" s="134" t="s">
        <v>301</v>
      </c>
      <c r="E61" s="167" t="s">
        <v>148</v>
      </c>
      <c r="F61" s="133" t="s">
        <v>247</v>
      </c>
      <c r="G61" s="167"/>
      <c r="H61" s="167"/>
      <c r="I61" s="162" t="s">
        <v>334</v>
      </c>
    </row>
    <row r="62" spans="1:9" ht="273.60000000000002" customHeight="1">
      <c r="A62" s="139" t="s">
        <v>346</v>
      </c>
      <c r="B62" s="133" t="s">
        <v>302</v>
      </c>
      <c r="C62" s="133" t="s">
        <v>247</v>
      </c>
      <c r="D62" s="134" t="s">
        <v>301</v>
      </c>
      <c r="E62" s="167" t="s">
        <v>212</v>
      </c>
      <c r="F62" s="133" t="s">
        <v>247</v>
      </c>
      <c r="G62" s="167"/>
      <c r="H62" s="167"/>
      <c r="I62" s="162" t="s">
        <v>334</v>
      </c>
    </row>
    <row r="63" spans="1:9" ht="184.8">
      <c r="A63" s="139" t="s">
        <v>346</v>
      </c>
      <c r="B63" s="133" t="s">
        <v>302</v>
      </c>
      <c r="C63" s="135" t="s">
        <v>240</v>
      </c>
      <c r="D63" s="134" t="s">
        <v>301</v>
      </c>
      <c r="E63" s="168" t="s">
        <v>156</v>
      </c>
      <c r="F63" s="168"/>
      <c r="G63" s="167"/>
      <c r="H63" s="168" t="s">
        <v>330</v>
      </c>
      <c r="I63" s="162" t="s">
        <v>335</v>
      </c>
    </row>
    <row r="64" spans="1:9" ht="184.8">
      <c r="A64" s="139" t="s">
        <v>346</v>
      </c>
      <c r="B64" s="133" t="s">
        <v>302</v>
      </c>
      <c r="C64" s="135" t="s">
        <v>240</v>
      </c>
      <c r="D64" s="134" t="s">
        <v>301</v>
      </c>
      <c r="E64" s="168" t="s">
        <v>230</v>
      </c>
      <c r="F64" s="168"/>
      <c r="G64" s="167"/>
      <c r="H64" s="168" t="s">
        <v>330</v>
      </c>
      <c r="I64" s="162" t="s">
        <v>335</v>
      </c>
    </row>
    <row r="65" spans="1:9" ht="184.8">
      <c r="A65" s="139" t="s">
        <v>346</v>
      </c>
      <c r="B65" s="133" t="s">
        <v>302</v>
      </c>
      <c r="C65" s="135" t="s">
        <v>240</v>
      </c>
      <c r="D65" s="134" t="s">
        <v>301</v>
      </c>
      <c r="E65" s="168" t="s">
        <v>231</v>
      </c>
      <c r="F65" s="168"/>
      <c r="G65" s="167"/>
      <c r="H65" s="168" t="s">
        <v>330</v>
      </c>
      <c r="I65" s="162" t="s">
        <v>335</v>
      </c>
    </row>
    <row r="66" spans="1:9" ht="184.8">
      <c r="A66" s="139" t="s">
        <v>346</v>
      </c>
      <c r="B66" s="133" t="s">
        <v>302</v>
      </c>
      <c r="C66" s="135" t="s">
        <v>240</v>
      </c>
      <c r="D66" s="134" t="s">
        <v>301</v>
      </c>
      <c r="E66" s="168" t="s">
        <v>159</v>
      </c>
      <c r="F66" s="168"/>
      <c r="G66" s="167"/>
      <c r="H66" s="168" t="s">
        <v>330</v>
      </c>
      <c r="I66" s="162" t="s">
        <v>335</v>
      </c>
    </row>
    <row r="67" spans="1:9" ht="184.8">
      <c r="A67" s="139" t="s">
        <v>346</v>
      </c>
      <c r="B67" s="133" t="s">
        <v>302</v>
      </c>
      <c r="C67" s="135" t="s">
        <v>240</v>
      </c>
      <c r="D67" s="134" t="s">
        <v>301</v>
      </c>
      <c r="E67" s="168" t="s">
        <v>232</v>
      </c>
      <c r="F67" s="168"/>
      <c r="G67" s="167"/>
      <c r="H67" s="168" t="s">
        <v>330</v>
      </c>
      <c r="I67" s="162" t="s">
        <v>335</v>
      </c>
    </row>
    <row r="68" spans="1:9" ht="26.4">
      <c r="A68" s="139" t="s">
        <v>347</v>
      </c>
      <c r="B68" s="133" t="s">
        <v>302</v>
      </c>
      <c r="D68" s="134" t="s">
        <v>301</v>
      </c>
      <c r="E68" s="164" t="s">
        <v>27</v>
      </c>
      <c r="F68" s="164"/>
      <c r="I68" s="139" t="s">
        <v>331</v>
      </c>
    </row>
    <row r="69" spans="1:9" ht="26.4">
      <c r="A69" s="139" t="s">
        <v>347</v>
      </c>
      <c r="B69" s="133" t="s">
        <v>302</v>
      </c>
      <c r="D69" s="134" t="s">
        <v>301</v>
      </c>
      <c r="E69" s="164" t="s">
        <v>28</v>
      </c>
      <c r="F69" s="164"/>
      <c r="I69" s="139" t="s">
        <v>331</v>
      </c>
    </row>
    <row r="70" spans="1:9" ht="26.4">
      <c r="A70" s="139" t="s">
        <v>347</v>
      </c>
      <c r="B70" s="133" t="s">
        <v>302</v>
      </c>
      <c r="D70" s="134" t="s">
        <v>301</v>
      </c>
      <c r="E70" s="164" t="s">
        <v>29</v>
      </c>
      <c r="F70" s="164"/>
      <c r="I70" s="139" t="s">
        <v>331</v>
      </c>
    </row>
    <row r="71" spans="1:9" ht="26.4">
      <c r="A71" s="139" t="s">
        <v>347</v>
      </c>
      <c r="B71" s="133" t="s">
        <v>302</v>
      </c>
      <c r="D71" s="134" t="s">
        <v>301</v>
      </c>
      <c r="E71" s="164" t="s">
        <v>30</v>
      </c>
      <c r="F71" s="164"/>
      <c r="I71" s="139" t="s">
        <v>331</v>
      </c>
    </row>
    <row r="72" spans="1:9" ht="26.4">
      <c r="A72" s="139" t="s">
        <v>347</v>
      </c>
      <c r="B72" s="133" t="s">
        <v>302</v>
      </c>
      <c r="D72" s="134" t="s">
        <v>301</v>
      </c>
      <c r="E72" s="164" t="s">
        <v>31</v>
      </c>
      <c r="F72" s="164"/>
      <c r="I72" s="139" t="s">
        <v>331</v>
      </c>
    </row>
    <row r="73" spans="1:9" ht="26.4">
      <c r="A73" s="139" t="s">
        <v>347</v>
      </c>
      <c r="B73" s="133" t="s">
        <v>302</v>
      </c>
      <c r="D73" s="134" t="s">
        <v>301</v>
      </c>
      <c r="E73" s="164" t="s">
        <v>32</v>
      </c>
      <c r="F73" s="164"/>
      <c r="I73" s="139" t="s">
        <v>331</v>
      </c>
    </row>
    <row r="74" spans="1:9" ht="26.4">
      <c r="A74" s="139" t="s">
        <v>347</v>
      </c>
      <c r="B74" s="133" t="s">
        <v>302</v>
      </c>
      <c r="D74" s="134" t="s">
        <v>301</v>
      </c>
      <c r="E74" s="164" t="s">
        <v>33</v>
      </c>
      <c r="F74" s="164"/>
      <c r="I74" s="139" t="s">
        <v>331</v>
      </c>
    </row>
    <row r="75" spans="1:9" ht="26.4">
      <c r="A75" s="139" t="s">
        <v>347</v>
      </c>
      <c r="B75" s="133" t="s">
        <v>302</v>
      </c>
      <c r="D75" s="134" t="s">
        <v>301</v>
      </c>
      <c r="E75" s="164" t="s">
        <v>34</v>
      </c>
      <c r="F75" s="164"/>
      <c r="I75" s="139" t="s">
        <v>331</v>
      </c>
    </row>
    <row r="76" spans="1:9" ht="26.4">
      <c r="A76" s="139" t="s">
        <v>347</v>
      </c>
      <c r="D76" s="134" t="s">
        <v>301</v>
      </c>
      <c r="E76" s="172" t="s">
        <v>27</v>
      </c>
      <c r="F76" s="172"/>
      <c r="I76" s="139" t="s">
        <v>332</v>
      </c>
    </row>
    <row r="77" spans="1:9">
      <c r="A77" s="139" t="s">
        <v>347</v>
      </c>
      <c r="D77" s="134" t="s">
        <v>301</v>
      </c>
      <c r="E77" s="172" t="s">
        <v>28</v>
      </c>
      <c r="F77" s="172"/>
      <c r="I77" s="139" t="s">
        <v>332</v>
      </c>
    </row>
    <row r="78" spans="1:9">
      <c r="A78" s="139" t="s">
        <v>347</v>
      </c>
      <c r="D78" s="134" t="s">
        <v>301</v>
      </c>
      <c r="E78" s="172" t="s">
        <v>29</v>
      </c>
      <c r="F78" s="172"/>
      <c r="I78" s="139" t="s">
        <v>332</v>
      </c>
    </row>
    <row r="79" spans="1:9" ht="26.4">
      <c r="A79" s="139" t="s">
        <v>347</v>
      </c>
      <c r="D79" s="134" t="s">
        <v>301</v>
      </c>
      <c r="E79" s="172" t="s">
        <v>31</v>
      </c>
      <c r="F79" s="172"/>
      <c r="I79" s="139" t="s">
        <v>332</v>
      </c>
    </row>
    <row r="80" spans="1:9" ht="26.4">
      <c r="A80" s="139" t="s">
        <v>347</v>
      </c>
      <c r="D80" s="134" t="s">
        <v>301</v>
      </c>
      <c r="E80" s="172" t="s">
        <v>47</v>
      </c>
      <c r="F80" s="172"/>
      <c r="I80" s="139" t="s">
        <v>332</v>
      </c>
    </row>
    <row r="81" spans="1:9" ht="26.4">
      <c r="A81" s="139" t="s">
        <v>347</v>
      </c>
      <c r="D81" s="134" t="s">
        <v>301</v>
      </c>
      <c r="E81" s="172" t="s">
        <v>48</v>
      </c>
      <c r="F81" s="172"/>
      <c r="I81" s="139" t="s">
        <v>332</v>
      </c>
    </row>
    <row r="82" spans="1:9" ht="26.4">
      <c r="A82" s="139" t="s">
        <v>347</v>
      </c>
      <c r="D82" s="134" t="s">
        <v>301</v>
      </c>
      <c r="E82" s="172" t="s">
        <v>49</v>
      </c>
      <c r="F82" s="172"/>
      <c r="I82" s="139" t="s">
        <v>332</v>
      </c>
    </row>
    <row r="83" spans="1:9" ht="26.4">
      <c r="A83" s="139" t="s">
        <v>347</v>
      </c>
      <c r="D83" s="134" t="s">
        <v>301</v>
      </c>
      <c r="E83" s="172" t="s">
        <v>50</v>
      </c>
      <c r="F83" s="172"/>
      <c r="I83" s="139" t="s">
        <v>332</v>
      </c>
    </row>
    <row r="84" spans="1:9" ht="26.4">
      <c r="A84" s="139" t="s">
        <v>347</v>
      </c>
      <c r="D84" s="134" t="s">
        <v>301</v>
      </c>
      <c r="E84" s="172" t="s">
        <v>51</v>
      </c>
      <c r="F84" s="172"/>
      <c r="I84" s="139" t="s">
        <v>332</v>
      </c>
    </row>
    <row r="85" spans="1:9" ht="26.4">
      <c r="A85" s="139" t="s">
        <v>347</v>
      </c>
      <c r="D85" s="134" t="s">
        <v>301</v>
      </c>
      <c r="E85" s="172" t="s">
        <v>52</v>
      </c>
      <c r="F85" s="172"/>
      <c r="I85" s="139" t="s">
        <v>332</v>
      </c>
    </row>
  </sheetData>
  <autoFilter ref="A1:K85" xr:uid="{00000000-0009-0000-0000-00000B000000}"/>
  <mergeCells count="2">
    <mergeCell ref="H7:H9"/>
    <mergeCell ref="H10:H1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A8"/>
  <sheetViews>
    <sheetView workbookViewId="0">
      <selection activeCell="A2" sqref="A2:A3"/>
    </sheetView>
  </sheetViews>
  <sheetFormatPr defaultRowHeight="13.2"/>
  <sheetData>
    <row r="2" spans="1:1">
      <c r="A2" s="122" t="s">
        <v>237</v>
      </c>
    </row>
    <row r="3" spans="1:1">
      <c r="A3" s="122" t="s">
        <v>238</v>
      </c>
    </row>
    <row r="5" spans="1:1">
      <c r="A5" s="136" t="s">
        <v>274</v>
      </c>
    </row>
    <row r="6" spans="1:1">
      <c r="A6" s="122" t="s">
        <v>263</v>
      </c>
    </row>
    <row r="7" spans="1:1">
      <c r="A7" s="136" t="s">
        <v>267</v>
      </c>
    </row>
    <row r="8" spans="1:1">
      <c r="A8" s="138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IND</vt:lpstr>
      <vt:lpstr>OUT 214 И. внеш</vt:lpstr>
      <vt:lpstr>OUT 21520 Пилот</vt:lpstr>
      <vt:lpstr>OUT 216 ЮО</vt:lpstr>
      <vt:lpstr>OUT 2172030 ТР</vt:lpstr>
      <vt:lpstr>OUT 218 БТ внеш</vt:lpstr>
      <vt:lpstr>OUT 219 ТИС</vt:lpstr>
      <vt:lpstr>INN 210 И. внут</vt:lpstr>
      <vt:lpstr>INN 211 БТ внут</vt:lpstr>
      <vt:lpstr>INN 212 Загрузка</vt:lpstr>
      <vt:lpstr>Параметры</vt:lpstr>
      <vt:lpstr>SA 2.0</vt:lpstr>
      <vt:lpstr>SA Вопросы общ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Бобокалонов Артем Владимирович</dc:creator>
  <cp:lastModifiedBy>Бобокалонов Артем Владимирович</cp:lastModifiedBy>
  <dcterms:created xsi:type="dcterms:W3CDTF">2026-05-19T09:34:21Z</dcterms:created>
  <dcterms:modified xsi:type="dcterms:W3CDTF">2026-05-21T14:12:25Z</dcterms:modified>
</cp:coreProperties>
</file>