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ABobokalonov\Desktop\СУМ\Планирование\2сс 6 спринт\"/>
    </mc:Choice>
  </mc:AlternateContent>
  <xr:revisionPtr revIDLastSave="0" documentId="13_ncr:1_{3FDEAB53-B8DA-4070-A49D-D9CF002611BC}" xr6:coauthVersionLast="36" xr6:coauthVersionMax="36" xr10:uidLastSave="{00000000-0000-0000-0000-000000000000}"/>
  <bookViews>
    <workbookView xWindow="0" yWindow="0" windowWidth="17256" windowHeight="5640" xr2:uid="{00000000-000D-0000-FFFF-FFFF00000000}"/>
  </bookViews>
  <sheets>
    <sheet name="Бэклог 2СС.6С" sheetId="29" r:id="rId1"/>
    <sheet name="Задачи 2СС.6С" sheetId="27" r:id="rId2"/>
  </sheets>
  <definedNames>
    <definedName name="_xlnm._FilterDatabase" localSheetId="0" hidden="1">'Бэклог 2СС.6С'!$A$1:$N$1</definedName>
    <definedName name="_xlnm._FilterDatabase" localSheetId="1" hidden="1">'Задачи 2СС.6С'!$A$1:$D$31</definedName>
  </definedNames>
  <calcPr calcId="191029" calcOnSave="0"/>
</workbook>
</file>

<file path=xl/calcChain.xml><?xml version="1.0" encoding="utf-8"?>
<calcChain xmlns="http://schemas.openxmlformats.org/spreadsheetml/2006/main">
  <c r="I48" i="29" l="1"/>
  <c r="J48" i="29"/>
  <c r="L48" i="29"/>
  <c r="C84" i="27" l="1"/>
  <c r="C16" i="27" l="1"/>
  <c r="C109" i="27" l="1"/>
  <c r="C54" i="27"/>
  <c r="C101" i="27" l="1"/>
  <c r="C77" i="27"/>
  <c r="C68" i="27"/>
  <c r="C61" i="27"/>
  <c r="C47" i="27"/>
  <c r="C40" i="27"/>
  <c r="C33" i="27"/>
  <c r="C25" i="27"/>
  <c r="C2" i="27"/>
</calcChain>
</file>

<file path=xl/sharedStrings.xml><?xml version="1.0" encoding="utf-8"?>
<sst xmlns="http://schemas.openxmlformats.org/spreadsheetml/2006/main" count="481" uniqueCount="204">
  <si>
    <t>Ошибки устранены</t>
  </si>
  <si>
    <t>Еженедельно</t>
  </si>
  <si>
    <t>№ п/п</t>
  </si>
  <si>
    <t>Название задачи</t>
  </si>
  <si>
    <t>Заказчик</t>
  </si>
  <si>
    <t>Ожидаемый результат спринта</t>
  </si>
  <si>
    <t>Плановая дата</t>
  </si>
  <si>
    <t>ДАДМ</t>
  </si>
  <si>
    <t>Интеграция с СС Аудит</t>
  </si>
  <si>
    <t>ИБ</t>
  </si>
  <si>
    <t>Подготовлен к релизу</t>
  </si>
  <si>
    <t>В процессе разработки</t>
  </si>
  <si>
    <t>УМРВ</t>
  </si>
  <si>
    <t>?12-16.03.2026</t>
  </si>
  <si>
    <t>Атрибут "Протокол ПСИ", расположенный на странице Основная информация в СУМ, должен быть доступен для редактирования для роли ModelOps/ModelOps Lead</t>
  </si>
  <si>
    <t>Резерв</t>
  </si>
  <si>
    <r>
      <rPr>
        <b/>
        <sz val="11"/>
        <color theme="1"/>
        <rFont val="Calibri"/>
        <family val="2"/>
        <charset val="204"/>
        <scheme val="minor"/>
      </rPr>
      <t>Аналитик</t>
    </r>
  </si>
  <si>
    <r>
      <rPr>
        <b/>
        <sz val="11"/>
        <color theme="1"/>
        <rFont val="Calibri"/>
        <family val="2"/>
        <charset val="204"/>
        <scheme val="minor"/>
      </rPr>
      <t>Разработчик</t>
    </r>
  </si>
  <si>
    <r>
      <rPr>
        <b/>
        <sz val="11"/>
        <color theme="1"/>
        <rFont val="Calibri"/>
        <family val="2"/>
        <charset val="204"/>
        <scheme val="minor"/>
      </rPr>
      <t>Тестировщик</t>
    </r>
  </si>
  <si>
    <r>
      <rPr>
        <b/>
        <sz val="11"/>
        <color theme="1"/>
        <rFont val="Calibri"/>
        <family val="2"/>
        <charset val="204"/>
        <scheme val="minor"/>
      </rPr>
      <t>DevOps</t>
    </r>
  </si>
  <si>
    <r>
      <rPr>
        <b/>
        <sz val="11"/>
        <color theme="1"/>
        <rFont val="Calibri"/>
        <family val="2"/>
        <charset val="204"/>
        <scheme val="minor"/>
      </rPr>
      <t>Архитектор</t>
    </r>
  </si>
  <si>
    <t>Требования актуалиизированы</t>
  </si>
  <si>
    <t>Релиз</t>
  </si>
  <si>
    <t>Отладка</t>
  </si>
  <si>
    <t>Загрузить данные в СУРМ атрибуты Проект</t>
  </si>
  <si>
    <t>Загрузить данные в СУРМ атрибуты Название команды, ответственной за разработку. Загруженные данные должны отображаться в СУМ</t>
  </si>
  <si>
    <t>Загрузить данные в СУРМ атрибуты Название команды, ответственной за разработку. Загруженные данные должны отображаться в СУРМ</t>
  </si>
  <si>
    <t>?</t>
  </si>
  <si>
    <t>Автоматическое подтверждение аллокации</t>
  </si>
  <si>
    <t>Дашборд. Этапы и статусы. Тестирование этапов и статусов ДАДМ, Разработка скрипта по заполнению таблицы с корректировками</t>
  </si>
  <si>
    <t>Доработка метамодели данных</t>
  </si>
  <si>
    <t>Data lineage. Доработки механизма загрузки s2t</t>
  </si>
  <si>
    <t>Релиз на preprod</t>
  </si>
  <si>
    <t>Техдолг. Постановка сертификатов на мониторинг</t>
  </si>
  <si>
    <t>ДПСИС</t>
  </si>
  <si>
    <t>Проведен анализ</t>
  </si>
  <si>
    <t>ФИО</t>
  </si>
  <si>
    <t>Задача</t>
  </si>
  <si>
    <t>Трудоемкость</t>
  </si>
  <si>
    <t>Фича</t>
  </si>
  <si>
    <t>Якупова</t>
  </si>
  <si>
    <t>Кравченко</t>
  </si>
  <si>
    <t>Елин</t>
  </si>
  <si>
    <t>Бобокалонов</t>
  </si>
  <si>
    <t>Игнатенко</t>
  </si>
  <si>
    <t>Кузьминов</t>
  </si>
  <si>
    <t>Николаев</t>
  </si>
  <si>
    <t>Габбасов</t>
  </si>
  <si>
    <t>Полтанов</t>
  </si>
  <si>
    <t>Зиновьев</t>
  </si>
  <si>
    <t>Десенко</t>
  </si>
  <si>
    <t>Колыханов</t>
  </si>
  <si>
    <t>Цятковский</t>
  </si>
  <si>
    <r>
      <rPr>
        <sz val="11"/>
        <color theme="1"/>
        <rFont val="Calibri"/>
        <family val="2"/>
        <charset val="204"/>
      </rPr>
      <t>Цятковский</t>
    </r>
  </si>
  <si>
    <t>Иващенко</t>
  </si>
  <si>
    <t>Выгрузка артефакта протокол ПСИ</t>
  </si>
  <si>
    <t>Дашборд. Новый дизайн + Переключение СУРМ на новый источник данных</t>
  </si>
  <si>
    <t>Интеграция СУРМ с JH. Описание БП для согласования с ИБ</t>
  </si>
  <si>
    <t>Перезаливка артефактов для старых моделей</t>
  </si>
  <si>
    <t>История изменений в СУРМ</t>
  </si>
  <si>
    <t>Доработка логики заполнения атрибута "Отчетная дата"</t>
  </si>
  <si>
    <t>Смарт-анкета</t>
  </si>
  <si>
    <t>Признак ЦП</t>
  </si>
  <si>
    <t>Встреча по актуализированной версии</t>
  </si>
  <si>
    <t>2СС</t>
  </si>
  <si>
    <t>Проведена встреча по требованиям</t>
  </si>
  <si>
    <t>2С</t>
  </si>
  <si>
    <t>Завершено внутреннее тестирование</t>
  </si>
  <si>
    <t>Корректировка механизма наследования артефактов от родительской модели</t>
  </si>
  <si>
    <t>Корректировка доменной авторизации</t>
  </si>
  <si>
    <t>Релизная документация (Тест, ПМИ, ПСИ)</t>
  </si>
  <si>
    <t>Провести ПСИ</t>
  </si>
  <si>
    <t>Настройка Keycloack</t>
  </si>
  <si>
    <t>Проверить заполненность атрибутов</t>
  </si>
  <si>
    <t>Доработка АИС</t>
  </si>
  <si>
    <t>Новое</t>
  </si>
  <si>
    <t>Доработка отображения логики обязательности поля "Дата выведения Модели/РС из эксплуатации" и "Реквизиты решения о выводе из эксплуатации"</t>
  </si>
  <si>
    <t>Сбрасывается значение "Подразделение Владельца Модели" при редактировании атрибутов группы валидации</t>
  </si>
  <si>
    <t>Исправить выбор значения по умолчанию для выбора пути: Стандартный путь, Сокращенный путь</t>
  </si>
  <si>
    <t>Очищение атрибутов в СУРМ</t>
  </si>
  <si>
    <t>Некорректная выгрузка отчета "Модели" в СУМ при выборе фильтр "Стрим"</t>
  </si>
  <si>
    <t>Разделение поля Решение заказчика модели на этапе Разработка модели и Вывод модели из экспл</t>
  </si>
  <si>
    <t>Приоритет</t>
  </si>
  <si>
    <t>Низкий</t>
  </si>
  <si>
    <t>Высокий</t>
  </si>
  <si>
    <t>Средний</t>
  </si>
  <si>
    <t>Корнеев</t>
  </si>
  <si>
    <t>Смарт-анкета. Построение модели данных смарт анкеты</t>
  </si>
  <si>
    <t>Смарт-анкета. Проработка логики калькуляции, финализация требований и доработки макетов</t>
  </si>
  <si>
    <t>Смарт-анкета. Front. Расчет общей неопределенности, доработки и отладка</t>
  </si>
  <si>
    <t xml:space="preserve">Ролевая Проектного офиса. </t>
  </si>
  <si>
    <t>Отладка интеграции СУРМ</t>
  </si>
  <si>
    <t>Некорректное визуальное отображение бизнес процесса в карточке модели</t>
  </si>
  <si>
    <t>Тестирование обновленной формы</t>
  </si>
  <si>
    <t>СУМ Развернуть SideCar, Preprod</t>
  </si>
  <si>
    <t>СУРМ, Развернуть SideCar, dev</t>
  </si>
  <si>
    <t>СУРМ, Развернуть SideCar, preprod</t>
  </si>
  <si>
    <t>Отладка интеграции СУМ, preprod</t>
  </si>
  <si>
    <t>СУМ Провести ПСИ</t>
  </si>
  <si>
    <t>СУМ Релизная документация (Тест, ПМИ, ПСИ)</t>
  </si>
  <si>
    <t>СУРМ Релизная документация (Тест, ПМИ, ПСИ)</t>
  </si>
  <si>
    <t>Тестирование СА dev</t>
  </si>
  <si>
    <t xml:space="preserve">Доработка АИС, ТИС? </t>
  </si>
  <si>
    <t>Пси Preprod</t>
  </si>
  <si>
    <t>СУРМ Провести ПСИ preprod</t>
  </si>
  <si>
    <t>Подготовка тестовых артефактов для ПСИ</t>
  </si>
  <si>
    <t>ПСИ</t>
  </si>
  <si>
    <t>Смарт-анкета. Финализация справочников, параметров, состава типовых работ</t>
  </si>
  <si>
    <t>Смарт-анкета. Проработка базовых сценариев смарт анкеты и тестирование сценариев</t>
  </si>
  <si>
    <t>Недоступность закрытия задачи на этапе Первичной валидации</t>
  </si>
  <si>
    <t>Обновить БД preprod (после релиза по Этапам и статусам)</t>
  </si>
  <si>
    <t>Согласование шаблона заявку СУБО Прод</t>
  </si>
  <si>
    <t>Тестирование и отладка (проверить создание модели в препрод контуре)</t>
  </si>
  <si>
    <t>Доработка Архитектуры решения</t>
  </si>
  <si>
    <t>Согласование БП с поддержкой JH</t>
  </si>
  <si>
    <t>Выполнение ЗНО на сетевой доступ</t>
  </si>
  <si>
    <t>Фильтрация по стриму в списке моделей СУМ</t>
  </si>
  <si>
    <t>Недоступность редактирования атрибута "Исполнитель" в СУМ</t>
  </si>
  <si>
    <t>Инциденты</t>
  </si>
  <si>
    <t>Исправить ошибку по синхронизации моделей, созданных в СУМ, на страницу аллокации</t>
  </si>
  <si>
    <t>Подготовить текущие версии для мастера препрода</t>
  </si>
  <si>
    <t>Анализ моделей со статусом "Разработана, в процессе внедрения" без этапа модели</t>
  </si>
  <si>
    <t>Актуализировать таблицу корректировок</t>
  </si>
  <si>
    <t>Актуализировать маппинг</t>
  </si>
  <si>
    <t>Сборка релиза для контура дашборд препрода</t>
  </si>
  <si>
    <t>Создание обращение на группу IDM в препрод контуре</t>
  </si>
  <si>
    <t>Настройка LDAP фильтра Keycloak препрод контур</t>
  </si>
  <si>
    <t>Изменение заявки СУБО препрод контур</t>
  </si>
  <si>
    <t>Тестирование назначение роли и синхронизации AD группы в Keycloak</t>
  </si>
  <si>
    <t>Создать обращение для создания общей группы для прод контура</t>
  </si>
  <si>
    <t>Создание обращение на группу IDM в прод контуре</t>
  </si>
  <si>
    <t>Изменение заявки СУБО прод контур</t>
  </si>
  <si>
    <t>Настройка Keycloack прод контура с созданными AD группами</t>
  </si>
  <si>
    <t>Передача на тестирование заказчику</t>
  </si>
  <si>
    <t>Тестирование командой в мастере препрод</t>
  </si>
  <si>
    <t>Тестирование командой в препрод дашборде</t>
  </si>
  <si>
    <t>Согласование ТИС</t>
  </si>
  <si>
    <t>Тестирование командой в препрод контуре</t>
  </si>
  <si>
    <t>На этапе первичной валидации в новой схеме для атрибута "Дата утверждения отчета валидации" недоступен выбор даты в прошлом</t>
  </si>
  <si>
    <t>Миграция с F5 на loadBalancer (prod)</t>
  </si>
  <si>
    <t>СА, Аудит, равзернуть sidecar dev, отладка</t>
  </si>
  <si>
    <t>СА, Аудит, равзернуть sidecar preprod, отладка</t>
  </si>
  <si>
    <t>СА, Аудит, релизная документация</t>
  </si>
  <si>
    <t>СА, Аудит, ПСИ</t>
  </si>
  <si>
    <t>Смарт-анкета. Формирование кастомной логики через админ панель (привязка параметров к схеме, расчеты, видимость и зависимости)</t>
  </si>
  <si>
    <t>Техдолг. ПСИ DL. Исключить возможность выгрузки s2t/json отчетов для роли Бизнес партнер</t>
  </si>
  <si>
    <t>СА, Аудит, разработка сервиса сбора/отправки событий в аудит</t>
  </si>
  <si>
    <t>Этапы и статусы БКРС: корректировка этапов и статусов, устранение ошибок</t>
  </si>
  <si>
    <t>Акт ввода в экспл</t>
  </si>
  <si>
    <t>Анализ добавления моделей (рекалибровки), созданных в СУРМ, в таблицу корректировок</t>
  </si>
  <si>
    <t>Добавление ЭУЗ в АИС СУМ</t>
  </si>
  <si>
    <t>Редактирование артефактов</t>
  </si>
  <si>
    <t>Смарт-анкета. Разворачивание ИФТ контура</t>
  </si>
  <si>
    <t>ПрОфис.Тестирование командой в препрод контуре</t>
  </si>
  <si>
    <t>Сборка релиза дашборда</t>
  </si>
  <si>
    <t>Дашборд. Релизная документация (Тест, ПМИ, ПСИ)</t>
  </si>
  <si>
    <t>ПрОфис. Релизная документация (Тест, ПМИ, ПСИ)</t>
  </si>
  <si>
    <t>ПрОфис.Настройка Keycloack</t>
  </si>
  <si>
    <t>Интеграция с ЦЕХ</t>
  </si>
  <si>
    <t>Тестирование смарт-анкеты</t>
  </si>
  <si>
    <t>Доработать фильтр "Стрим-исполнитель" при отображении списка моделей</t>
  </si>
  <si>
    <t>Исправить недоступность редактирования атрибута "Исполнитель" в СУМ</t>
  </si>
  <si>
    <t>Обращение пользователей</t>
  </si>
  <si>
    <t>Отладка историй изменений в СУРМ</t>
  </si>
  <si>
    <t>Развертывание сервисов preprod</t>
  </si>
  <si>
    <t>Подготовлено к ПСИ</t>
  </si>
  <si>
    <t>Пройдено ПСИ и подготовлено к релизу</t>
  </si>
  <si>
    <t>Аллокации. Тестирование обновленной формы</t>
  </si>
  <si>
    <t xml:space="preserve">Дашборд. Передача на тестирование заказчику, подготовка ТК </t>
  </si>
  <si>
    <t>Дашборд. Тестирование командой в препрод дашборде</t>
  </si>
  <si>
    <t>Аудит. СУМ Провести ПСИ</t>
  </si>
  <si>
    <t>Данные загружены</t>
  </si>
  <si>
    <t>Разработка завершена</t>
  </si>
  <si>
    <t>30.06.2026?</t>
  </si>
  <si>
    <t>Описать требования к предоставлению данным по аллокации в команде WOW</t>
  </si>
  <si>
    <t>Написать АР</t>
  </si>
  <si>
    <t>Согласование АР с архитектором JH + Лобаненко</t>
  </si>
  <si>
    <t>Согласование АР с корп архитектором</t>
  </si>
  <si>
    <t xml:space="preserve">Согласование АР с архитектором сопровождения </t>
  </si>
  <si>
    <t>Согласование АР с ит лидом 1648</t>
  </si>
  <si>
    <t>Согласование БП/АР с ИБ</t>
  </si>
  <si>
    <t>ПН Мониторинг</t>
  </si>
  <si>
    <t>Файловый обмен, интеграция с СУМ-СФП-JH</t>
  </si>
  <si>
    <t>Создать сервис в СУРМ для TYK</t>
  </si>
  <si>
    <t>Добавить зону безопасности контракторов в СУМ</t>
  </si>
  <si>
    <t xml:space="preserve">Техдолг Аудит СУМ помощь в прохождении ПСИ, СУРМ разворачивание/отладка dev/preprod </t>
  </si>
  <si>
    <t>Статус работ</t>
  </si>
  <si>
    <t>В работе</t>
  </si>
  <si>
    <t>Исправление отображение моделей со статусом "Архив" на странице аллокации</t>
  </si>
  <si>
    <t>Формирование релизного ЗНИ</t>
  </si>
  <si>
    <t>ЗНИ хотфикс по исправленным ошибкам</t>
  </si>
  <si>
    <t>Формирование Акта ввода в экспл</t>
  </si>
  <si>
    <t>В очереди</t>
  </si>
  <si>
    <t>Сборка релиза для формирования ЗНИ</t>
  </si>
  <si>
    <t>ХОЛД до прохождения БК</t>
  </si>
  <si>
    <t>Обращение по этапу Первичной валидации (2 модели). В текущий момент добавляем в таблицу корректировок</t>
  </si>
  <si>
    <t>Подготовлен препрод контур для воспризведения сценария</t>
  </si>
  <si>
    <t>Изменение подготовлено к внутреннему тестированию</t>
  </si>
  <si>
    <t>Обновить values CI/CD для всех сервисов</t>
  </si>
  <si>
    <t>Команда</t>
  </si>
  <si>
    <t>Готово</t>
  </si>
  <si>
    <t>Продление аллокации 1 квартала 2026 года на неделю в СУМ</t>
  </si>
  <si>
    <t>Создание и согласование шаблона заявки СУБО Препрод</t>
  </si>
  <si>
    <t>СА, Аудит, доработки ТИС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</si>
</sst>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 applyFill="0" applyBorder="0"/>
    <xf numFmtId="0" fontId="26" fillId="0" borderId="0"/>
    <xf numFmtId="0" fontId="31" fillId="0" borderId="0" applyFill="0" applyBorder="0"/>
  </cellStyleXfs>
  <cellXfs count="275">
    <xf numFmtId="0" fontId="0" fillId="0" borderId="0" xfId="0" applyNumberFormat="1" applyFont="1"/>
    <xf numFmtId="0" fontId="28" fillId="0" borderId="1" xfId="0" applyNumberFormat="1" applyFont="1" applyFill="1" applyBorder="1" applyAlignment="1">
      <alignment horizontal="center" vertical="top"/>
    </xf>
    <xf numFmtId="49" fontId="28" fillId="0" borderId="1" xfId="0" applyNumberFormat="1" applyFont="1" applyFill="1" applyBorder="1" applyAlignment="1">
      <alignment horizontal="left" vertical="top" wrapText="1"/>
    </xf>
    <xf numFmtId="0" fontId="28" fillId="0" borderId="1" xfId="0" applyNumberFormat="1" applyFont="1" applyFill="1" applyBorder="1" applyAlignment="1">
      <alignment vertical="top" wrapText="1"/>
    </xf>
    <xf numFmtId="49" fontId="27" fillId="0" borderId="1" xfId="0" applyNumberFormat="1" applyFont="1" applyFill="1" applyBorder="1" applyAlignment="1">
      <alignment horizontal="center"/>
    </xf>
    <xf numFmtId="0" fontId="29" fillId="0" borderId="1" xfId="0" applyNumberFormat="1" applyFont="1" applyFill="1" applyBorder="1" applyAlignment="1">
      <alignment horizontal="center"/>
    </xf>
    <xf numFmtId="0" fontId="27" fillId="0" borderId="1" xfId="0" applyNumberFormat="1" applyFont="1" applyFill="1" applyBorder="1" applyAlignment="1">
      <alignment horizontal="center"/>
    </xf>
    <xf numFmtId="0" fontId="26" fillId="0" borderId="1" xfId="0" applyNumberFormat="1" applyFont="1" applyFill="1" applyBorder="1"/>
    <xf numFmtId="0" fontId="26" fillId="0" borderId="0" xfId="0" applyNumberFormat="1" applyFont="1" applyFill="1"/>
    <xf numFmtId="0" fontId="26" fillId="0" borderId="1" xfId="0" applyNumberFormat="1" applyFont="1" applyFill="1" applyBorder="1" applyAlignment="1">
      <alignment vertical="top"/>
    </xf>
    <xf numFmtId="0" fontId="26" fillId="0" borderId="1" xfId="1" applyNumberFormat="1" applyFont="1" applyFill="1" applyBorder="1"/>
    <xf numFmtId="0" fontId="26" fillId="0" borderId="1" xfId="1" applyNumberFormat="1" applyFont="1" applyFill="1" applyBorder="1" applyAlignment="1">
      <alignment horizontal="center"/>
    </xf>
    <xf numFmtId="14" fontId="26" fillId="0" borderId="1" xfId="0" applyNumberFormat="1" applyFont="1" applyFill="1" applyBorder="1"/>
    <xf numFmtId="0" fontId="28" fillId="0" borderId="1" xfId="0" applyNumberFormat="1" applyFont="1" applyFill="1" applyBorder="1" applyAlignment="1">
      <alignment horizontal="left" vertical="top" wrapText="1"/>
    </xf>
    <xf numFmtId="0" fontId="24" fillId="0" borderId="1" xfId="1" applyFont="1" applyFill="1" applyBorder="1"/>
    <xf numFmtId="0" fontId="24" fillId="0" borderId="0" xfId="0" applyNumberFormat="1" applyFont="1"/>
    <xf numFmtId="0" fontId="31" fillId="0" borderId="1" xfId="0" applyFont="1" applyFill="1" applyBorder="1" applyAlignment="1">
      <alignment wrapText="1"/>
    </xf>
    <xf numFmtId="0" fontId="24" fillId="0" borderId="1" xfId="0" applyNumberFormat="1" applyFont="1" applyFill="1" applyBorder="1"/>
    <xf numFmtId="0" fontId="28" fillId="0" borderId="1" xfId="2" applyNumberFormat="1" applyFont="1" applyFill="1" applyBorder="1" applyAlignment="1">
      <alignment horizontal="center" vertical="top"/>
    </xf>
    <xf numFmtId="0" fontId="24" fillId="0" borderId="0" xfId="0" applyNumberFormat="1" applyFont="1" applyFill="1"/>
    <xf numFmtId="0" fontId="27" fillId="0" borderId="2" xfId="0" applyNumberFormat="1" applyFont="1" applyBorder="1" applyAlignment="1">
      <alignment horizontal="center"/>
    </xf>
    <xf numFmtId="0" fontId="27" fillId="0" borderId="0" xfId="0" applyNumberFormat="1" applyFont="1" applyAlignment="1">
      <alignment horizontal="center"/>
    </xf>
    <xf numFmtId="0" fontId="27" fillId="2" borderId="2" xfId="0" applyNumberFormat="1" applyFont="1" applyFill="1" applyBorder="1" applyAlignment="1">
      <alignment vertical="top"/>
    </xf>
    <xf numFmtId="0" fontId="27" fillId="2" borderId="2" xfId="0" applyNumberFormat="1" applyFont="1" applyFill="1" applyBorder="1" applyAlignment="1">
      <alignment horizontal="center"/>
    </xf>
    <xf numFmtId="49" fontId="28" fillId="0" borderId="0" xfId="0" applyNumberFormat="1" applyFont="1" applyAlignment="1">
      <alignment horizontal="right"/>
    </xf>
    <xf numFmtId="0" fontId="28" fillId="0" borderId="0" xfId="0" applyNumberFormat="1" applyFont="1"/>
    <xf numFmtId="14" fontId="28" fillId="0" borderId="0" xfId="0" applyNumberFormat="1" applyFont="1"/>
    <xf numFmtId="0" fontId="28" fillId="0" borderId="2" xfId="0" applyNumberFormat="1" applyFont="1" applyBorder="1" applyAlignment="1">
      <alignment vertical="top"/>
    </xf>
    <xf numFmtId="0" fontId="28" fillId="0" borderId="2" xfId="0" applyNumberFormat="1" applyFont="1" applyBorder="1"/>
    <xf numFmtId="0" fontId="33" fillId="0" borderId="2" xfId="0" applyNumberFormat="1" applyFont="1" applyBorder="1"/>
    <xf numFmtId="49" fontId="28" fillId="0" borderId="0" xfId="0" applyNumberFormat="1" applyFont="1" applyAlignment="1">
      <alignment horizontal="left"/>
    </xf>
    <xf numFmtId="0" fontId="28" fillId="0" borderId="1" xfId="0" applyNumberFormat="1" applyFont="1" applyBorder="1"/>
    <xf numFmtId="0" fontId="28" fillId="0" borderId="0" xfId="0" applyNumberFormat="1" applyFont="1" applyAlignment="1">
      <alignment vertical="center" wrapText="1"/>
    </xf>
    <xf numFmtId="0" fontId="28" fillId="0" borderId="2" xfId="0" applyNumberFormat="1" applyFont="1" applyFill="1" applyBorder="1" applyAlignment="1">
      <alignment vertical="top"/>
    </xf>
    <xf numFmtId="0" fontId="33" fillId="0" borderId="2" xfId="0" applyNumberFormat="1" applyFont="1" applyFill="1" applyBorder="1"/>
    <xf numFmtId="0" fontId="24" fillId="0" borderId="1" xfId="0" applyNumberFormat="1" applyFont="1" applyBorder="1"/>
    <xf numFmtId="0" fontId="0" fillId="0" borderId="0" xfId="0" applyNumberFormat="1"/>
    <xf numFmtId="0" fontId="33" fillId="0" borderId="2" xfId="0" applyNumberFormat="1" applyFont="1" applyBorder="1" applyAlignment="1">
      <alignment vertical="center" wrapText="1"/>
    </xf>
    <xf numFmtId="0" fontId="27" fillId="2" borderId="2" xfId="0" applyNumberFormat="1" applyFont="1" applyFill="1" applyBorder="1"/>
    <xf numFmtId="0" fontId="28" fillId="0" borderId="2" xfId="0" applyNumberFormat="1" applyFont="1" applyFill="1" applyBorder="1"/>
    <xf numFmtId="0" fontId="28" fillId="2" borderId="2" xfId="0" applyNumberFormat="1" applyFont="1" applyFill="1" applyBorder="1"/>
    <xf numFmtId="0" fontId="33" fillId="0" borderId="2" xfId="0" applyNumberFormat="1" applyFont="1" applyFill="1" applyBorder="1" applyAlignment="1">
      <alignment vertical="center" wrapText="1"/>
    </xf>
    <xf numFmtId="0" fontId="24" fillId="0" borderId="2" xfId="0" applyNumberFormat="1" applyFont="1" applyFill="1" applyBorder="1"/>
    <xf numFmtId="0" fontId="35" fillId="2" borderId="2" xfId="0" applyNumberFormat="1" applyFont="1" applyFill="1" applyBorder="1" applyAlignment="1">
      <alignment vertical="center" wrapText="1"/>
    </xf>
    <xf numFmtId="0" fontId="28" fillId="0" borderId="0" xfId="0" applyNumberFormat="1" applyFont="1" applyAlignment="1">
      <alignment vertical="center"/>
    </xf>
    <xf numFmtId="0" fontId="28" fillId="0" borderId="3" xfId="0" applyNumberFormat="1" applyFont="1" applyBorder="1"/>
    <xf numFmtId="0" fontId="28" fillId="0" borderId="4" xfId="0" applyNumberFormat="1" applyFont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27" fillId="2" borderId="5" xfId="0" applyNumberFormat="1" applyFont="1" applyFill="1" applyBorder="1"/>
    <xf numFmtId="0" fontId="27" fillId="2" borderId="5" xfId="0" applyNumberFormat="1" applyFont="1" applyFill="1" applyBorder="1" applyAlignment="1">
      <alignment horizontal="center"/>
    </xf>
    <xf numFmtId="0" fontId="34" fillId="0" borderId="1" xfId="0" applyNumberFormat="1" applyFont="1" applyBorder="1" applyAlignment="1">
      <alignment vertical="center" wrapText="1"/>
    </xf>
    <xf numFmtId="0" fontId="24" fillId="0" borderId="0" xfId="0" applyNumberFormat="1" applyFont="1" applyFill="1" applyBorder="1"/>
    <xf numFmtId="0" fontId="26" fillId="0" borderId="0" xfId="0" applyNumberFormat="1" applyFont="1" applyFill="1" applyBorder="1"/>
    <xf numFmtId="0" fontId="22" fillId="0" borderId="0" xfId="0" applyNumberFormat="1" applyFont="1"/>
    <xf numFmtId="0" fontId="28" fillId="0" borderId="5" xfId="0" applyNumberFormat="1" applyFont="1" applyFill="1" applyBorder="1"/>
    <xf numFmtId="0" fontId="30" fillId="0" borderId="0" xfId="0" applyNumberFormat="1" applyFont="1" applyFill="1"/>
    <xf numFmtId="0" fontId="32" fillId="0" borderId="0" xfId="0" applyNumberFormat="1" applyFont="1" applyFill="1"/>
    <xf numFmtId="0" fontId="26" fillId="0" borderId="1" xfId="1" applyFill="1" applyBorder="1" applyAlignment="1">
      <alignment wrapText="1"/>
    </xf>
    <xf numFmtId="0" fontId="23" fillId="0" borderId="0" xfId="0" applyNumberFormat="1" applyFont="1" applyFill="1"/>
    <xf numFmtId="0" fontId="21" fillId="0" borderId="0" xfId="0" applyNumberFormat="1" applyFont="1"/>
    <xf numFmtId="0" fontId="27" fillId="2" borderId="3" xfId="0" applyNumberFormat="1" applyFont="1" applyFill="1" applyBorder="1" applyAlignment="1">
      <alignment vertical="top"/>
    </xf>
    <xf numFmtId="0" fontId="27" fillId="2" borderId="3" xfId="0" applyNumberFormat="1" applyFont="1" applyFill="1" applyBorder="1"/>
    <xf numFmtId="0" fontId="27" fillId="2" borderId="3" xfId="0" applyNumberFormat="1" applyFont="1" applyFill="1" applyBorder="1" applyAlignment="1">
      <alignment horizontal="center"/>
    </xf>
    <xf numFmtId="0" fontId="21" fillId="0" borderId="1" xfId="0" applyNumberFormat="1" applyFont="1" applyBorder="1"/>
    <xf numFmtId="0" fontId="28" fillId="0" borderId="4" xfId="0" applyNumberFormat="1" applyFont="1" applyFill="1" applyBorder="1" applyAlignment="1">
      <alignment vertical="top"/>
    </xf>
    <xf numFmtId="0" fontId="27" fillId="2" borderId="3" xfId="0" applyNumberFormat="1" applyFont="1" applyFill="1" applyBorder="1" applyAlignment="1">
      <alignment wrapText="1"/>
    </xf>
    <xf numFmtId="0" fontId="33" fillId="0" borderId="1" xfId="0" applyNumberFormat="1" applyFont="1" applyBorder="1"/>
    <xf numFmtId="0" fontId="21" fillId="0" borderId="1" xfId="0" applyNumberFormat="1" applyFont="1" applyFill="1" applyBorder="1"/>
    <xf numFmtId="14" fontId="21" fillId="0" borderId="1" xfId="0" applyNumberFormat="1" applyFont="1" applyFill="1" applyBorder="1"/>
    <xf numFmtId="0" fontId="28" fillId="0" borderId="9" xfId="0" applyNumberFormat="1" applyFont="1" applyBorder="1"/>
    <xf numFmtId="0" fontId="23" fillId="0" borderId="0" xfId="0" applyNumberFormat="1" applyFont="1" applyFill="1" applyAlignment="1">
      <alignment horizontal="center"/>
    </xf>
    <xf numFmtId="0" fontId="21" fillId="0" borderId="0" xfId="0" applyNumberFormat="1" applyFont="1" applyFill="1" applyAlignment="1">
      <alignment horizontal="center"/>
    </xf>
    <xf numFmtId="0" fontId="21" fillId="0" borderId="8" xfId="0" applyNumberFormat="1" applyFont="1" applyFill="1" applyBorder="1"/>
    <xf numFmtId="0" fontId="21" fillId="0" borderId="8" xfId="0" applyNumberFormat="1" applyFont="1" applyFill="1" applyBorder="1" applyAlignment="1">
      <alignment horizontal="center"/>
    </xf>
    <xf numFmtId="0" fontId="21" fillId="0" borderId="10" xfId="0" applyNumberFormat="1" applyFont="1" applyFill="1" applyBorder="1"/>
    <xf numFmtId="0" fontId="21" fillId="0" borderId="1" xfId="0" applyNumberFormat="1" applyFont="1" applyFill="1" applyBorder="1" applyAlignment="1">
      <alignment horizontal="center"/>
    </xf>
    <xf numFmtId="0" fontId="25" fillId="0" borderId="1" xfId="0" applyNumberFormat="1" applyFont="1" applyFill="1" applyBorder="1"/>
    <xf numFmtId="0" fontId="20" fillId="0" borderId="1" xfId="0" applyNumberFormat="1" applyFont="1" applyFill="1" applyBorder="1"/>
    <xf numFmtId="0" fontId="26" fillId="0" borderId="1" xfId="0" applyNumberFormat="1" applyFont="1" applyFill="1" applyBorder="1" applyAlignment="1">
      <alignment horizontal="center"/>
    </xf>
    <xf numFmtId="0" fontId="21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top"/>
    </xf>
    <xf numFmtId="0" fontId="0" fillId="0" borderId="0" xfId="0" applyNumberFormat="1" applyFont="1" applyFill="1" applyBorder="1"/>
    <xf numFmtId="0" fontId="31" fillId="0" borderId="0" xfId="0" applyFont="1" applyFill="1"/>
    <xf numFmtId="0" fontId="18" fillId="0" borderId="0" xfId="0" applyNumberFormat="1" applyFont="1" applyFill="1" applyBorder="1" applyAlignment="1">
      <alignment vertical="top"/>
    </xf>
    <xf numFmtId="0" fontId="26" fillId="0" borderId="8" xfId="0" applyNumberFormat="1" applyFont="1" applyFill="1" applyBorder="1" applyAlignment="1">
      <alignment vertical="top"/>
    </xf>
    <xf numFmtId="49" fontId="27" fillId="0" borderId="1" xfId="0" applyNumberFormat="1" applyFont="1" applyFill="1" applyBorder="1" applyAlignment="1">
      <alignment horizontal="left"/>
    </xf>
    <xf numFmtId="0" fontId="18" fillId="0" borderId="1" xfId="0" applyNumberFormat="1" applyFont="1" applyFill="1" applyBorder="1"/>
    <xf numFmtId="0" fontId="17" fillId="0" borderId="0" xfId="0" applyNumberFormat="1" applyFont="1" applyFill="1"/>
    <xf numFmtId="0" fontId="17" fillId="0" borderId="1" xfId="0" applyNumberFormat="1" applyFont="1" applyBorder="1"/>
    <xf numFmtId="0" fontId="17" fillId="0" borderId="0" xfId="0" applyNumberFormat="1" applyFont="1"/>
    <xf numFmtId="0" fontId="28" fillId="0" borderId="11" xfId="0" applyNumberFormat="1" applyFont="1" applyBorder="1"/>
    <xf numFmtId="0" fontId="35" fillId="2" borderId="3" xfId="0" applyNumberFormat="1" applyFont="1" applyFill="1" applyBorder="1" applyAlignment="1">
      <alignment vertical="center" wrapText="1"/>
    </xf>
    <xf numFmtId="0" fontId="28" fillId="0" borderId="5" xfId="0" applyNumberFormat="1" applyFont="1" applyBorder="1"/>
    <xf numFmtId="49" fontId="28" fillId="0" borderId="0" xfId="0" applyNumberFormat="1" applyFont="1" applyFill="1" applyAlignment="1">
      <alignment horizontal="right"/>
    </xf>
    <xf numFmtId="0" fontId="22" fillId="0" borderId="0" xfId="0" applyNumberFormat="1" applyFont="1" applyFill="1"/>
    <xf numFmtId="0" fontId="16" fillId="0" borderId="0" xfId="0" applyNumberFormat="1" applyFont="1" applyFill="1"/>
    <xf numFmtId="0" fontId="28" fillId="0" borderId="0" xfId="0" applyNumberFormat="1" applyFont="1" applyFill="1"/>
    <xf numFmtId="0" fontId="15" fillId="0" borderId="1" xfId="1" applyFont="1" applyFill="1" applyBorder="1"/>
    <xf numFmtId="0" fontId="15" fillId="0" borderId="1" xfId="0" applyNumberFormat="1" applyFont="1" applyFill="1" applyBorder="1"/>
    <xf numFmtId="0" fontId="15" fillId="0" borderId="6" xfId="0" applyNumberFormat="1" applyFont="1" applyFill="1" applyBorder="1"/>
    <xf numFmtId="0" fontId="16" fillId="0" borderId="1" xfId="0" applyNumberFormat="1" applyFont="1" applyFill="1" applyBorder="1"/>
    <xf numFmtId="0" fontId="15" fillId="0" borderId="7" xfId="0" applyNumberFormat="1" applyFont="1" applyFill="1" applyBorder="1"/>
    <xf numFmtId="0" fontId="28" fillId="0" borderId="3" xfId="0" applyNumberFormat="1" applyFont="1" applyFill="1" applyBorder="1"/>
    <xf numFmtId="0" fontId="35" fillId="4" borderId="2" xfId="0" applyNumberFormat="1" applyFont="1" applyFill="1" applyBorder="1" applyAlignment="1">
      <alignment vertical="center" wrapText="1"/>
    </xf>
    <xf numFmtId="0" fontId="14" fillId="0" borderId="1" xfId="0" applyNumberFormat="1" applyFont="1" applyFill="1" applyBorder="1" applyAlignment="1">
      <alignment vertical="top" wrapText="1"/>
    </xf>
    <xf numFmtId="17" fontId="28" fillId="0" borderId="1" xfId="0" applyNumberFormat="1" applyFont="1" applyFill="1" applyBorder="1" applyAlignment="1">
      <alignment horizontal="right" vertical="top"/>
    </xf>
    <xf numFmtId="0" fontId="13" fillId="0" borderId="1" xfId="0" applyNumberFormat="1" applyFont="1" applyFill="1" applyBorder="1"/>
    <xf numFmtId="14" fontId="24" fillId="0" borderId="1" xfId="0" applyNumberFormat="1" applyFont="1" applyFill="1" applyBorder="1"/>
    <xf numFmtId="0" fontId="19" fillId="0" borderId="1" xfId="1" applyFont="1" applyFill="1" applyBorder="1"/>
    <xf numFmtId="0" fontId="28" fillId="0" borderId="1" xfId="1" applyNumberFormat="1" applyFont="1" applyFill="1" applyBorder="1" applyAlignment="1">
      <alignment horizontal="center" vertical="top"/>
    </xf>
    <xf numFmtId="0" fontId="24" fillId="0" borderId="1" xfId="1" applyNumberFormat="1" applyFont="1" applyFill="1" applyBorder="1" applyAlignment="1">
      <alignment wrapText="1"/>
    </xf>
    <xf numFmtId="14" fontId="28" fillId="0" borderId="1" xfId="0" applyNumberFormat="1" applyFont="1" applyFill="1" applyBorder="1" applyAlignment="1">
      <alignment horizontal="right" vertical="top"/>
    </xf>
    <xf numFmtId="0" fontId="28" fillId="0" borderId="1" xfId="0" applyNumberFormat="1" applyFont="1" applyFill="1" applyBorder="1" applyAlignment="1">
      <alignment horizontal="left" vertical="top"/>
    </xf>
    <xf numFmtId="0" fontId="20" fillId="0" borderId="1" xfId="0" applyNumberFormat="1" applyFont="1" applyFill="1" applyBorder="1" applyAlignment="1">
      <alignment horizontal="center"/>
    </xf>
    <xf numFmtId="0" fontId="26" fillId="0" borderId="0" xfId="0" applyNumberFormat="1" applyFont="1" applyFill="1" applyBorder="1" applyAlignment="1">
      <alignment vertical="top"/>
    </xf>
    <xf numFmtId="0" fontId="20" fillId="0" borderId="0" xfId="0" applyNumberFormat="1" applyFont="1" applyFill="1" applyBorder="1" applyAlignment="1">
      <alignment horizontal="center"/>
    </xf>
    <xf numFmtId="0" fontId="20" fillId="0" borderId="0" xfId="0" applyNumberFormat="1" applyFont="1" applyFill="1" applyBorder="1"/>
    <xf numFmtId="0" fontId="20" fillId="0" borderId="0" xfId="0" applyNumberFormat="1" applyFont="1" applyFill="1"/>
    <xf numFmtId="0" fontId="0" fillId="0" borderId="0" xfId="0" applyFill="1"/>
    <xf numFmtId="0" fontId="12" fillId="0" borderId="1" xfId="0" applyNumberFormat="1" applyFont="1" applyFill="1" applyBorder="1"/>
    <xf numFmtId="0" fontId="28" fillId="5" borderId="1" xfId="0" applyNumberFormat="1" applyFont="1" applyFill="1" applyBorder="1" applyAlignment="1">
      <alignment vertical="top" wrapText="1"/>
    </xf>
    <xf numFmtId="0" fontId="28" fillId="5" borderId="1" xfId="2" applyNumberFormat="1" applyFont="1" applyFill="1" applyBorder="1" applyAlignment="1">
      <alignment horizontal="center" vertical="top"/>
    </xf>
    <xf numFmtId="0" fontId="11" fillId="0" borderId="1" xfId="0" applyNumberFormat="1" applyFont="1" applyFill="1" applyBorder="1"/>
    <xf numFmtId="0" fontId="11" fillId="0" borderId="1" xfId="0" applyNumberFormat="1" applyFont="1" applyFill="1" applyBorder="1" applyAlignment="1">
      <alignment vertical="top" wrapText="1"/>
    </xf>
    <xf numFmtId="0" fontId="11" fillId="0" borderId="0" xfId="0" applyNumberFormat="1" applyFont="1" applyFill="1"/>
    <xf numFmtId="0" fontId="11" fillId="0" borderId="1" xfId="0" applyNumberFormat="1" applyFont="1" applyFill="1" applyBorder="1" applyAlignment="1">
      <alignment vertical="top"/>
    </xf>
    <xf numFmtId="0" fontId="31" fillId="0" borderId="0" xfId="0" applyNumberFormat="1" applyFont="1" applyFill="1" applyBorder="1"/>
    <xf numFmtId="0" fontId="19" fillId="5" borderId="1" xfId="1" applyFont="1" applyFill="1" applyBorder="1"/>
    <xf numFmtId="0" fontId="11" fillId="0" borderId="0" xfId="0" applyNumberFormat="1" applyFont="1"/>
    <xf numFmtId="0" fontId="17" fillId="6" borderId="1" xfId="0" applyNumberFormat="1" applyFont="1" applyFill="1" applyBorder="1"/>
    <xf numFmtId="0" fontId="31" fillId="5" borderId="1" xfId="0" applyFont="1" applyFill="1" applyBorder="1" applyAlignment="1">
      <alignment wrapText="1"/>
    </xf>
    <xf numFmtId="0" fontId="28" fillId="6" borderId="1" xfId="0" applyNumberFormat="1" applyFont="1" applyFill="1" applyBorder="1" applyAlignment="1">
      <alignment vertical="top" wrapText="1"/>
    </xf>
    <xf numFmtId="0" fontId="31" fillId="5" borderId="0" xfId="0" applyFont="1" applyFill="1"/>
    <xf numFmtId="0" fontId="37" fillId="0" borderId="1" xfId="0" applyNumberFormat="1" applyFont="1" applyFill="1" applyBorder="1"/>
    <xf numFmtId="0" fontId="10" fillId="0" borderId="1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/>
    <xf numFmtId="0" fontId="10" fillId="6" borderId="0" xfId="0" applyNumberFormat="1" applyFont="1" applyFill="1" applyBorder="1"/>
    <xf numFmtId="0" fontId="37" fillId="0" borderId="0" xfId="0" applyNumberFormat="1" applyFont="1" applyFill="1"/>
    <xf numFmtId="0" fontId="37" fillId="5" borderId="1" xfId="0" applyNumberFormat="1" applyFont="1" applyFill="1" applyBorder="1"/>
    <xf numFmtId="0" fontId="40" fillId="5" borderId="0" xfId="0" applyNumberFormat="1" applyFont="1" applyFill="1" applyBorder="1"/>
    <xf numFmtId="0" fontId="9" fillId="6" borderId="1" xfId="0" applyNumberFormat="1" applyFont="1" applyFill="1" applyBorder="1"/>
    <xf numFmtId="0" fontId="9" fillId="0" borderId="1" xfId="1" applyFont="1" applyFill="1" applyBorder="1"/>
    <xf numFmtId="0" fontId="8" fillId="5" borderId="1" xfId="0" applyNumberFormat="1" applyFont="1" applyFill="1" applyBorder="1"/>
    <xf numFmtId="0" fontId="8" fillId="0" borderId="1" xfId="0" applyNumberFormat="1" applyFont="1" applyFill="1" applyBorder="1"/>
    <xf numFmtId="0" fontId="8" fillId="0" borderId="1" xfId="0" applyNumberFormat="1" applyFont="1" applyFill="1" applyBorder="1" applyAlignment="1">
      <alignment vertical="top" wrapText="1"/>
    </xf>
    <xf numFmtId="0" fontId="26" fillId="5" borderId="1" xfId="0" applyNumberFormat="1" applyFont="1" applyFill="1" applyBorder="1" applyAlignment="1">
      <alignment vertical="top"/>
    </xf>
    <xf numFmtId="0" fontId="28" fillId="5" borderId="1" xfId="0" applyNumberFormat="1" applyFont="1" applyFill="1" applyBorder="1" applyAlignment="1">
      <alignment horizontal="center" vertical="top"/>
    </xf>
    <xf numFmtId="17" fontId="28" fillId="5" borderId="1" xfId="0" applyNumberFormat="1" applyFont="1" applyFill="1" applyBorder="1" applyAlignment="1">
      <alignment horizontal="right" vertical="top"/>
    </xf>
    <xf numFmtId="0" fontId="26" fillId="5" borderId="1" xfId="0" applyNumberFormat="1" applyFont="1" applyFill="1" applyBorder="1"/>
    <xf numFmtId="0" fontId="26" fillId="5" borderId="0" xfId="0" applyNumberFormat="1" applyFont="1" applyFill="1"/>
    <xf numFmtId="0" fontId="9" fillId="0" borderId="6" xfId="0" applyNumberFormat="1" applyFont="1" applyFill="1" applyBorder="1" applyAlignment="1">
      <alignment wrapText="1"/>
    </xf>
    <xf numFmtId="0" fontId="20" fillId="5" borderId="1" xfId="0" applyNumberFormat="1" applyFont="1" applyFill="1" applyBorder="1"/>
    <xf numFmtId="0" fontId="26" fillId="5" borderId="0" xfId="0" applyNumberFormat="1" applyFont="1" applyFill="1" applyBorder="1"/>
    <xf numFmtId="0" fontId="28" fillId="5" borderId="1" xfId="0" applyNumberFormat="1" applyFont="1" applyFill="1" applyBorder="1" applyAlignment="1">
      <alignment vertical="top"/>
    </xf>
    <xf numFmtId="0" fontId="28" fillId="5" borderId="1" xfId="0" applyNumberFormat="1" applyFont="1" applyFill="1" applyBorder="1" applyAlignment="1">
      <alignment horizontal="right" vertical="top"/>
    </xf>
    <xf numFmtId="0" fontId="8" fillId="5" borderId="1" xfId="0" applyNumberFormat="1" applyFont="1" applyFill="1" applyBorder="1" applyAlignment="1">
      <alignment vertical="top" wrapText="1"/>
    </xf>
    <xf numFmtId="0" fontId="24" fillId="5" borderId="1" xfId="1" applyFont="1" applyFill="1" applyBorder="1"/>
    <xf numFmtId="0" fontId="10" fillId="5" borderId="1" xfId="0" applyNumberFormat="1" applyFont="1" applyFill="1" applyBorder="1" applyAlignment="1">
      <alignment vertical="top" wrapText="1"/>
    </xf>
    <xf numFmtId="0" fontId="28" fillId="5" borderId="1" xfId="1" applyNumberFormat="1" applyFont="1" applyFill="1" applyBorder="1" applyAlignment="1">
      <alignment horizontal="center" vertical="top"/>
    </xf>
    <xf numFmtId="0" fontId="24" fillId="5" borderId="1" xfId="1" applyNumberFormat="1" applyFont="1" applyFill="1" applyBorder="1" applyAlignment="1">
      <alignment wrapText="1"/>
    </xf>
    <xf numFmtId="14" fontId="28" fillId="5" borderId="1" xfId="0" applyNumberFormat="1" applyFont="1" applyFill="1" applyBorder="1" applyAlignment="1">
      <alignment horizontal="right" vertical="top"/>
    </xf>
    <xf numFmtId="0" fontId="8" fillId="0" borderId="6" xfId="0" applyNumberFormat="1" applyFont="1" applyFill="1" applyBorder="1"/>
    <xf numFmtId="0" fontId="39" fillId="0" borderId="0" xfId="0" applyNumberFormat="1" applyFont="1" applyFill="1"/>
    <xf numFmtId="0" fontId="39" fillId="0" borderId="1" xfId="0" applyNumberFormat="1" applyFont="1" applyFill="1" applyBorder="1"/>
    <xf numFmtId="0" fontId="21" fillId="5" borderId="1" xfId="0" applyNumberFormat="1" applyFont="1" applyFill="1" applyBorder="1"/>
    <xf numFmtId="0" fontId="18" fillId="5" borderId="0" xfId="0" applyNumberFormat="1" applyFont="1" applyFill="1" applyBorder="1" applyAlignment="1">
      <alignment vertical="top"/>
    </xf>
    <xf numFmtId="0" fontId="17" fillId="5" borderId="1" xfId="0" applyNumberFormat="1" applyFont="1" applyFill="1" applyBorder="1"/>
    <xf numFmtId="0" fontId="28" fillId="5" borderId="1" xfId="0" applyNumberFormat="1" applyFont="1" applyFill="1" applyBorder="1" applyAlignment="1">
      <alignment horizontal="left" vertical="top" wrapText="1"/>
    </xf>
    <xf numFmtId="0" fontId="24" fillId="5" borderId="1" xfId="0" applyNumberFormat="1" applyFont="1" applyFill="1" applyBorder="1"/>
    <xf numFmtId="0" fontId="24" fillId="5" borderId="0" xfId="0" applyNumberFormat="1" applyFont="1" applyFill="1" applyBorder="1"/>
    <xf numFmtId="0" fontId="24" fillId="5" borderId="0" xfId="0" applyNumberFormat="1" applyFont="1" applyFill="1"/>
    <xf numFmtId="0" fontId="18" fillId="5" borderId="1" xfId="0" applyNumberFormat="1" applyFont="1" applyFill="1" applyBorder="1" applyAlignment="1">
      <alignment vertical="top"/>
    </xf>
    <xf numFmtId="0" fontId="9" fillId="5" borderId="0" xfId="0" applyNumberFormat="1" applyFont="1" applyFill="1"/>
    <xf numFmtId="0" fontId="9" fillId="5" borderId="1" xfId="0" applyNumberFormat="1" applyFont="1" applyFill="1" applyBorder="1"/>
    <xf numFmtId="0" fontId="11" fillId="5" borderId="0" xfId="0" applyNumberFormat="1" applyFont="1" applyFill="1" applyBorder="1" applyAlignment="1">
      <alignment vertical="top"/>
    </xf>
    <xf numFmtId="14" fontId="24" fillId="5" borderId="1" xfId="0" applyNumberFormat="1" applyFont="1" applyFill="1" applyBorder="1"/>
    <xf numFmtId="0" fontId="36" fillId="5" borderId="0" xfId="0" applyNumberFormat="1" applyFont="1" applyFill="1"/>
    <xf numFmtId="0" fontId="21" fillId="5" borderId="0" xfId="0" applyNumberFormat="1" applyFont="1" applyFill="1" applyAlignment="1">
      <alignment horizontal="center"/>
    </xf>
    <xf numFmtId="0" fontId="11" fillId="5" borderId="1" xfId="0" applyNumberFormat="1" applyFont="1" applyFill="1" applyBorder="1" applyAlignment="1">
      <alignment vertical="top"/>
    </xf>
    <xf numFmtId="0" fontId="31" fillId="5" borderId="0" xfId="0" applyNumberFormat="1" applyFont="1" applyFill="1" applyBorder="1"/>
    <xf numFmtId="0" fontId="21" fillId="5" borderId="1" xfId="0" applyNumberFormat="1" applyFont="1" applyFill="1" applyBorder="1" applyAlignment="1">
      <alignment horizontal="center"/>
    </xf>
    <xf numFmtId="0" fontId="36" fillId="5" borderId="0" xfId="0" applyNumberFormat="1" applyFont="1" applyFill="1" applyAlignment="1">
      <alignment wrapText="1"/>
    </xf>
    <xf numFmtId="0" fontId="0" fillId="5" borderId="0" xfId="0" applyNumberFormat="1" applyFont="1" applyFill="1" applyBorder="1"/>
    <xf numFmtId="0" fontId="18" fillId="5" borderId="1" xfId="0" applyNumberFormat="1" applyFont="1" applyFill="1" applyBorder="1"/>
    <xf numFmtId="14" fontId="9" fillId="5" borderId="1" xfId="1" applyNumberFormat="1" applyFont="1" applyFill="1" applyBorder="1"/>
    <xf numFmtId="0" fontId="7" fillId="0" borderId="0" xfId="0" applyNumberFormat="1" applyFont="1"/>
    <xf numFmtId="0" fontId="33" fillId="0" borderId="9" xfId="0" applyNumberFormat="1" applyFont="1" applyFill="1" applyBorder="1"/>
    <xf numFmtId="0" fontId="7" fillId="0" borderId="1" xfId="0" applyNumberFormat="1" applyFont="1" applyBorder="1"/>
    <xf numFmtId="0" fontId="37" fillId="5" borderId="1" xfId="0" applyNumberFormat="1" applyFont="1" applyFill="1" applyBorder="1" applyAlignment="1">
      <alignment vertical="top" wrapText="1"/>
    </xf>
    <xf numFmtId="0" fontId="38" fillId="5" borderId="1" xfId="0" applyNumberFormat="1" applyFont="1" applyFill="1" applyBorder="1" applyAlignment="1">
      <alignment vertical="top" wrapText="1"/>
    </xf>
    <xf numFmtId="0" fontId="37" fillId="5" borderId="1" xfId="1" applyFont="1" applyFill="1" applyBorder="1"/>
    <xf numFmtId="0" fontId="7" fillId="5" borderId="1" xfId="1" applyNumberFormat="1" applyFont="1" applyFill="1" applyBorder="1" applyAlignment="1">
      <alignment wrapText="1"/>
    </xf>
    <xf numFmtId="0" fontId="26" fillId="5" borderId="0" xfId="0" applyNumberFormat="1" applyFont="1" applyFill="1" applyBorder="1" applyAlignment="1">
      <alignment vertical="top"/>
    </xf>
    <xf numFmtId="0" fontId="10" fillId="5" borderId="0" xfId="0" applyNumberFormat="1" applyFont="1" applyFill="1" applyBorder="1"/>
    <xf numFmtId="0" fontId="20" fillId="5" borderId="0" xfId="0" applyNumberFormat="1" applyFont="1" applyFill="1" applyBorder="1" applyAlignment="1">
      <alignment horizontal="center"/>
    </xf>
    <xf numFmtId="0" fontId="20" fillId="5" borderId="0" xfId="0" applyNumberFormat="1" applyFont="1" applyFill="1" applyBorder="1"/>
    <xf numFmtId="0" fontId="21" fillId="5" borderId="0" xfId="0" applyNumberFormat="1" applyFont="1" applyFill="1" applyBorder="1"/>
    <xf numFmtId="0" fontId="7" fillId="0" borderId="1" xfId="0" applyNumberFormat="1" applyFont="1" applyFill="1" applyBorder="1"/>
    <xf numFmtId="0" fontId="10" fillId="5" borderId="1" xfId="1" applyFont="1" applyFill="1" applyBorder="1"/>
    <xf numFmtId="0" fontId="11" fillId="5" borderId="1" xfId="1" applyFont="1" applyFill="1" applyBorder="1"/>
    <xf numFmtId="0" fontId="7" fillId="5" borderId="1" xfId="1" applyFont="1" applyFill="1" applyBorder="1"/>
    <xf numFmtId="0" fontId="7" fillId="5" borderId="1" xfId="0" applyNumberFormat="1" applyFont="1" applyFill="1" applyBorder="1"/>
    <xf numFmtId="0" fontId="31" fillId="5" borderId="0" xfId="0" applyNumberFormat="1" applyFont="1" applyFill="1" applyBorder="1" applyAlignment="1">
      <alignment wrapText="1"/>
    </xf>
    <xf numFmtId="0" fontId="7" fillId="0" borderId="0" xfId="0" applyNumberFormat="1" applyFont="1" applyFill="1"/>
    <xf numFmtId="0" fontId="33" fillId="0" borderId="11" xfId="0" applyNumberFormat="1" applyFont="1" applyBorder="1"/>
    <xf numFmtId="0" fontId="33" fillId="0" borderId="9" xfId="0" applyNumberFormat="1" applyFont="1" applyBorder="1"/>
    <xf numFmtId="0" fontId="33" fillId="2" borderId="12" xfId="0" applyNumberFormat="1" applyFont="1" applyFill="1" applyBorder="1" applyAlignment="1">
      <alignment vertical="center" wrapText="1"/>
    </xf>
    <xf numFmtId="0" fontId="27" fillId="2" borderId="12" xfId="0" applyNumberFormat="1" applyFont="1" applyFill="1" applyBorder="1" applyAlignment="1">
      <alignment horizontal="center"/>
    </xf>
    <xf numFmtId="0" fontId="31" fillId="0" borderId="1" xfId="0" applyNumberFormat="1" applyFont="1" applyFill="1" applyBorder="1"/>
    <xf numFmtId="0" fontId="0" fillId="0" borderId="1" xfId="0" applyNumberFormat="1" applyFont="1" applyFill="1" applyBorder="1"/>
    <xf numFmtId="0" fontId="33" fillId="0" borderId="1" xfId="0" applyNumberFormat="1" applyFont="1" applyBorder="1" applyAlignment="1">
      <alignment vertical="center" wrapText="1"/>
    </xf>
    <xf numFmtId="0" fontId="33" fillId="0" borderId="13" xfId="0" applyNumberFormat="1" applyFont="1" applyBorder="1"/>
    <xf numFmtId="0" fontId="28" fillId="0" borderId="9" xfId="0" applyNumberFormat="1" applyFont="1" applyFill="1" applyBorder="1"/>
    <xf numFmtId="0" fontId="12" fillId="5" borderId="1" xfId="0" applyNumberFormat="1" applyFont="1" applyFill="1" applyBorder="1" applyAlignment="1">
      <alignment vertical="top"/>
    </xf>
    <xf numFmtId="0" fontId="12" fillId="5" borderId="1" xfId="0" applyNumberFormat="1" applyFont="1" applyFill="1" applyBorder="1"/>
    <xf numFmtId="14" fontId="12" fillId="5" borderId="1" xfId="0" applyNumberFormat="1" applyFont="1" applyFill="1" applyBorder="1"/>
    <xf numFmtId="0" fontId="12" fillId="5" borderId="0" xfId="0" applyNumberFormat="1" applyFont="1" applyFill="1" applyBorder="1"/>
    <xf numFmtId="0" fontId="12" fillId="5" borderId="0" xfId="0" applyNumberFormat="1" applyFont="1" applyFill="1"/>
    <xf numFmtId="0" fontId="9" fillId="5" borderId="6" xfId="0" applyNumberFormat="1" applyFont="1" applyFill="1" applyBorder="1" applyAlignment="1">
      <alignment wrapText="1"/>
    </xf>
    <xf numFmtId="0" fontId="12" fillId="5" borderId="6" xfId="0" applyNumberFormat="1" applyFont="1" applyFill="1" applyBorder="1"/>
    <xf numFmtId="0" fontId="13" fillId="5" borderId="1" xfId="1" applyFont="1" applyFill="1" applyBorder="1"/>
    <xf numFmtId="0" fontId="26" fillId="5" borderId="1" xfId="0" applyNumberFormat="1" applyFont="1" applyFill="1" applyBorder="1" applyAlignment="1">
      <alignment horizontal="center"/>
    </xf>
    <xf numFmtId="14" fontId="21" fillId="5" borderId="1" xfId="0" applyNumberFormat="1" applyFont="1" applyFill="1" applyBorder="1"/>
    <xf numFmtId="0" fontId="13" fillId="5" borderId="1" xfId="0" applyNumberFormat="1" applyFont="1" applyFill="1" applyBorder="1"/>
    <xf numFmtId="0" fontId="9" fillId="5" borderId="1" xfId="1" applyFont="1" applyFill="1" applyBorder="1"/>
    <xf numFmtId="0" fontId="6" fillId="6" borderId="0" xfId="0" applyNumberFormat="1" applyFont="1" applyFill="1"/>
    <xf numFmtId="0" fontId="6" fillId="0" borderId="1" xfId="1" applyFont="1" applyFill="1" applyBorder="1"/>
    <xf numFmtId="0" fontId="6" fillId="5" borderId="1" xfId="0" applyNumberFormat="1" applyFont="1" applyFill="1" applyBorder="1"/>
    <xf numFmtId="0" fontId="6" fillId="5" borderId="1" xfId="1" applyFont="1" applyFill="1" applyBorder="1"/>
    <xf numFmtId="0" fontId="6" fillId="0" borderId="1" xfId="0" applyNumberFormat="1" applyFont="1" applyFill="1" applyBorder="1" applyAlignment="1">
      <alignment vertical="top" wrapText="1"/>
    </xf>
    <xf numFmtId="0" fontId="6" fillId="0" borderId="1" xfId="0" applyNumberFormat="1" applyFont="1" applyFill="1" applyBorder="1" applyAlignment="1">
      <alignment wrapText="1"/>
    </xf>
    <xf numFmtId="0" fontId="6" fillId="0" borderId="1" xfId="0" applyNumberFormat="1" applyFont="1" applyFill="1" applyBorder="1"/>
    <xf numFmtId="0" fontId="5" fillId="0" borderId="1" xfId="0" applyNumberFormat="1" applyFont="1" applyFill="1" applyBorder="1" applyAlignment="1">
      <alignment vertical="top" wrapText="1"/>
    </xf>
    <xf numFmtId="0" fontId="7" fillId="3" borderId="0" xfId="0" applyNumberFormat="1" applyFont="1" applyFill="1"/>
    <xf numFmtId="16" fontId="0" fillId="0" borderId="0" xfId="0" applyNumberFormat="1" applyFill="1"/>
    <xf numFmtId="0" fontId="10" fillId="5" borderId="1" xfId="0" applyNumberFormat="1" applyFont="1" applyFill="1" applyBorder="1"/>
    <xf numFmtId="16" fontId="0" fillId="5" borderId="0" xfId="0" applyNumberFormat="1" applyFill="1"/>
    <xf numFmtId="0" fontId="4" fillId="5" borderId="1" xfId="0" applyNumberFormat="1" applyFont="1" applyFill="1" applyBorder="1" applyAlignment="1">
      <alignment vertical="top"/>
    </xf>
    <xf numFmtId="0" fontId="4" fillId="0" borderId="1" xfId="0" applyNumberFormat="1" applyFont="1" applyFill="1" applyBorder="1" applyAlignment="1">
      <alignment vertical="top"/>
    </xf>
    <xf numFmtId="0" fontId="4" fillId="0" borderId="1" xfId="0" applyNumberFormat="1" applyFont="1" applyFill="1" applyBorder="1"/>
    <xf numFmtId="14" fontId="10" fillId="0" borderId="1" xfId="0" applyNumberFormat="1" applyFont="1" applyFill="1" applyBorder="1"/>
    <xf numFmtId="0" fontId="4" fillId="5" borderId="1" xfId="0" applyNumberFormat="1" applyFont="1" applyFill="1" applyBorder="1"/>
    <xf numFmtId="14" fontId="26" fillId="5" borderId="1" xfId="0" applyNumberFormat="1" applyFont="1" applyFill="1" applyBorder="1"/>
    <xf numFmtId="0" fontId="4" fillId="5" borderId="1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/>
    </xf>
    <xf numFmtId="0" fontId="8" fillId="5" borderId="1" xfId="0" applyNumberFormat="1" applyFont="1" applyFill="1" applyBorder="1" applyAlignment="1">
      <alignment horizontal="center"/>
    </xf>
    <xf numFmtId="0" fontId="8" fillId="5" borderId="0" xfId="0" applyNumberFormat="1" applyFont="1" applyFill="1"/>
    <xf numFmtId="0" fontId="13" fillId="0" borderId="1" xfId="1" applyFont="1" applyFill="1" applyBorder="1"/>
    <xf numFmtId="49" fontId="38" fillId="0" borderId="1" xfId="0" applyNumberFormat="1" applyFont="1" applyFill="1" applyBorder="1" applyAlignment="1">
      <alignment horizontal="left" vertical="top" wrapText="1"/>
    </xf>
    <xf numFmtId="0" fontId="19" fillId="0" borderId="0" xfId="0" applyNumberFormat="1" applyFont="1" applyFill="1" applyBorder="1"/>
    <xf numFmtId="0" fontId="4" fillId="5" borderId="0" xfId="0" applyNumberFormat="1" applyFont="1" applyFill="1" applyBorder="1" applyAlignment="1">
      <alignment vertical="top"/>
    </xf>
    <xf numFmtId="0" fontId="40" fillId="0" borderId="0" xfId="0" applyFont="1" applyFill="1" applyAlignment="1">
      <alignment wrapText="1"/>
    </xf>
    <xf numFmtId="0" fontId="3" fillId="0" borderId="0" xfId="0" applyNumberFormat="1" applyFont="1" applyFill="1"/>
    <xf numFmtId="0" fontId="3" fillId="0" borderId="0" xfId="0" applyNumberFormat="1" applyFont="1" applyFill="1" applyBorder="1" applyAlignment="1">
      <alignment vertical="top"/>
    </xf>
    <xf numFmtId="0" fontId="3" fillId="5" borderId="1" xfId="0" applyNumberFormat="1" applyFont="1" applyFill="1" applyBorder="1"/>
    <xf numFmtId="0" fontId="3" fillId="5" borderId="0" xfId="0" applyNumberFormat="1" applyFont="1" applyFill="1" applyBorder="1" applyAlignment="1">
      <alignment vertical="top"/>
    </xf>
    <xf numFmtId="0" fontId="8" fillId="7" borderId="1" xfId="0" applyNumberFormat="1" applyFont="1" applyFill="1" applyBorder="1"/>
    <xf numFmtId="0" fontId="28" fillId="8" borderId="1" xfId="0" applyNumberFormat="1" applyFont="1" applyFill="1" applyBorder="1" applyAlignment="1">
      <alignment vertical="top" wrapText="1"/>
    </xf>
    <xf numFmtId="0" fontId="28" fillId="9" borderId="1" xfId="0" applyNumberFormat="1" applyFont="1" applyFill="1" applyBorder="1" applyAlignment="1">
      <alignment vertical="top" wrapText="1"/>
    </xf>
    <xf numFmtId="0" fontId="8" fillId="9" borderId="1" xfId="1" applyFont="1" applyFill="1" applyBorder="1"/>
    <xf numFmtId="0" fontId="10" fillId="9" borderId="1" xfId="0" applyNumberFormat="1" applyFont="1" applyFill="1" applyBorder="1"/>
    <xf numFmtId="0" fontId="10" fillId="9" borderId="0" xfId="0" applyNumberFormat="1" applyFont="1" applyFill="1" applyBorder="1"/>
    <xf numFmtId="0" fontId="7" fillId="9" borderId="1" xfId="0" applyNumberFormat="1" applyFont="1" applyFill="1" applyBorder="1"/>
    <xf numFmtId="0" fontId="11" fillId="7" borderId="1" xfId="1" applyFont="1" applyFill="1" applyBorder="1"/>
    <xf numFmtId="0" fontId="8" fillId="8" borderId="1" xfId="0" applyNumberFormat="1" applyFont="1" applyFill="1" applyBorder="1" applyAlignment="1">
      <alignment vertical="top" wrapText="1"/>
    </xf>
    <xf numFmtId="0" fontId="10" fillId="9" borderId="1" xfId="0" applyNumberFormat="1" applyFont="1" applyFill="1" applyBorder="1" applyAlignment="1">
      <alignment vertical="top" wrapText="1"/>
    </xf>
    <xf numFmtId="0" fontId="31" fillId="9" borderId="0" xfId="0" applyNumberFormat="1" applyFont="1" applyFill="1" applyBorder="1"/>
    <xf numFmtId="0" fontId="2" fillId="5" borderId="1" xfId="0" applyNumberFormat="1" applyFont="1" applyFill="1" applyBorder="1" applyAlignment="1">
      <alignment vertical="top"/>
    </xf>
    <xf numFmtId="0" fontId="2" fillId="5" borderId="0" xfId="0" applyNumberFormat="1" applyFont="1" applyFill="1" applyBorder="1" applyAlignment="1">
      <alignment vertical="top"/>
    </xf>
    <xf numFmtId="0" fontId="1" fillId="0" borderId="1" xfId="0" applyNumberFormat="1" applyFont="1" applyFill="1" applyBorder="1"/>
    <xf numFmtId="0" fontId="3" fillId="5" borderId="1" xfId="0" applyNumberFormat="1" applyFont="1" applyFill="1" applyBorder="1" applyAlignment="1">
      <alignment vertical="top"/>
    </xf>
    <xf numFmtId="0" fontId="1" fillId="5" borderId="1" xfId="0" applyNumberFormat="1" applyFont="1" applyFill="1" applyBorder="1" applyAlignment="1">
      <alignment vertical="top"/>
    </xf>
    <xf numFmtId="0" fontId="1" fillId="5" borderId="1" xfId="1" applyFont="1" applyFill="1" applyBorder="1"/>
    <xf numFmtId="0" fontId="1" fillId="0" borderId="1" xfId="0" applyNumberFormat="1" applyFont="1" applyFill="1" applyBorder="1" applyAlignment="1">
      <alignment vertical="top"/>
    </xf>
    <xf numFmtId="0" fontId="1" fillId="0" borderId="1" xfId="1" applyFont="1" applyFill="1" applyBorder="1"/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"/>
  <sheetViews>
    <sheetView tabSelected="1" zoomScale="115" zoomScaleNormal="115" workbookViewId="0">
      <pane ySplit="1" topLeftCell="A87" activePane="bottomLeft" state="frozen"/>
      <selection activeCell="C1" sqref="C1"/>
      <selection pane="bottomLeft" activeCell="D92" sqref="D92"/>
    </sheetView>
  </sheetViews>
  <sheetFormatPr defaultColWidth="10.77734375" defaultRowHeight="14.4" x14ac:dyDescent="0.3"/>
  <cols>
    <col min="1" max="1" width="7" style="8" bestFit="1" customWidth="1"/>
    <col min="2" max="3" width="14.5546875" style="8" customWidth="1"/>
    <col min="4" max="4" width="86" style="8" customWidth="1"/>
    <col min="5" max="5" width="9.21875" style="8" bestFit="1" customWidth="1"/>
    <col min="6" max="6" width="38.44140625" style="8" bestFit="1" customWidth="1"/>
    <col min="7" max="7" width="14.77734375" style="8" bestFit="1" customWidth="1"/>
    <col min="8" max="13" width="10.77734375" style="8"/>
    <col min="14" max="14" width="45" style="8" customWidth="1"/>
    <col min="15" max="16384" width="10.77734375" style="8"/>
  </cols>
  <sheetData>
    <row r="1" spans="1:14" x14ac:dyDescent="0.3">
      <c r="A1" s="4" t="s">
        <v>2</v>
      </c>
      <c r="B1" s="85" t="s">
        <v>82</v>
      </c>
      <c r="C1" s="85" t="s">
        <v>186</v>
      </c>
      <c r="D1" s="5" t="s">
        <v>3</v>
      </c>
      <c r="E1" s="6" t="s">
        <v>4</v>
      </c>
      <c r="F1" s="6" t="s">
        <v>5</v>
      </c>
      <c r="G1" s="5" t="s">
        <v>6</v>
      </c>
      <c r="H1" s="55" t="s">
        <v>16</v>
      </c>
      <c r="I1" s="55" t="s">
        <v>17</v>
      </c>
      <c r="J1" s="55" t="s">
        <v>18</v>
      </c>
      <c r="K1" s="56" t="s">
        <v>23</v>
      </c>
      <c r="L1" s="55" t="s">
        <v>19</v>
      </c>
      <c r="M1" s="55" t="s">
        <v>20</v>
      </c>
    </row>
    <row r="2" spans="1:14" s="149" customFormat="1" ht="16.8" customHeight="1" x14ac:dyDescent="0.3">
      <c r="A2" s="145">
        <v>1</v>
      </c>
      <c r="B2" s="237" t="s">
        <v>84</v>
      </c>
      <c r="C2" s="145"/>
      <c r="D2" s="138" t="s">
        <v>28</v>
      </c>
      <c r="E2" s="146" t="s">
        <v>7</v>
      </c>
      <c r="F2" s="151" t="s">
        <v>22</v>
      </c>
      <c r="G2" s="242">
        <v>46168</v>
      </c>
      <c r="H2" s="148"/>
      <c r="I2" s="148"/>
      <c r="J2" s="148"/>
      <c r="K2" s="148"/>
      <c r="L2" s="148"/>
      <c r="M2" s="148"/>
      <c r="N2" s="152"/>
    </row>
    <row r="3" spans="1:14" x14ac:dyDescent="0.3">
      <c r="A3" s="9">
        <v>0</v>
      </c>
      <c r="B3" s="9"/>
      <c r="C3" s="253" t="s">
        <v>200</v>
      </c>
      <c r="D3" s="118" t="s">
        <v>119</v>
      </c>
      <c r="E3" s="1"/>
      <c r="F3" s="77"/>
      <c r="G3" s="240" t="s">
        <v>27</v>
      </c>
      <c r="H3" s="7"/>
      <c r="I3" s="7"/>
      <c r="J3" s="7"/>
      <c r="K3" s="7"/>
      <c r="L3" s="7"/>
      <c r="M3" s="7"/>
      <c r="N3" s="52"/>
    </row>
    <row r="4" spans="1:14" x14ac:dyDescent="0.3">
      <c r="A4" s="9">
        <v>0</v>
      </c>
      <c r="B4" s="9"/>
      <c r="C4" s="253" t="s">
        <v>200</v>
      </c>
      <c r="D4" s="82" t="s">
        <v>120</v>
      </c>
      <c r="E4" s="1"/>
      <c r="F4" s="77"/>
      <c r="G4" s="234">
        <v>46189</v>
      </c>
      <c r="H4" s="7"/>
      <c r="I4" s="7"/>
      <c r="J4" s="7"/>
      <c r="K4" s="7"/>
      <c r="L4" s="7"/>
      <c r="M4" s="7"/>
      <c r="N4" s="52"/>
    </row>
    <row r="5" spans="1:14" s="149" customFormat="1" x14ac:dyDescent="0.3">
      <c r="A5" s="145"/>
      <c r="B5" s="145"/>
      <c r="C5" s="270" t="s">
        <v>200</v>
      </c>
      <c r="D5" s="235" t="s">
        <v>93</v>
      </c>
      <c r="E5" s="146"/>
      <c r="F5" s="151"/>
      <c r="G5" s="236">
        <v>46189</v>
      </c>
      <c r="H5" s="148"/>
      <c r="I5" s="148"/>
      <c r="J5" s="148">
        <v>0.5</v>
      </c>
      <c r="K5" s="148"/>
      <c r="L5" s="148"/>
      <c r="M5" s="148"/>
      <c r="N5" s="152"/>
    </row>
    <row r="6" spans="1:14" x14ac:dyDescent="0.3">
      <c r="A6" s="9">
        <v>0</v>
      </c>
      <c r="B6" s="9"/>
      <c r="C6" s="253" t="s">
        <v>200</v>
      </c>
      <c r="D6" s="239" t="s">
        <v>189</v>
      </c>
      <c r="E6" s="1"/>
      <c r="F6" s="77"/>
      <c r="G6" s="234">
        <v>46190</v>
      </c>
      <c r="H6" s="122"/>
      <c r="I6" s="7"/>
      <c r="J6" s="7"/>
      <c r="K6" s="7"/>
      <c r="L6" s="7"/>
      <c r="M6" s="7"/>
      <c r="N6" s="52"/>
    </row>
    <row r="7" spans="1:14" x14ac:dyDescent="0.3">
      <c r="A7" s="9"/>
      <c r="B7" s="9"/>
      <c r="C7" s="238"/>
      <c r="D7" s="269" t="s">
        <v>188</v>
      </c>
      <c r="E7" s="1"/>
      <c r="F7" s="77"/>
      <c r="G7" s="234"/>
      <c r="H7" s="122"/>
      <c r="I7" s="7"/>
      <c r="J7" s="7"/>
      <c r="K7" s="7"/>
      <c r="L7" s="7"/>
      <c r="M7" s="7"/>
      <c r="N7" s="52"/>
    </row>
    <row r="8" spans="1:14" x14ac:dyDescent="0.3">
      <c r="A8" s="9"/>
      <c r="B8" s="9"/>
      <c r="C8" s="9"/>
      <c r="D8" s="239" t="s">
        <v>190</v>
      </c>
      <c r="E8" s="1"/>
      <c r="F8" s="77"/>
      <c r="G8" s="234"/>
      <c r="H8" s="122"/>
      <c r="I8" s="7"/>
      <c r="J8" s="7"/>
      <c r="K8" s="7"/>
      <c r="L8" s="7"/>
      <c r="M8" s="7"/>
      <c r="N8" s="52"/>
    </row>
    <row r="9" spans="1:14" s="149" customFormat="1" x14ac:dyDescent="0.3">
      <c r="A9" s="145"/>
      <c r="B9" s="145"/>
      <c r="C9" s="237" t="s">
        <v>192</v>
      </c>
      <c r="D9" s="241" t="s">
        <v>191</v>
      </c>
      <c r="E9" s="146"/>
      <c r="F9" s="151"/>
      <c r="G9" s="236"/>
      <c r="H9" s="148">
        <v>0.5</v>
      </c>
      <c r="I9" s="148"/>
      <c r="J9" s="148"/>
      <c r="K9" s="148"/>
      <c r="L9" s="148"/>
      <c r="M9" s="148"/>
      <c r="N9" s="152"/>
    </row>
    <row r="10" spans="1:14" s="149" customFormat="1" x14ac:dyDescent="0.3">
      <c r="A10" s="145">
        <v>2</v>
      </c>
      <c r="B10" s="237" t="s">
        <v>84</v>
      </c>
      <c r="C10" s="237" t="s">
        <v>187</v>
      </c>
      <c r="D10" s="120" t="s">
        <v>147</v>
      </c>
      <c r="E10" s="146" t="s">
        <v>7</v>
      </c>
      <c r="F10" s="153" t="s">
        <v>0</v>
      </c>
      <c r="G10" s="154" t="s">
        <v>1</v>
      </c>
      <c r="H10" s="148"/>
      <c r="I10" s="148"/>
      <c r="J10" s="148"/>
      <c r="K10" s="148"/>
      <c r="L10" s="148"/>
      <c r="M10" s="148"/>
    </row>
    <row r="11" spans="1:14" s="149" customFormat="1" ht="31.2" x14ac:dyDescent="0.3">
      <c r="A11" s="145">
        <v>3</v>
      </c>
      <c r="B11" s="237" t="s">
        <v>84</v>
      </c>
      <c r="C11" s="145"/>
      <c r="D11" s="188" t="s">
        <v>29</v>
      </c>
      <c r="E11" s="146" t="s">
        <v>7</v>
      </c>
      <c r="F11" s="153" t="s">
        <v>0</v>
      </c>
      <c r="G11" s="147">
        <v>46143</v>
      </c>
      <c r="H11" s="148"/>
      <c r="I11" s="148"/>
      <c r="J11" s="148"/>
      <c r="K11" s="148"/>
      <c r="L11" s="148"/>
      <c r="M11" s="148"/>
    </row>
    <row r="12" spans="1:14" s="149" customFormat="1" x14ac:dyDescent="0.3">
      <c r="A12" s="145"/>
      <c r="B12" s="145"/>
      <c r="C12" s="237" t="s">
        <v>187</v>
      </c>
      <c r="D12" s="155" t="s">
        <v>149</v>
      </c>
      <c r="E12" s="146"/>
      <c r="F12" s="156"/>
      <c r="G12" s="147"/>
      <c r="H12" s="148">
        <v>0.5</v>
      </c>
      <c r="I12" s="148">
        <v>2</v>
      </c>
      <c r="J12" s="148"/>
      <c r="K12" s="148"/>
      <c r="L12" s="148"/>
      <c r="M12" s="148"/>
    </row>
    <row r="13" spans="1:14" s="149" customFormat="1" x14ac:dyDescent="0.3">
      <c r="A13" s="145"/>
      <c r="B13" s="145"/>
      <c r="C13" s="237" t="s">
        <v>192</v>
      </c>
      <c r="D13" s="157" t="s">
        <v>123</v>
      </c>
      <c r="E13" s="146"/>
      <c r="F13" s="156"/>
      <c r="G13" s="147"/>
      <c r="H13" s="148">
        <v>0.5</v>
      </c>
      <c r="I13" s="148">
        <v>1</v>
      </c>
      <c r="J13" s="148"/>
      <c r="K13" s="148"/>
      <c r="L13" s="148"/>
      <c r="M13" s="148"/>
    </row>
    <row r="14" spans="1:14" s="149" customFormat="1" x14ac:dyDescent="0.3">
      <c r="A14" s="145"/>
      <c r="B14" s="145"/>
      <c r="C14" s="237" t="s">
        <v>187</v>
      </c>
      <c r="D14" s="157" t="s">
        <v>122</v>
      </c>
      <c r="E14" s="146"/>
      <c r="F14" s="156"/>
      <c r="G14" s="147"/>
      <c r="H14" s="148"/>
      <c r="I14" s="148">
        <v>0.5</v>
      </c>
      <c r="J14" s="148"/>
      <c r="K14" s="148"/>
      <c r="L14" s="148"/>
      <c r="M14" s="148"/>
    </row>
    <row r="15" spans="1:14" x14ac:dyDescent="0.3">
      <c r="A15" s="9"/>
      <c r="B15" s="9"/>
      <c r="C15" s="9"/>
      <c r="D15" s="134" t="s">
        <v>121</v>
      </c>
      <c r="E15" s="1"/>
      <c r="F15" s="14"/>
      <c r="G15" s="105"/>
      <c r="H15" s="7"/>
      <c r="I15" s="7">
        <v>2</v>
      </c>
      <c r="J15" s="7"/>
      <c r="K15" s="7"/>
      <c r="L15" s="7"/>
      <c r="M15" s="7"/>
    </row>
    <row r="16" spans="1:14" s="149" customFormat="1" ht="15.6" x14ac:dyDescent="0.3">
      <c r="A16" s="145">
        <v>4</v>
      </c>
      <c r="B16" s="237" t="s">
        <v>84</v>
      </c>
      <c r="C16" s="145"/>
      <c r="D16" s="189" t="s">
        <v>56</v>
      </c>
      <c r="E16" s="146" t="s">
        <v>7</v>
      </c>
      <c r="F16" s="120" t="s">
        <v>165</v>
      </c>
      <c r="G16" s="147">
        <v>46143</v>
      </c>
      <c r="H16" s="148"/>
      <c r="I16" s="148"/>
      <c r="J16" s="148">
        <v>6</v>
      </c>
      <c r="K16" s="148">
        <v>8</v>
      </c>
      <c r="L16" s="148"/>
      <c r="M16" s="148"/>
    </row>
    <row r="17" spans="1:13" s="149" customFormat="1" x14ac:dyDescent="0.3">
      <c r="A17" s="145"/>
      <c r="B17" s="145"/>
      <c r="C17" s="237" t="s">
        <v>192</v>
      </c>
      <c r="D17" s="120" t="s">
        <v>110</v>
      </c>
      <c r="E17" s="146"/>
      <c r="F17" s="120"/>
      <c r="G17" s="147"/>
      <c r="H17" s="148"/>
      <c r="I17" s="148"/>
      <c r="J17" s="148"/>
      <c r="K17" s="148"/>
      <c r="L17" s="148">
        <v>1</v>
      </c>
      <c r="M17" s="148"/>
    </row>
    <row r="18" spans="1:13" s="149" customFormat="1" x14ac:dyDescent="0.3">
      <c r="A18" s="145"/>
      <c r="B18" s="145"/>
      <c r="C18" s="237" t="s">
        <v>192</v>
      </c>
      <c r="D18" s="120" t="s">
        <v>150</v>
      </c>
      <c r="E18" s="146"/>
      <c r="F18" s="120"/>
      <c r="G18" s="147"/>
      <c r="H18" s="148">
        <v>1</v>
      </c>
      <c r="I18" s="148"/>
      <c r="J18" s="148"/>
      <c r="K18" s="148"/>
      <c r="L18" s="148"/>
      <c r="M18" s="148">
        <v>1</v>
      </c>
    </row>
    <row r="19" spans="1:13" x14ac:dyDescent="0.3">
      <c r="A19" s="9"/>
      <c r="B19" s="9"/>
      <c r="C19" s="9"/>
      <c r="D19" s="3" t="s">
        <v>73</v>
      </c>
      <c r="E19" s="1"/>
      <c r="F19" s="3"/>
      <c r="G19" s="105"/>
      <c r="H19" s="7">
        <v>1</v>
      </c>
      <c r="I19" s="7"/>
      <c r="J19" s="7"/>
      <c r="K19" s="7"/>
      <c r="L19" s="7"/>
      <c r="M19" s="7"/>
    </row>
    <row r="20" spans="1:13" s="149" customFormat="1" x14ac:dyDescent="0.3">
      <c r="A20" s="145"/>
      <c r="B20" s="145"/>
      <c r="C20" s="267" t="s">
        <v>200</v>
      </c>
      <c r="D20" s="120" t="s">
        <v>124</v>
      </c>
      <c r="E20" s="146"/>
      <c r="F20" s="120"/>
      <c r="G20" s="147"/>
      <c r="H20" s="148"/>
      <c r="I20" s="148"/>
      <c r="J20" s="148"/>
      <c r="K20" s="148"/>
      <c r="L20" s="148"/>
      <c r="M20" s="148"/>
    </row>
    <row r="21" spans="1:13" s="149" customFormat="1" x14ac:dyDescent="0.3">
      <c r="A21" s="145"/>
      <c r="B21" s="145"/>
      <c r="C21" s="237" t="s">
        <v>192</v>
      </c>
      <c r="D21" s="120" t="s">
        <v>133</v>
      </c>
      <c r="E21" s="146"/>
      <c r="F21" s="120"/>
      <c r="G21" s="147"/>
      <c r="H21" s="148"/>
      <c r="I21" s="148"/>
      <c r="J21" s="148">
        <v>2</v>
      </c>
      <c r="K21" s="148"/>
      <c r="L21" s="148"/>
      <c r="M21" s="148"/>
    </row>
    <row r="22" spans="1:13" s="149" customFormat="1" x14ac:dyDescent="0.3">
      <c r="A22" s="145"/>
      <c r="B22" s="145"/>
      <c r="C22" s="237" t="s">
        <v>192</v>
      </c>
      <c r="D22" s="120" t="s">
        <v>135</v>
      </c>
      <c r="E22" s="146"/>
      <c r="F22" s="120"/>
      <c r="G22" s="147"/>
      <c r="H22" s="148"/>
      <c r="I22" s="148"/>
      <c r="J22" s="148">
        <v>3</v>
      </c>
      <c r="K22" s="148">
        <v>2</v>
      </c>
      <c r="L22" s="148"/>
      <c r="M22" s="148"/>
    </row>
    <row r="23" spans="1:13" s="149" customFormat="1" x14ac:dyDescent="0.3">
      <c r="A23" s="145"/>
      <c r="B23" s="145"/>
      <c r="C23" s="237" t="s">
        <v>192</v>
      </c>
      <c r="D23" s="120" t="s">
        <v>134</v>
      </c>
      <c r="E23" s="146"/>
      <c r="F23" s="120"/>
      <c r="G23" s="147"/>
      <c r="H23" s="148"/>
      <c r="I23" s="148"/>
      <c r="J23" s="148">
        <v>2</v>
      </c>
      <c r="K23" s="148">
        <v>1</v>
      </c>
      <c r="L23" s="148"/>
      <c r="M23" s="148"/>
    </row>
    <row r="24" spans="1:13" s="149" customFormat="1" x14ac:dyDescent="0.3">
      <c r="A24" s="145"/>
      <c r="B24" s="145"/>
      <c r="C24" s="237" t="s">
        <v>192</v>
      </c>
      <c r="D24" s="120" t="s">
        <v>136</v>
      </c>
      <c r="E24" s="146"/>
      <c r="F24" s="120"/>
      <c r="G24" s="147"/>
      <c r="H24" s="148">
        <v>2</v>
      </c>
      <c r="I24" s="148"/>
      <c r="J24" s="148"/>
      <c r="K24" s="148"/>
      <c r="L24" s="148"/>
      <c r="M24" s="148"/>
    </row>
    <row r="25" spans="1:13" s="149" customFormat="1" x14ac:dyDescent="0.3">
      <c r="A25" s="145"/>
      <c r="B25" s="145"/>
      <c r="C25" s="237" t="s">
        <v>192</v>
      </c>
      <c r="D25" s="127" t="s">
        <v>70</v>
      </c>
      <c r="E25" s="146"/>
      <c r="F25" s="120"/>
      <c r="G25" s="147"/>
      <c r="H25" s="148">
        <v>2</v>
      </c>
      <c r="I25" s="148"/>
      <c r="J25" s="148"/>
      <c r="K25" s="148"/>
      <c r="L25" s="148"/>
      <c r="M25" s="148"/>
    </row>
    <row r="26" spans="1:13" x14ac:dyDescent="0.3">
      <c r="A26" s="9"/>
      <c r="B26" s="9"/>
      <c r="C26" s="9"/>
      <c r="D26" s="108" t="s">
        <v>71</v>
      </c>
      <c r="E26" s="1"/>
      <c r="F26" s="3"/>
      <c r="G26" s="105"/>
      <c r="H26" s="7"/>
      <c r="I26" s="7"/>
      <c r="J26" s="7"/>
      <c r="K26" s="7"/>
      <c r="L26" s="7"/>
      <c r="M26" s="7"/>
    </row>
    <row r="27" spans="1:13" s="149" customFormat="1" x14ac:dyDescent="0.3">
      <c r="A27" s="145"/>
      <c r="B27" s="145"/>
      <c r="C27" s="237" t="s">
        <v>192</v>
      </c>
      <c r="D27" s="243" t="s">
        <v>193</v>
      </c>
      <c r="E27" s="146"/>
      <c r="F27" s="120"/>
      <c r="G27" s="147"/>
      <c r="H27" s="148"/>
      <c r="I27" s="148">
        <v>0.5</v>
      </c>
      <c r="J27" s="148"/>
      <c r="K27" s="148"/>
      <c r="L27" s="148"/>
      <c r="M27" s="148"/>
    </row>
    <row r="28" spans="1:13" s="149" customFormat="1" ht="15.6" x14ac:dyDescent="0.3">
      <c r="A28" s="145">
        <v>5</v>
      </c>
      <c r="B28" s="237" t="s">
        <v>84</v>
      </c>
      <c r="C28" s="145"/>
      <c r="D28" s="190" t="s">
        <v>90</v>
      </c>
      <c r="E28" s="158" t="s">
        <v>7</v>
      </c>
      <c r="F28" s="191" t="s">
        <v>166</v>
      </c>
      <c r="G28" s="160">
        <v>46218</v>
      </c>
      <c r="H28" s="148"/>
      <c r="I28" s="148"/>
      <c r="J28" s="148"/>
      <c r="K28" s="148"/>
      <c r="L28" s="148"/>
      <c r="M28" s="148"/>
    </row>
    <row r="29" spans="1:13" s="149" customFormat="1" x14ac:dyDescent="0.3">
      <c r="A29" s="145"/>
      <c r="B29" s="145"/>
      <c r="C29" s="237" t="s">
        <v>192</v>
      </c>
      <c r="D29" s="198" t="s">
        <v>137</v>
      </c>
      <c r="E29" s="158"/>
      <c r="F29" s="159"/>
      <c r="G29" s="160"/>
      <c r="H29" s="148"/>
      <c r="I29" s="148"/>
      <c r="J29" s="148">
        <v>2</v>
      </c>
      <c r="K29" s="148">
        <v>2</v>
      </c>
      <c r="L29" s="148"/>
      <c r="M29" s="148"/>
    </row>
    <row r="30" spans="1:13" s="149" customFormat="1" x14ac:dyDescent="0.3">
      <c r="A30" s="145"/>
      <c r="B30" s="145"/>
      <c r="C30" s="271" t="s">
        <v>187</v>
      </c>
      <c r="D30" s="272" t="s">
        <v>202</v>
      </c>
      <c r="E30" s="158"/>
      <c r="F30" s="159"/>
      <c r="G30" s="160"/>
      <c r="H30" s="148">
        <v>1</v>
      </c>
      <c r="I30" s="148"/>
      <c r="J30" s="148"/>
      <c r="K30" s="148"/>
      <c r="L30" s="148"/>
      <c r="M30" s="148"/>
    </row>
    <row r="31" spans="1:13" s="149" customFormat="1" x14ac:dyDescent="0.3">
      <c r="A31" s="145"/>
      <c r="B31" s="145"/>
      <c r="C31" s="237" t="s">
        <v>192</v>
      </c>
      <c r="D31" s="127" t="s">
        <v>70</v>
      </c>
      <c r="E31" s="158"/>
      <c r="F31" s="159"/>
      <c r="G31" s="160"/>
      <c r="H31" s="148">
        <v>2</v>
      </c>
      <c r="I31" s="148"/>
      <c r="J31" s="148"/>
      <c r="K31" s="148"/>
      <c r="L31" s="148"/>
      <c r="M31" s="148"/>
    </row>
    <row r="32" spans="1:13" x14ac:dyDescent="0.3">
      <c r="A32" s="9"/>
      <c r="B32" s="9"/>
      <c r="C32" s="9"/>
      <c r="D32" s="108" t="s">
        <v>71</v>
      </c>
      <c r="E32" s="109"/>
      <c r="F32" s="110"/>
      <c r="G32" s="111">
        <v>46204</v>
      </c>
      <c r="H32" s="7"/>
      <c r="I32" s="7"/>
      <c r="J32" s="7"/>
      <c r="K32" s="7"/>
      <c r="L32" s="7"/>
      <c r="M32" s="7"/>
    </row>
    <row r="33" spans="1:14" s="149" customFormat="1" x14ac:dyDescent="0.3">
      <c r="A33" s="145"/>
      <c r="B33" s="145"/>
      <c r="C33" s="237" t="s">
        <v>192</v>
      </c>
      <c r="D33" s="199" t="s">
        <v>111</v>
      </c>
      <c r="E33" s="158"/>
      <c r="F33" s="159"/>
      <c r="G33" s="160"/>
      <c r="H33" s="148">
        <v>1</v>
      </c>
      <c r="I33" s="148"/>
      <c r="J33" s="148"/>
      <c r="K33" s="148"/>
      <c r="L33" s="148"/>
      <c r="M33" s="148"/>
    </row>
    <row r="34" spans="1:14" s="149" customFormat="1" x14ac:dyDescent="0.3">
      <c r="A34" s="145"/>
      <c r="B34" s="145"/>
      <c r="C34" s="237" t="s">
        <v>192</v>
      </c>
      <c r="D34" s="127" t="s">
        <v>72</v>
      </c>
      <c r="E34" s="158"/>
      <c r="F34" s="159"/>
      <c r="G34" s="160"/>
      <c r="H34" s="148"/>
      <c r="I34" s="148">
        <v>1</v>
      </c>
      <c r="J34" s="148"/>
      <c r="K34" s="148"/>
      <c r="L34" s="148">
        <v>2</v>
      </c>
      <c r="M34" s="148"/>
    </row>
    <row r="35" spans="1:14" s="170" customFormat="1" ht="15.6" x14ac:dyDescent="0.3">
      <c r="A35" s="145">
        <v>6</v>
      </c>
      <c r="B35" s="145"/>
      <c r="C35" s="145"/>
      <c r="D35" s="138" t="s">
        <v>61</v>
      </c>
      <c r="E35" s="121" t="s">
        <v>7</v>
      </c>
      <c r="F35" s="151" t="s">
        <v>11</v>
      </c>
      <c r="G35" s="175">
        <v>46204</v>
      </c>
      <c r="H35" s="168"/>
      <c r="I35" s="168"/>
      <c r="J35" s="168"/>
      <c r="K35" s="168"/>
      <c r="L35" s="168"/>
      <c r="M35" s="168"/>
      <c r="N35" s="169"/>
    </row>
    <row r="36" spans="1:14" s="217" customFormat="1" x14ac:dyDescent="0.3">
      <c r="A36" s="213"/>
      <c r="B36" s="213"/>
      <c r="C36" s="237" t="s">
        <v>192</v>
      </c>
      <c r="D36" s="120" t="s">
        <v>87</v>
      </c>
      <c r="E36" s="121"/>
      <c r="F36" s="214"/>
      <c r="G36" s="215"/>
      <c r="H36" s="214">
        <v>1</v>
      </c>
      <c r="I36" s="214">
        <v>1</v>
      </c>
      <c r="J36" s="214"/>
      <c r="K36" s="214"/>
      <c r="L36" s="214"/>
      <c r="M36" s="214"/>
      <c r="N36" s="216"/>
    </row>
    <row r="37" spans="1:14" s="217" customFormat="1" ht="28.8" x14ac:dyDescent="0.3">
      <c r="A37" s="213"/>
      <c r="B37" s="213"/>
      <c r="C37" s="237" t="s">
        <v>192</v>
      </c>
      <c r="D37" s="218" t="s">
        <v>144</v>
      </c>
      <c r="E37" s="121"/>
      <c r="F37" s="214"/>
      <c r="G37" s="215"/>
      <c r="H37" s="214">
        <v>1</v>
      </c>
      <c r="I37" s="214">
        <v>1</v>
      </c>
      <c r="J37" s="214"/>
      <c r="K37" s="214"/>
      <c r="L37" s="214"/>
      <c r="M37" s="214"/>
      <c r="N37" s="216"/>
    </row>
    <row r="38" spans="1:14" s="217" customFormat="1" x14ac:dyDescent="0.3">
      <c r="A38" s="213"/>
      <c r="B38" s="213"/>
      <c r="C38" s="237" t="s">
        <v>192</v>
      </c>
      <c r="D38" s="219" t="s">
        <v>89</v>
      </c>
      <c r="E38" s="121"/>
      <c r="F38" s="214"/>
      <c r="G38" s="215"/>
      <c r="H38" s="214">
        <v>1</v>
      </c>
      <c r="I38" s="214">
        <v>1</v>
      </c>
      <c r="J38" s="214">
        <v>0.5</v>
      </c>
      <c r="K38" s="214"/>
      <c r="L38" s="214"/>
      <c r="M38" s="214"/>
      <c r="N38" s="216"/>
    </row>
    <row r="39" spans="1:14" s="170" customFormat="1" x14ac:dyDescent="0.3">
      <c r="A39" s="145"/>
      <c r="B39" s="178"/>
      <c r="C39" s="237" t="s">
        <v>192</v>
      </c>
      <c r="D39" s="227" t="s">
        <v>107</v>
      </c>
      <c r="E39" s="121"/>
      <c r="F39" s="151"/>
      <c r="G39" s="175"/>
      <c r="H39" s="168">
        <v>2</v>
      </c>
      <c r="I39" s="168">
        <v>2</v>
      </c>
      <c r="J39" s="214">
        <v>0.5</v>
      </c>
      <c r="K39" s="168"/>
      <c r="L39" s="168"/>
      <c r="M39" s="168"/>
      <c r="N39" s="169"/>
    </row>
    <row r="40" spans="1:14" s="170" customFormat="1" x14ac:dyDescent="0.3">
      <c r="A40" s="145"/>
      <c r="B40" s="178"/>
      <c r="C40" s="267" t="s">
        <v>187</v>
      </c>
      <c r="D40" s="228" t="s">
        <v>88</v>
      </c>
      <c r="E40" s="121"/>
      <c r="F40" s="151"/>
      <c r="G40" s="175"/>
      <c r="H40" s="168">
        <v>2</v>
      </c>
      <c r="I40" s="168">
        <v>2</v>
      </c>
      <c r="J40" s="214">
        <v>0.5</v>
      </c>
      <c r="K40" s="168"/>
      <c r="L40" s="168"/>
      <c r="M40" s="168"/>
      <c r="N40" s="169"/>
    </row>
    <row r="41" spans="1:14" s="170" customFormat="1" x14ac:dyDescent="0.3">
      <c r="A41" s="145"/>
      <c r="B41" s="178"/>
      <c r="C41" s="267" t="s">
        <v>187</v>
      </c>
      <c r="D41" s="219" t="s">
        <v>108</v>
      </c>
      <c r="E41" s="121"/>
      <c r="F41" s="151"/>
      <c r="G41" s="175"/>
      <c r="H41" s="168">
        <v>2</v>
      </c>
      <c r="I41" s="168">
        <v>2</v>
      </c>
      <c r="J41" s="214">
        <v>0.5</v>
      </c>
      <c r="K41" s="168"/>
      <c r="L41" s="168"/>
      <c r="M41" s="168"/>
      <c r="N41" s="169"/>
    </row>
    <row r="42" spans="1:14" s="170" customFormat="1" x14ac:dyDescent="0.3">
      <c r="A42" s="145"/>
      <c r="B42" s="174" t="s">
        <v>84</v>
      </c>
      <c r="C42" s="268" t="s">
        <v>200</v>
      </c>
      <c r="D42" s="142" t="s">
        <v>152</v>
      </c>
      <c r="E42" s="121"/>
      <c r="F42" s="151"/>
      <c r="G42" s="175"/>
      <c r="H42" s="168"/>
      <c r="I42" s="168"/>
      <c r="J42" s="168"/>
      <c r="K42" s="168"/>
      <c r="L42" s="168">
        <v>2</v>
      </c>
      <c r="M42" s="168"/>
      <c r="N42" s="169"/>
    </row>
    <row r="43" spans="1:14" s="19" customFormat="1" x14ac:dyDescent="0.3">
      <c r="A43" s="9"/>
      <c r="B43" s="125"/>
      <c r="C43" s="273" t="s">
        <v>192</v>
      </c>
      <c r="D43" s="16" t="s">
        <v>101</v>
      </c>
      <c r="E43" s="18"/>
      <c r="F43" s="77"/>
      <c r="G43" s="107"/>
      <c r="H43" s="17"/>
      <c r="I43" s="17"/>
      <c r="J43" s="17"/>
      <c r="K43" s="17"/>
      <c r="L43" s="17"/>
      <c r="M43" s="17"/>
      <c r="N43" s="51"/>
    </row>
    <row r="44" spans="1:14" s="19" customFormat="1" x14ac:dyDescent="0.3">
      <c r="A44" s="9"/>
      <c r="B44" s="125"/>
      <c r="C44" s="125"/>
      <c r="D44" s="16" t="s">
        <v>102</v>
      </c>
      <c r="E44" s="18"/>
      <c r="F44" s="77"/>
      <c r="G44" s="107"/>
      <c r="H44" s="17"/>
      <c r="I44" s="17"/>
      <c r="J44" s="17"/>
      <c r="K44" s="17"/>
      <c r="L44" s="17"/>
      <c r="M44" s="17"/>
      <c r="N44" s="51"/>
    </row>
    <row r="45" spans="1:14" s="19" customFormat="1" x14ac:dyDescent="0.3">
      <c r="A45" s="9"/>
      <c r="B45" s="125"/>
      <c r="C45" s="125"/>
      <c r="D45" s="16" t="s">
        <v>105</v>
      </c>
      <c r="E45" s="18"/>
      <c r="F45" s="77"/>
      <c r="G45" s="107"/>
      <c r="H45" s="17"/>
      <c r="I45" s="17"/>
      <c r="J45" s="17"/>
      <c r="K45" s="17"/>
      <c r="L45" s="17"/>
      <c r="M45" s="17"/>
      <c r="N45" s="51"/>
    </row>
    <row r="46" spans="1:14" s="19" customFormat="1" x14ac:dyDescent="0.3">
      <c r="A46" s="9"/>
      <c r="B46" s="125"/>
      <c r="C46" s="125"/>
      <c r="D46" s="16" t="s">
        <v>103</v>
      </c>
      <c r="E46" s="18"/>
      <c r="F46" s="77"/>
      <c r="G46" s="107"/>
      <c r="H46" s="17"/>
      <c r="I46" s="17"/>
      <c r="J46" s="17"/>
      <c r="K46" s="17"/>
      <c r="L46" s="17"/>
      <c r="M46" s="17"/>
      <c r="N46" s="51"/>
    </row>
    <row r="47" spans="1:14" ht="15.6" x14ac:dyDescent="0.3">
      <c r="A47" s="9">
        <v>7</v>
      </c>
      <c r="B47" s="9"/>
      <c r="C47" s="9"/>
      <c r="D47" s="248" t="s">
        <v>30</v>
      </c>
      <c r="E47" s="1" t="s">
        <v>7</v>
      </c>
      <c r="F47" s="112" t="s">
        <v>63</v>
      </c>
      <c r="G47" s="105">
        <v>46143</v>
      </c>
      <c r="H47" s="7"/>
      <c r="I47" s="7"/>
      <c r="J47" s="7"/>
      <c r="K47" s="7"/>
      <c r="L47" s="7"/>
      <c r="M47" s="7"/>
      <c r="N47" s="52"/>
    </row>
    <row r="48" spans="1:14" s="149" customFormat="1" ht="15.6" x14ac:dyDescent="0.3">
      <c r="A48" s="145">
        <v>8</v>
      </c>
      <c r="B48" s="145"/>
      <c r="C48" s="145"/>
      <c r="D48" s="138" t="s">
        <v>8</v>
      </c>
      <c r="E48" s="221" t="s">
        <v>9</v>
      </c>
      <c r="F48" s="214" t="s">
        <v>106</v>
      </c>
      <c r="G48" s="164" t="s">
        <v>64</v>
      </c>
      <c r="H48" s="148"/>
      <c r="I48" s="148">
        <f t="shared" ref="I48:L48" si="0">SUM(I49:I57)</f>
        <v>4</v>
      </c>
      <c r="J48" s="148">
        <f t="shared" si="0"/>
        <v>4</v>
      </c>
      <c r="K48" s="148"/>
      <c r="L48" s="148">
        <f t="shared" si="0"/>
        <v>2</v>
      </c>
      <c r="M48" s="148"/>
      <c r="N48" s="152"/>
    </row>
    <row r="49" spans="1:14" x14ac:dyDescent="0.3">
      <c r="A49" s="9">
        <v>0</v>
      </c>
      <c r="B49" s="9"/>
      <c r="C49" s="9"/>
      <c r="D49" s="106" t="s">
        <v>94</v>
      </c>
      <c r="E49" s="78"/>
      <c r="F49" s="77"/>
      <c r="G49" s="67"/>
      <c r="H49" s="7"/>
      <c r="I49" s="7"/>
      <c r="J49" s="7"/>
      <c r="K49" s="7"/>
      <c r="L49" s="7"/>
      <c r="M49" s="7"/>
      <c r="N49" s="52"/>
    </row>
    <row r="50" spans="1:14" x14ac:dyDescent="0.3">
      <c r="A50" s="9">
        <v>0</v>
      </c>
      <c r="B50" s="9"/>
      <c r="C50" s="9"/>
      <c r="D50" s="106" t="s">
        <v>97</v>
      </c>
      <c r="E50" s="78"/>
      <c r="F50" s="77"/>
      <c r="G50" s="67"/>
      <c r="H50" s="7"/>
      <c r="I50" s="7"/>
      <c r="J50" s="7"/>
      <c r="K50" s="7"/>
      <c r="L50" s="7"/>
      <c r="M50" s="7"/>
      <c r="N50" s="52"/>
    </row>
    <row r="51" spans="1:14" x14ac:dyDescent="0.3">
      <c r="A51" s="9">
        <v>0</v>
      </c>
      <c r="B51" s="9"/>
      <c r="C51" s="9"/>
      <c r="D51" s="247" t="s">
        <v>99</v>
      </c>
      <c r="E51" s="78"/>
      <c r="F51" s="77"/>
      <c r="G51" s="67"/>
      <c r="H51" s="7"/>
      <c r="I51" s="7"/>
      <c r="J51" s="7"/>
      <c r="K51" s="7"/>
      <c r="L51" s="7"/>
      <c r="M51" s="7"/>
      <c r="N51" s="52"/>
    </row>
    <row r="52" spans="1:14" s="149" customFormat="1" x14ac:dyDescent="0.3">
      <c r="A52" s="145"/>
      <c r="B52" s="145"/>
      <c r="C52" s="267" t="s">
        <v>187</v>
      </c>
      <c r="D52" s="220" t="s">
        <v>98</v>
      </c>
      <c r="E52" s="221"/>
      <c r="F52" s="151"/>
      <c r="G52" s="222"/>
      <c r="H52" s="148"/>
      <c r="I52" s="148"/>
      <c r="J52" s="148">
        <v>1</v>
      </c>
      <c r="K52" s="148"/>
      <c r="L52" s="148"/>
      <c r="M52" s="148"/>
      <c r="N52" s="152"/>
    </row>
    <row r="53" spans="1:14" s="149" customFormat="1" x14ac:dyDescent="0.3">
      <c r="A53" s="145"/>
      <c r="B53" s="145"/>
      <c r="C53" s="267" t="s">
        <v>187</v>
      </c>
      <c r="D53" s="223" t="s">
        <v>95</v>
      </c>
      <c r="E53" s="221"/>
      <c r="F53" s="151"/>
      <c r="G53" s="164"/>
      <c r="H53" s="148"/>
      <c r="I53" s="148">
        <v>1</v>
      </c>
      <c r="J53" s="148"/>
      <c r="K53" s="148"/>
      <c r="L53" s="148">
        <v>0.5</v>
      </c>
      <c r="M53" s="148"/>
      <c r="N53" s="152"/>
    </row>
    <row r="54" spans="1:14" s="149" customFormat="1" x14ac:dyDescent="0.3">
      <c r="A54" s="145"/>
      <c r="B54" s="145"/>
      <c r="C54" s="237" t="s">
        <v>192</v>
      </c>
      <c r="D54" s="223" t="s">
        <v>96</v>
      </c>
      <c r="E54" s="221"/>
      <c r="F54" s="151"/>
      <c r="G54" s="164"/>
      <c r="H54" s="148"/>
      <c r="I54" s="148">
        <v>2</v>
      </c>
      <c r="J54" s="148"/>
      <c r="K54" s="148"/>
      <c r="L54" s="148">
        <v>1</v>
      </c>
      <c r="M54" s="148"/>
      <c r="N54" s="152"/>
    </row>
    <row r="55" spans="1:14" s="149" customFormat="1" x14ac:dyDescent="0.3">
      <c r="A55" s="145"/>
      <c r="B55" s="145"/>
      <c r="C55" s="237" t="s">
        <v>192</v>
      </c>
      <c r="D55" s="166" t="s">
        <v>91</v>
      </c>
      <c r="E55" s="221"/>
      <c r="F55" s="151"/>
      <c r="G55" s="164"/>
      <c r="H55" s="148"/>
      <c r="I55" s="148">
        <v>1</v>
      </c>
      <c r="J55" s="148"/>
      <c r="K55" s="148"/>
      <c r="L55" s="148">
        <v>0.5</v>
      </c>
      <c r="M55" s="148"/>
      <c r="N55" s="152"/>
    </row>
    <row r="56" spans="1:14" s="149" customFormat="1" x14ac:dyDescent="0.3">
      <c r="A56" s="145"/>
      <c r="B56" s="145"/>
      <c r="C56" s="237" t="s">
        <v>192</v>
      </c>
      <c r="D56" s="220" t="s">
        <v>100</v>
      </c>
      <c r="E56" s="221"/>
      <c r="F56" s="151"/>
      <c r="G56" s="164"/>
      <c r="H56" s="148"/>
      <c r="I56" s="148"/>
      <c r="J56" s="148">
        <v>2</v>
      </c>
      <c r="K56" s="148"/>
      <c r="L56" s="148"/>
      <c r="M56" s="148"/>
      <c r="N56" s="152"/>
    </row>
    <row r="57" spans="1:14" s="149" customFormat="1" x14ac:dyDescent="0.3">
      <c r="A57" s="145"/>
      <c r="B57" s="145"/>
      <c r="C57" s="237" t="s">
        <v>192</v>
      </c>
      <c r="D57" s="220" t="s">
        <v>104</v>
      </c>
      <c r="E57" s="221"/>
      <c r="F57" s="151"/>
      <c r="G57" s="164"/>
      <c r="H57" s="148"/>
      <c r="I57" s="148"/>
      <c r="J57" s="148">
        <v>1</v>
      </c>
      <c r="K57" s="148"/>
      <c r="L57" s="148"/>
      <c r="M57" s="148"/>
      <c r="N57" s="152"/>
    </row>
    <row r="58" spans="1:14" s="149" customFormat="1" x14ac:dyDescent="0.3">
      <c r="A58" s="145"/>
      <c r="B58" s="145"/>
      <c r="C58" s="237" t="s">
        <v>192</v>
      </c>
      <c r="D58" s="224" t="s">
        <v>146</v>
      </c>
      <c r="E58" s="221"/>
      <c r="F58" s="151"/>
      <c r="G58" s="164"/>
      <c r="H58" s="148"/>
      <c r="I58" s="148">
        <v>6</v>
      </c>
      <c r="J58" s="148"/>
      <c r="K58" s="148"/>
      <c r="L58" s="148"/>
      <c r="M58" s="148"/>
      <c r="N58" s="152"/>
    </row>
    <row r="59" spans="1:14" x14ac:dyDescent="0.3">
      <c r="A59" s="9"/>
      <c r="B59" s="9"/>
      <c r="C59" s="238"/>
      <c r="D59" s="274" t="s">
        <v>203</v>
      </c>
      <c r="E59" s="78"/>
      <c r="F59" s="77"/>
      <c r="G59" s="67"/>
      <c r="H59" s="7"/>
      <c r="I59" s="7"/>
      <c r="J59" s="7"/>
      <c r="K59" s="7"/>
      <c r="L59" s="7"/>
      <c r="M59" s="7"/>
      <c r="N59" s="52"/>
    </row>
    <row r="60" spans="1:14" x14ac:dyDescent="0.3">
      <c r="A60" s="9"/>
      <c r="B60" s="9"/>
      <c r="C60" s="9"/>
      <c r="D60" s="141" t="s">
        <v>140</v>
      </c>
      <c r="E60" s="78"/>
      <c r="F60" s="77"/>
      <c r="G60" s="67"/>
      <c r="H60" s="7"/>
      <c r="I60" s="7"/>
      <c r="J60" s="7"/>
      <c r="K60" s="7"/>
      <c r="L60" s="7"/>
      <c r="M60" s="7"/>
      <c r="N60" s="52"/>
    </row>
    <row r="61" spans="1:14" x14ac:dyDescent="0.3">
      <c r="A61" s="9"/>
      <c r="B61" s="9"/>
      <c r="C61" s="9"/>
      <c r="D61" s="141" t="s">
        <v>141</v>
      </c>
      <c r="E61" s="78"/>
      <c r="F61" s="77"/>
      <c r="G61" s="67"/>
      <c r="H61" s="7"/>
      <c r="I61" s="7"/>
      <c r="J61" s="7"/>
      <c r="K61" s="7"/>
      <c r="L61" s="7"/>
      <c r="M61" s="7"/>
      <c r="N61" s="52"/>
    </row>
    <row r="62" spans="1:14" x14ac:dyDescent="0.3">
      <c r="A62" s="9"/>
      <c r="B62" s="9"/>
      <c r="C62" s="9"/>
      <c r="D62" s="141" t="s">
        <v>142</v>
      </c>
      <c r="E62" s="78"/>
      <c r="F62" s="77"/>
      <c r="G62" s="67"/>
      <c r="H62" s="7"/>
      <c r="I62" s="7"/>
      <c r="J62" s="7"/>
      <c r="K62" s="7"/>
      <c r="L62" s="7"/>
      <c r="M62" s="7"/>
      <c r="N62" s="52"/>
    </row>
    <row r="63" spans="1:14" x14ac:dyDescent="0.3">
      <c r="A63" s="9"/>
      <c r="B63" s="9"/>
      <c r="C63" s="9"/>
      <c r="D63" s="141" t="s">
        <v>143</v>
      </c>
      <c r="E63" s="78"/>
      <c r="F63" s="77"/>
      <c r="G63" s="67"/>
      <c r="H63" s="7"/>
      <c r="I63" s="7"/>
      <c r="J63" s="7"/>
      <c r="K63" s="7"/>
      <c r="L63" s="7"/>
      <c r="M63" s="7"/>
      <c r="N63" s="52"/>
    </row>
    <row r="64" spans="1:14" ht="15.6" x14ac:dyDescent="0.3">
      <c r="A64" s="9">
        <v>9</v>
      </c>
      <c r="B64" s="238" t="s">
        <v>85</v>
      </c>
      <c r="C64" s="9"/>
      <c r="D64" s="133" t="s">
        <v>68</v>
      </c>
      <c r="E64" s="113" t="s">
        <v>7</v>
      </c>
      <c r="F64" s="77" t="s">
        <v>67</v>
      </c>
      <c r="G64" s="67"/>
      <c r="H64" s="7"/>
      <c r="I64" s="7"/>
      <c r="J64" s="7"/>
      <c r="K64" s="7"/>
      <c r="L64" s="7"/>
      <c r="M64" s="7"/>
    </row>
    <row r="65" spans="1:14" x14ac:dyDescent="0.3">
      <c r="A65" s="9"/>
      <c r="B65" s="9"/>
      <c r="C65" s="9"/>
      <c r="D65" s="122" t="s">
        <v>112</v>
      </c>
      <c r="E65" s="113"/>
      <c r="F65" s="77"/>
      <c r="G65" s="67"/>
      <c r="H65" s="7"/>
      <c r="I65" s="7"/>
      <c r="J65" s="7">
        <v>1</v>
      </c>
      <c r="K65" s="7">
        <v>2</v>
      </c>
      <c r="L65" s="7"/>
      <c r="M65" s="7"/>
    </row>
    <row r="66" spans="1:14" ht="15.6" x14ac:dyDescent="0.3">
      <c r="A66" s="9">
        <v>10</v>
      </c>
      <c r="B66" s="238" t="s">
        <v>85</v>
      </c>
      <c r="C66" s="9"/>
      <c r="D66" s="133" t="s">
        <v>69</v>
      </c>
      <c r="E66" s="113" t="s">
        <v>34</v>
      </c>
      <c r="F66" s="239" t="s">
        <v>196</v>
      </c>
      <c r="G66" s="67"/>
      <c r="H66" s="7"/>
      <c r="I66" s="7"/>
      <c r="J66" s="7"/>
      <c r="K66" s="7"/>
      <c r="L66" s="7"/>
      <c r="M66" s="7"/>
    </row>
    <row r="67" spans="1:14" x14ac:dyDescent="0.3">
      <c r="A67" s="9">
        <v>0</v>
      </c>
      <c r="B67" s="114"/>
      <c r="C67" s="114"/>
      <c r="D67" s="249" t="s">
        <v>74</v>
      </c>
      <c r="E67" s="115"/>
      <c r="F67" s="116"/>
      <c r="G67" s="79"/>
      <c r="H67" s="52"/>
      <c r="I67" s="52"/>
      <c r="J67" s="52"/>
      <c r="K67" s="52"/>
      <c r="L67" s="52"/>
      <c r="M67" s="52">
        <v>5</v>
      </c>
    </row>
    <row r="68" spans="1:14" s="149" customFormat="1" x14ac:dyDescent="0.3">
      <c r="A68" s="145"/>
      <c r="B68" s="192"/>
      <c r="C68" s="271" t="s">
        <v>187</v>
      </c>
      <c r="D68" s="193" t="s">
        <v>125</v>
      </c>
      <c r="E68" s="194"/>
      <c r="F68" s="195"/>
      <c r="G68" s="196"/>
      <c r="H68" s="152"/>
      <c r="I68" s="152"/>
      <c r="J68" s="152"/>
      <c r="K68" s="152"/>
      <c r="L68" s="152"/>
      <c r="M68" s="152"/>
    </row>
    <row r="69" spans="1:14" x14ac:dyDescent="0.3">
      <c r="A69" s="9"/>
      <c r="B69" s="114"/>
      <c r="C69" s="114"/>
      <c r="D69" s="136" t="s">
        <v>126</v>
      </c>
      <c r="E69" s="115"/>
      <c r="F69" s="116"/>
      <c r="G69" s="79"/>
      <c r="H69" s="52"/>
      <c r="I69" s="52"/>
      <c r="J69" s="52"/>
      <c r="K69" s="52"/>
      <c r="L69" s="52"/>
      <c r="M69" s="52"/>
    </row>
    <row r="70" spans="1:14" s="149" customFormat="1" x14ac:dyDescent="0.3">
      <c r="A70" s="145"/>
      <c r="B70" s="192"/>
      <c r="C70" s="271" t="s">
        <v>200</v>
      </c>
      <c r="D70" s="193" t="s">
        <v>127</v>
      </c>
      <c r="E70" s="194"/>
      <c r="F70" s="195"/>
      <c r="G70" s="196"/>
      <c r="H70" s="152"/>
      <c r="I70" s="152"/>
      <c r="J70" s="152"/>
      <c r="K70" s="152"/>
      <c r="L70" s="152"/>
      <c r="M70" s="152"/>
    </row>
    <row r="71" spans="1:14" x14ac:dyDescent="0.3">
      <c r="A71" s="9"/>
      <c r="B71" s="114"/>
      <c r="C71" s="114"/>
      <c r="D71" s="136" t="s">
        <v>128</v>
      </c>
      <c r="E71" s="115"/>
      <c r="F71" s="116"/>
      <c r="G71" s="79"/>
      <c r="H71" s="52"/>
      <c r="I71" s="52"/>
      <c r="J71" s="52"/>
      <c r="K71" s="52"/>
      <c r="L71" s="52"/>
      <c r="M71" s="52"/>
    </row>
    <row r="72" spans="1:14" x14ac:dyDescent="0.3">
      <c r="A72" s="9"/>
      <c r="B72" s="114"/>
      <c r="C72" s="114"/>
      <c r="D72" s="136" t="s">
        <v>129</v>
      </c>
      <c r="E72" s="115"/>
      <c r="F72" s="116"/>
      <c r="G72" s="79"/>
      <c r="H72" s="52"/>
      <c r="I72" s="52"/>
      <c r="J72" s="52"/>
      <c r="K72" s="52"/>
      <c r="L72" s="52"/>
      <c r="M72" s="52"/>
    </row>
    <row r="73" spans="1:14" x14ac:dyDescent="0.3">
      <c r="A73" s="9"/>
      <c r="B73" s="114"/>
      <c r="C73" s="114"/>
      <c r="D73" s="136" t="s">
        <v>130</v>
      </c>
      <c r="E73" s="115"/>
      <c r="F73" s="116"/>
      <c r="G73" s="79"/>
      <c r="H73" s="52"/>
      <c r="I73" s="52"/>
      <c r="J73" s="52"/>
      <c r="K73" s="52"/>
      <c r="L73" s="52"/>
      <c r="M73" s="52"/>
    </row>
    <row r="74" spans="1:14" x14ac:dyDescent="0.3">
      <c r="A74" s="9"/>
      <c r="B74" s="114"/>
      <c r="C74" s="114"/>
      <c r="D74" s="136" t="s">
        <v>131</v>
      </c>
      <c r="E74" s="115"/>
      <c r="F74" s="116"/>
      <c r="G74" s="79"/>
      <c r="H74" s="52"/>
      <c r="I74" s="52"/>
      <c r="J74" s="52"/>
      <c r="K74" s="52"/>
      <c r="L74" s="52"/>
      <c r="M74" s="52"/>
    </row>
    <row r="75" spans="1:14" x14ac:dyDescent="0.3">
      <c r="A75" s="9"/>
      <c r="B75" s="114"/>
      <c r="C75" s="114"/>
      <c r="D75" s="135" t="s">
        <v>132</v>
      </c>
      <c r="E75" s="115"/>
      <c r="F75" s="116"/>
      <c r="G75" s="79"/>
      <c r="H75" s="52"/>
      <c r="I75" s="52"/>
      <c r="J75" s="52"/>
      <c r="K75" s="52"/>
      <c r="L75" s="52"/>
      <c r="M75" s="52"/>
    </row>
    <row r="76" spans="1:14" ht="15.6" x14ac:dyDescent="0.3">
      <c r="A76" s="238"/>
      <c r="B76" s="244" t="s">
        <v>194</v>
      </c>
      <c r="C76" s="114"/>
      <c r="D76" s="137" t="s">
        <v>57</v>
      </c>
      <c r="E76" s="71" t="s">
        <v>12</v>
      </c>
      <c r="F76" s="117"/>
      <c r="H76" s="8">
        <v>1</v>
      </c>
      <c r="M76" s="8">
        <v>1</v>
      </c>
      <c r="N76" s="87" t="s">
        <v>86</v>
      </c>
    </row>
    <row r="77" spans="1:14" ht="15.6" x14ac:dyDescent="0.3">
      <c r="A77" s="9"/>
      <c r="B77" s="114"/>
      <c r="C77" s="114"/>
      <c r="D77" s="162" t="s">
        <v>175</v>
      </c>
      <c r="E77" s="71"/>
      <c r="F77" s="117"/>
      <c r="N77" s="87"/>
    </row>
    <row r="78" spans="1:14" ht="15.6" x14ac:dyDescent="0.3">
      <c r="A78" s="9"/>
      <c r="B78" s="114"/>
      <c r="C78" s="114"/>
      <c r="D78" s="162" t="s">
        <v>176</v>
      </c>
      <c r="E78" s="71"/>
      <c r="F78" s="117"/>
      <c r="N78" s="87"/>
    </row>
    <row r="79" spans="1:14" ht="15.6" x14ac:dyDescent="0.3">
      <c r="A79" s="9"/>
      <c r="B79" s="114"/>
      <c r="C79" s="114"/>
      <c r="D79" s="162" t="s">
        <v>177</v>
      </c>
      <c r="E79" s="71"/>
      <c r="F79" s="117"/>
      <c r="N79" s="87"/>
    </row>
    <row r="80" spans="1:14" ht="15.6" x14ac:dyDescent="0.3">
      <c r="A80" s="9"/>
      <c r="B80" s="114"/>
      <c r="C80" s="114"/>
      <c r="D80" s="162" t="s">
        <v>178</v>
      </c>
      <c r="E80" s="71"/>
      <c r="F80" s="117"/>
      <c r="N80" s="87"/>
    </row>
    <row r="81" spans="1:14" ht="15.6" x14ac:dyDescent="0.3">
      <c r="A81" s="9"/>
      <c r="B81" s="114"/>
      <c r="C81" s="114"/>
      <c r="D81" s="162" t="s">
        <v>179</v>
      </c>
      <c r="E81" s="71"/>
      <c r="F81" s="117"/>
      <c r="N81" s="87"/>
    </row>
    <row r="82" spans="1:14" x14ac:dyDescent="0.3">
      <c r="A82" s="9"/>
      <c r="B82" s="114"/>
      <c r="C82" s="114"/>
      <c r="D82" s="203" t="s">
        <v>180</v>
      </c>
      <c r="E82" s="71"/>
      <c r="F82" s="117"/>
      <c r="N82" s="87"/>
    </row>
    <row r="83" spans="1:14" x14ac:dyDescent="0.3">
      <c r="A83" s="9"/>
      <c r="B83" s="114"/>
      <c r="C83" s="114"/>
      <c r="D83" s="233" t="s">
        <v>183</v>
      </c>
      <c r="E83" s="71"/>
      <c r="F83" s="117"/>
      <c r="N83" s="87"/>
    </row>
    <row r="84" spans="1:14" x14ac:dyDescent="0.3">
      <c r="A84" s="9"/>
      <c r="B84" s="114"/>
      <c r="C84" s="114"/>
      <c r="D84" s="203" t="s">
        <v>182</v>
      </c>
      <c r="E84" s="71"/>
      <c r="F84" s="117"/>
      <c r="N84" s="87"/>
    </row>
    <row r="85" spans="1:14" x14ac:dyDescent="0.3">
      <c r="A85" s="9"/>
      <c r="B85" s="114"/>
      <c r="C85" s="114"/>
      <c r="D85" s="203" t="s">
        <v>181</v>
      </c>
      <c r="E85" s="71"/>
      <c r="F85" s="117"/>
      <c r="N85" s="87"/>
    </row>
    <row r="86" spans="1:14" x14ac:dyDescent="0.3">
      <c r="A86" s="9"/>
      <c r="B86" s="114"/>
      <c r="C86" s="114"/>
      <c r="D86" s="124" t="s">
        <v>114</v>
      </c>
      <c r="E86" s="71"/>
      <c r="F86" s="117"/>
      <c r="N86" s="87"/>
    </row>
    <row r="87" spans="1:14" x14ac:dyDescent="0.3">
      <c r="A87" s="9"/>
      <c r="B87" s="114"/>
      <c r="C87" s="114"/>
      <c r="D87" s="124" t="s">
        <v>113</v>
      </c>
      <c r="E87" s="71"/>
      <c r="F87" s="117"/>
      <c r="M87" s="8">
        <v>5</v>
      </c>
      <c r="N87" s="87"/>
    </row>
    <row r="88" spans="1:14" x14ac:dyDescent="0.3">
      <c r="A88" s="9"/>
      <c r="B88" s="114"/>
      <c r="C88" s="114"/>
      <c r="D88" s="124" t="s">
        <v>115</v>
      </c>
      <c r="E88" s="71"/>
      <c r="F88" s="117"/>
      <c r="N88" s="87"/>
    </row>
    <row r="89" spans="1:14" s="149" customFormat="1" ht="13.8" customHeight="1" x14ac:dyDescent="0.3">
      <c r="A89" s="164">
        <v>11</v>
      </c>
      <c r="B89" s="183" t="s">
        <v>84</v>
      </c>
      <c r="C89" s="254" t="s">
        <v>187</v>
      </c>
      <c r="D89" s="138" t="s">
        <v>59</v>
      </c>
      <c r="E89" s="180" t="s">
        <v>12</v>
      </c>
      <c r="F89" s="201" t="s">
        <v>22</v>
      </c>
      <c r="G89" s="222">
        <v>46203</v>
      </c>
      <c r="H89" s="148"/>
      <c r="I89" s="148">
        <v>3</v>
      </c>
      <c r="J89" s="148">
        <v>1</v>
      </c>
      <c r="K89" s="148">
        <v>2</v>
      </c>
      <c r="L89" s="148"/>
      <c r="M89" s="148"/>
    </row>
    <row r="90" spans="1:14" s="149" customFormat="1" ht="15.6" x14ac:dyDescent="0.3">
      <c r="A90" s="178">
        <v>12</v>
      </c>
      <c r="B90" s="250" t="s">
        <v>83</v>
      </c>
      <c r="C90" s="255" t="s">
        <v>192</v>
      </c>
      <c r="D90" s="139" t="s">
        <v>117</v>
      </c>
      <c r="E90" s="180" t="s">
        <v>7</v>
      </c>
      <c r="F90" s="241" t="s">
        <v>197</v>
      </c>
      <c r="G90" s="164"/>
      <c r="H90" s="148"/>
      <c r="I90" s="148">
        <v>1</v>
      </c>
      <c r="J90" s="148">
        <v>0.5</v>
      </c>
      <c r="K90" s="148"/>
      <c r="L90" s="148"/>
      <c r="M90" s="148"/>
    </row>
    <row r="91" spans="1:14" s="149" customFormat="1" ht="15.6" x14ac:dyDescent="0.3">
      <c r="A91" s="164">
        <v>13</v>
      </c>
      <c r="B91" s="250" t="s">
        <v>85</v>
      </c>
      <c r="C91" s="255" t="s">
        <v>192</v>
      </c>
      <c r="D91" s="139" t="s">
        <v>201</v>
      </c>
      <c r="E91" s="180" t="s">
        <v>7</v>
      </c>
      <c r="F91" s="241"/>
      <c r="G91" s="222">
        <v>46205</v>
      </c>
      <c r="H91" s="152"/>
      <c r="I91" s="152"/>
      <c r="J91" s="152"/>
      <c r="K91" s="152"/>
      <c r="L91" s="152"/>
      <c r="M91" s="152"/>
    </row>
    <row r="92" spans="1:14" s="246" customFormat="1" ht="15.6" x14ac:dyDescent="0.3">
      <c r="A92" s="178">
        <v>14</v>
      </c>
      <c r="B92" s="250" t="s">
        <v>85</v>
      </c>
      <c r="C92" s="254" t="s">
        <v>187</v>
      </c>
      <c r="D92" s="139" t="s">
        <v>76</v>
      </c>
      <c r="E92" s="245" t="s">
        <v>12</v>
      </c>
      <c r="F92" s="201" t="s">
        <v>22</v>
      </c>
      <c r="G92" s="142"/>
      <c r="H92" s="132">
        <v>0.5</v>
      </c>
      <c r="I92" s="132"/>
      <c r="J92" s="132">
        <v>1</v>
      </c>
      <c r="K92" s="132">
        <v>1</v>
      </c>
      <c r="L92" s="132">
        <v>1</v>
      </c>
    </row>
    <row r="93" spans="1:14" ht="15.6" x14ac:dyDescent="0.3">
      <c r="A93" s="125">
        <v>0</v>
      </c>
      <c r="B93" s="83" t="s">
        <v>85</v>
      </c>
      <c r="C93" s="83"/>
      <c r="D93" s="251" t="s">
        <v>151</v>
      </c>
      <c r="E93" s="75" t="s">
        <v>7</v>
      </c>
      <c r="F93" s="197" t="s">
        <v>22</v>
      </c>
      <c r="G93" s="68">
        <v>46195</v>
      </c>
      <c r="H93" s="7"/>
      <c r="I93" s="7"/>
      <c r="J93" s="7"/>
      <c r="K93" s="7"/>
      <c r="L93" s="7"/>
      <c r="M93" s="7"/>
    </row>
    <row r="94" spans="1:14" s="170" customFormat="1" x14ac:dyDescent="0.3">
      <c r="A94" s="171">
        <v>15</v>
      </c>
      <c r="B94" s="165" t="s">
        <v>83</v>
      </c>
      <c r="C94" s="254" t="s">
        <v>187</v>
      </c>
      <c r="D94" s="120" t="s">
        <v>31</v>
      </c>
      <c r="E94" s="121" t="s">
        <v>7</v>
      </c>
      <c r="F94" s="167" t="s">
        <v>32</v>
      </c>
      <c r="G94" s="160">
        <v>46203</v>
      </c>
      <c r="H94" s="168"/>
      <c r="I94" s="168">
        <v>3</v>
      </c>
      <c r="J94" s="168"/>
      <c r="K94" s="168">
        <v>1</v>
      </c>
      <c r="L94" s="168"/>
      <c r="M94" s="168"/>
      <c r="N94" s="169"/>
    </row>
    <row r="95" spans="1:14" s="149" customFormat="1" x14ac:dyDescent="0.3">
      <c r="A95" s="164">
        <v>16</v>
      </c>
      <c r="B95" s="165" t="s">
        <v>85</v>
      </c>
      <c r="C95" s="254" t="s">
        <v>187</v>
      </c>
      <c r="D95" s="166" t="s">
        <v>33</v>
      </c>
      <c r="E95" s="146" t="s">
        <v>34</v>
      </c>
      <c r="F95" s="167" t="s">
        <v>35</v>
      </c>
      <c r="G95" s="160">
        <v>46203</v>
      </c>
      <c r="H95" s="148"/>
      <c r="I95" s="148"/>
      <c r="J95" s="148"/>
      <c r="K95" s="148"/>
      <c r="L95" s="148">
        <v>1</v>
      </c>
      <c r="M95" s="148"/>
      <c r="N95" s="152"/>
    </row>
    <row r="96" spans="1:14" s="149" customFormat="1" x14ac:dyDescent="0.3">
      <c r="A96" s="171">
        <v>17</v>
      </c>
      <c r="B96" s="165" t="s">
        <v>85</v>
      </c>
      <c r="C96" s="254" t="s">
        <v>187</v>
      </c>
      <c r="D96" s="172" t="s">
        <v>145</v>
      </c>
      <c r="E96" s="146" t="s">
        <v>9</v>
      </c>
      <c r="F96" s="167"/>
      <c r="G96" s="160">
        <v>46203</v>
      </c>
      <c r="H96" s="148"/>
      <c r="I96" s="148">
        <v>1</v>
      </c>
      <c r="J96" s="148"/>
      <c r="K96" s="148"/>
      <c r="L96" s="148"/>
      <c r="M96" s="148"/>
      <c r="N96" s="152"/>
    </row>
    <row r="97" spans="1:14" s="149" customFormat="1" x14ac:dyDescent="0.3">
      <c r="A97" s="164">
        <v>18</v>
      </c>
      <c r="B97" s="165" t="s">
        <v>85</v>
      </c>
      <c r="C97" s="255" t="s">
        <v>192</v>
      </c>
      <c r="D97" s="173" t="s">
        <v>139</v>
      </c>
      <c r="E97" s="146"/>
      <c r="F97" s="167"/>
      <c r="G97" s="160">
        <v>46264</v>
      </c>
      <c r="H97" s="148"/>
      <c r="I97" s="148"/>
      <c r="J97" s="148"/>
      <c r="K97" s="148"/>
      <c r="L97" s="148">
        <v>1</v>
      </c>
      <c r="M97" s="148"/>
      <c r="N97" s="152"/>
    </row>
    <row r="98" spans="1:14" s="149" customFormat="1" x14ac:dyDescent="0.3">
      <c r="A98" s="171">
        <v>19</v>
      </c>
      <c r="B98" s="183" t="s">
        <v>83</v>
      </c>
      <c r="C98" s="255" t="s">
        <v>192</v>
      </c>
      <c r="D98" s="130" t="s">
        <v>24</v>
      </c>
      <c r="E98" s="146" t="s">
        <v>7</v>
      </c>
      <c r="F98" s="200" t="s">
        <v>171</v>
      </c>
      <c r="G98" s="184" t="s">
        <v>27</v>
      </c>
      <c r="H98" s="148"/>
      <c r="I98" s="148"/>
      <c r="J98" s="148"/>
      <c r="K98" s="148">
        <v>0.5</v>
      </c>
      <c r="L98" s="148"/>
      <c r="M98" s="148"/>
    </row>
    <row r="99" spans="1:14" s="149" customFormat="1" ht="31.2" customHeight="1" x14ac:dyDescent="0.3">
      <c r="A99" s="164">
        <v>20</v>
      </c>
      <c r="B99" s="165" t="s">
        <v>83</v>
      </c>
      <c r="C99" s="255" t="s">
        <v>192</v>
      </c>
      <c r="D99" s="181" t="s">
        <v>78</v>
      </c>
      <c r="E99" s="180" t="s">
        <v>7</v>
      </c>
      <c r="F99" s="201" t="s">
        <v>172</v>
      </c>
      <c r="G99" s="160"/>
      <c r="H99" s="148"/>
      <c r="I99" s="176">
        <v>1</v>
      </c>
      <c r="J99" s="176">
        <v>0.5</v>
      </c>
      <c r="K99" s="176">
        <v>0.5</v>
      </c>
      <c r="L99" s="176">
        <v>0.5</v>
      </c>
      <c r="M99" s="148"/>
    </row>
    <row r="100" spans="1:14" s="149" customFormat="1" x14ac:dyDescent="0.3">
      <c r="A100" s="171">
        <v>21</v>
      </c>
      <c r="B100" s="165" t="s">
        <v>83</v>
      </c>
      <c r="C100" s="255" t="s">
        <v>192</v>
      </c>
      <c r="D100" s="182" t="s">
        <v>80</v>
      </c>
      <c r="E100" s="180" t="s">
        <v>7</v>
      </c>
      <c r="F100" s="201" t="s">
        <v>172</v>
      </c>
      <c r="G100" s="160"/>
      <c r="H100" s="148"/>
      <c r="I100" s="148"/>
      <c r="J100" s="148"/>
      <c r="K100" s="148"/>
      <c r="L100" s="148"/>
      <c r="M100" s="148"/>
    </row>
    <row r="101" spans="1:14" s="149" customFormat="1" x14ac:dyDescent="0.3">
      <c r="A101" s="164">
        <v>22</v>
      </c>
      <c r="B101" s="165" t="s">
        <v>83</v>
      </c>
      <c r="C101" s="255" t="s">
        <v>192</v>
      </c>
      <c r="D101" s="179" t="s">
        <v>116</v>
      </c>
      <c r="E101" s="180" t="s">
        <v>7</v>
      </c>
      <c r="F101" s="201" t="s">
        <v>172</v>
      </c>
      <c r="G101" s="164"/>
      <c r="H101" s="148"/>
      <c r="I101" s="148">
        <v>2</v>
      </c>
      <c r="J101" s="148">
        <v>1</v>
      </c>
      <c r="K101" s="148">
        <v>1</v>
      </c>
      <c r="L101" s="148"/>
      <c r="M101" s="148"/>
    </row>
    <row r="102" spans="1:14" s="149" customFormat="1" ht="28.8" x14ac:dyDescent="0.3">
      <c r="A102" s="171">
        <v>23</v>
      </c>
      <c r="B102" s="183" t="s">
        <v>83</v>
      </c>
      <c r="C102" s="255" t="s">
        <v>192</v>
      </c>
      <c r="D102" s="202" t="s">
        <v>138</v>
      </c>
      <c r="E102" s="146" t="s">
        <v>12</v>
      </c>
      <c r="F102" s="201" t="s">
        <v>172</v>
      </c>
      <c r="G102" s="164"/>
      <c r="H102" s="148"/>
      <c r="I102" s="132">
        <v>0.5</v>
      </c>
      <c r="J102" s="148"/>
      <c r="K102" s="148"/>
      <c r="L102" s="148"/>
      <c r="M102" s="148"/>
    </row>
    <row r="103" spans="1:14" s="149" customFormat="1" x14ac:dyDescent="0.3">
      <c r="A103" s="164">
        <v>24</v>
      </c>
      <c r="B103" s="165" t="s">
        <v>83</v>
      </c>
      <c r="C103" s="255" t="s">
        <v>192</v>
      </c>
      <c r="D103" s="176" t="s">
        <v>77</v>
      </c>
      <c r="E103" s="177" t="s">
        <v>12</v>
      </c>
      <c r="F103" s="167" t="s">
        <v>35</v>
      </c>
      <c r="G103" s="160" t="s">
        <v>173</v>
      </c>
    </row>
    <row r="104" spans="1:14" ht="28.8" x14ac:dyDescent="0.3">
      <c r="A104" s="67" t="s">
        <v>15</v>
      </c>
      <c r="B104" s="83" t="s">
        <v>83</v>
      </c>
      <c r="C104" s="83"/>
      <c r="D104" s="57" t="s">
        <v>14</v>
      </c>
      <c r="E104" s="11" t="s">
        <v>7</v>
      </c>
      <c r="F104" s="10"/>
      <c r="G104" s="10"/>
      <c r="H104" s="7"/>
      <c r="I104" s="7"/>
      <c r="J104" s="7"/>
      <c r="K104" s="7"/>
      <c r="L104" s="7"/>
      <c r="M104" s="7"/>
    </row>
    <row r="105" spans="1:14" x14ac:dyDescent="0.3">
      <c r="A105" s="67" t="s">
        <v>15</v>
      </c>
      <c r="B105" s="83" t="s">
        <v>85</v>
      </c>
      <c r="C105" s="83"/>
      <c r="D105" s="67" t="s">
        <v>60</v>
      </c>
      <c r="E105" s="1" t="s">
        <v>12</v>
      </c>
      <c r="F105" s="76" t="s">
        <v>21</v>
      </c>
      <c r="G105" s="7"/>
      <c r="H105" s="7">
        <v>2</v>
      </c>
      <c r="I105" s="7"/>
      <c r="J105" s="7"/>
      <c r="K105" s="7"/>
      <c r="L105" s="7"/>
      <c r="M105" s="7"/>
    </row>
    <row r="106" spans="1:14" ht="28.8" x14ac:dyDescent="0.3">
      <c r="A106" s="67" t="s">
        <v>15</v>
      </c>
      <c r="B106" s="83" t="s">
        <v>83</v>
      </c>
      <c r="C106" s="83"/>
      <c r="D106" s="16" t="s">
        <v>26</v>
      </c>
      <c r="E106" s="1" t="s">
        <v>7</v>
      </c>
      <c r="F106" s="7" t="s">
        <v>10</v>
      </c>
      <c r="G106" s="12" t="s">
        <v>13</v>
      </c>
      <c r="H106" s="7"/>
      <c r="I106" s="7">
        <v>4</v>
      </c>
      <c r="J106" s="7">
        <v>1</v>
      </c>
      <c r="K106" s="7">
        <v>1</v>
      </c>
      <c r="L106" s="7"/>
      <c r="M106" s="7"/>
    </row>
    <row r="107" spans="1:14" x14ac:dyDescent="0.3">
      <c r="A107" s="67" t="s">
        <v>15</v>
      </c>
      <c r="B107" s="83" t="s">
        <v>83</v>
      </c>
      <c r="C107" s="83"/>
      <c r="D107" s="58" t="s">
        <v>55</v>
      </c>
      <c r="E107" s="70" t="s">
        <v>7</v>
      </c>
    </row>
    <row r="108" spans="1:14" x14ac:dyDescent="0.3">
      <c r="A108" s="67" t="s">
        <v>15</v>
      </c>
      <c r="B108" s="83" t="s">
        <v>83</v>
      </c>
      <c r="C108" s="84"/>
      <c r="D108" s="72" t="s">
        <v>62</v>
      </c>
      <c r="E108" s="73" t="s">
        <v>7</v>
      </c>
      <c r="F108" s="72" t="s">
        <v>65</v>
      </c>
      <c r="G108" s="74" t="s">
        <v>66</v>
      </c>
      <c r="H108" s="52"/>
      <c r="I108" s="52"/>
      <c r="J108" s="52"/>
      <c r="K108" s="52"/>
      <c r="L108" s="52"/>
      <c r="M108" s="52"/>
    </row>
    <row r="109" spans="1:14" x14ac:dyDescent="0.3">
      <c r="A109" s="67" t="s">
        <v>15</v>
      </c>
      <c r="B109" s="83" t="s">
        <v>85</v>
      </c>
      <c r="C109" s="83"/>
      <c r="D109" s="123" t="s">
        <v>109</v>
      </c>
      <c r="E109" s="73" t="s">
        <v>7</v>
      </c>
      <c r="F109" s="14"/>
      <c r="G109" s="105"/>
      <c r="H109" s="7"/>
      <c r="I109" s="7"/>
      <c r="J109" s="7"/>
      <c r="K109" s="7"/>
      <c r="L109" s="7"/>
      <c r="M109" s="7"/>
    </row>
    <row r="110" spans="1:14" x14ac:dyDescent="0.3">
      <c r="A110" s="67" t="s">
        <v>15</v>
      </c>
      <c r="B110" s="83" t="s">
        <v>83</v>
      </c>
      <c r="C110" s="9"/>
      <c r="D110" s="104" t="s">
        <v>92</v>
      </c>
      <c r="E110" s="1"/>
      <c r="F110" s="14"/>
      <c r="G110" s="105"/>
      <c r="H110" s="7"/>
      <c r="I110" s="7"/>
      <c r="J110" s="7"/>
      <c r="K110" s="7"/>
      <c r="L110" s="7"/>
      <c r="M110" s="7"/>
    </row>
    <row r="111" spans="1:14" ht="28.8" x14ac:dyDescent="0.3">
      <c r="A111" s="67" t="s">
        <v>15</v>
      </c>
      <c r="B111" s="86" t="s">
        <v>83</v>
      </c>
      <c r="C111" s="86"/>
      <c r="D111" s="16" t="s">
        <v>25</v>
      </c>
      <c r="E111" s="1" t="s">
        <v>7</v>
      </c>
      <c r="F111" s="7" t="s">
        <v>10</v>
      </c>
      <c r="G111" s="68" t="s">
        <v>27</v>
      </c>
      <c r="H111" s="7"/>
      <c r="I111" s="7">
        <v>5</v>
      </c>
      <c r="J111" s="7">
        <v>1</v>
      </c>
      <c r="K111" s="7">
        <v>1</v>
      </c>
      <c r="L111" s="7"/>
      <c r="M111" s="7"/>
    </row>
    <row r="112" spans="1:14" x14ac:dyDescent="0.3">
      <c r="A112" s="67" t="s">
        <v>15</v>
      </c>
      <c r="B112" s="86" t="s">
        <v>83</v>
      </c>
      <c r="C112" s="86"/>
      <c r="D112" s="67" t="s">
        <v>58</v>
      </c>
      <c r="E112" s="75" t="s">
        <v>7</v>
      </c>
      <c r="F112" s="7"/>
      <c r="G112" s="68" t="s">
        <v>27</v>
      </c>
      <c r="H112" s="7"/>
      <c r="I112" s="7"/>
      <c r="J112" s="7"/>
      <c r="K112" s="7"/>
      <c r="L112" s="7"/>
      <c r="M112" s="7"/>
    </row>
    <row r="113" spans="1:13" x14ac:dyDescent="0.3">
      <c r="A113" s="80" t="s">
        <v>75</v>
      </c>
      <c r="B113" s="83" t="s">
        <v>85</v>
      </c>
      <c r="C113" s="83"/>
      <c r="D113" s="82" t="s">
        <v>79</v>
      </c>
      <c r="E113" s="75" t="s">
        <v>7</v>
      </c>
      <c r="F113" s="67"/>
      <c r="G113" s="67"/>
      <c r="H113" s="118">
        <v>0.5</v>
      </c>
      <c r="I113" s="118">
        <v>2</v>
      </c>
      <c r="J113" s="118"/>
      <c r="K113" s="118"/>
      <c r="L113" s="118">
        <v>1</v>
      </c>
      <c r="M113" s="7"/>
    </row>
    <row r="114" spans="1:13" x14ac:dyDescent="0.3">
      <c r="A114" s="80" t="s">
        <v>75</v>
      </c>
      <c r="B114" s="83" t="s">
        <v>85</v>
      </c>
      <c r="C114" s="83"/>
      <c r="D114" s="126" t="s">
        <v>195</v>
      </c>
      <c r="E114" s="75" t="s">
        <v>7</v>
      </c>
      <c r="F114" s="67"/>
      <c r="G114" s="67"/>
      <c r="H114" s="7"/>
      <c r="I114" s="7"/>
      <c r="J114" s="7"/>
      <c r="K114" s="7"/>
      <c r="L114" s="7"/>
      <c r="M114" s="7"/>
    </row>
    <row r="115" spans="1:13" x14ac:dyDescent="0.3">
      <c r="A115" s="80" t="s">
        <v>75</v>
      </c>
      <c r="B115" s="83" t="s">
        <v>85</v>
      </c>
      <c r="C115" s="83"/>
      <c r="D115" s="81" t="s">
        <v>81</v>
      </c>
      <c r="E115" s="75" t="s">
        <v>7</v>
      </c>
      <c r="F115" s="67"/>
      <c r="G115" s="67"/>
      <c r="H115" s="7"/>
      <c r="I115" s="7"/>
      <c r="J115" s="7"/>
      <c r="K115" s="7"/>
      <c r="L115" s="7"/>
      <c r="M115" s="7"/>
    </row>
    <row r="116" spans="1:13" x14ac:dyDescent="0.3">
      <c r="A116" s="252" t="s">
        <v>75</v>
      </c>
      <c r="B116" s="83" t="s">
        <v>85</v>
      </c>
      <c r="D116" s="252" t="s">
        <v>198</v>
      </c>
      <c r="E116" s="252" t="s">
        <v>199</v>
      </c>
      <c r="L116" s="8">
        <v>5</v>
      </c>
    </row>
  </sheetData>
  <autoFilter ref="A1:N1" xr:uid="{1A62D3D1-F8E5-461C-A907-AAFB29F7A79C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6"/>
  <sheetViews>
    <sheetView topLeftCell="A64" zoomScaleNormal="100" workbookViewId="0">
      <selection activeCell="A93" sqref="A93"/>
    </sheetView>
  </sheetViews>
  <sheetFormatPr defaultColWidth="10.77734375" defaultRowHeight="14.4" outlineLevelRow="1" x14ac:dyDescent="0.3"/>
  <cols>
    <col min="1" max="1" width="13.6640625" style="15" customWidth="1"/>
    <col min="2" max="2" width="89.5546875" style="15" customWidth="1"/>
    <col min="3" max="3" width="13.44140625" style="15" customWidth="1"/>
    <col min="4" max="4" width="16.5546875" style="15" customWidth="1"/>
    <col min="5" max="5" width="17.88671875" style="15" bestFit="1" customWidth="1"/>
    <col min="6" max="16384" width="10.77734375" style="15"/>
  </cols>
  <sheetData>
    <row r="1" spans="1:16" x14ac:dyDescent="0.3">
      <c r="A1" s="20" t="s">
        <v>36</v>
      </c>
      <c r="B1" s="20" t="s">
        <v>37</v>
      </c>
      <c r="C1" s="20" t="s">
        <v>38</v>
      </c>
      <c r="D1" s="20" t="s">
        <v>39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x14ac:dyDescent="0.3">
      <c r="A2" s="22" t="s">
        <v>40</v>
      </c>
      <c r="B2" s="23"/>
      <c r="C2" s="23">
        <f>SUM(C3:C15)</f>
        <v>9.0999999999999979</v>
      </c>
      <c r="D2" s="23">
        <v>9</v>
      </c>
      <c r="E2" s="24"/>
      <c r="F2" s="25"/>
      <c r="G2" s="26"/>
      <c r="H2" s="21"/>
      <c r="I2" s="21"/>
      <c r="J2" s="21"/>
      <c r="K2" s="21"/>
      <c r="L2" s="21"/>
      <c r="M2" s="21"/>
      <c r="N2" s="21"/>
      <c r="O2" s="21"/>
      <c r="P2" s="21"/>
    </row>
    <row r="3" spans="1:16" outlineLevel="1" x14ac:dyDescent="0.3">
      <c r="A3" s="27" t="s">
        <v>40</v>
      </c>
      <c r="B3" s="256" t="s">
        <v>148</v>
      </c>
      <c r="C3" s="7">
        <v>0.2</v>
      </c>
      <c r="D3" s="29"/>
      <c r="E3" s="30"/>
      <c r="G3" s="26"/>
    </row>
    <row r="4" spans="1:16" outlineLevel="1" x14ac:dyDescent="0.3">
      <c r="A4" s="46" t="s">
        <v>40</v>
      </c>
      <c r="B4" s="257" t="s">
        <v>147</v>
      </c>
      <c r="C4" s="69">
        <v>2</v>
      </c>
      <c r="D4" s="29"/>
      <c r="E4" s="24"/>
      <c r="F4" s="25"/>
      <c r="G4" s="26"/>
    </row>
    <row r="5" spans="1:16" outlineLevel="1" x14ac:dyDescent="0.3">
      <c r="A5" s="46" t="s">
        <v>40</v>
      </c>
      <c r="B5" s="264" t="s">
        <v>149</v>
      </c>
      <c r="C5" s="69">
        <v>1</v>
      </c>
      <c r="D5" s="29"/>
      <c r="E5" s="24"/>
      <c r="F5" s="25"/>
      <c r="G5" s="26"/>
    </row>
    <row r="6" spans="1:16" outlineLevel="1" x14ac:dyDescent="0.3">
      <c r="A6" s="46" t="s">
        <v>40</v>
      </c>
      <c r="B6" s="265" t="s">
        <v>123</v>
      </c>
      <c r="C6" s="69">
        <v>0.5</v>
      </c>
      <c r="D6" s="110"/>
      <c r="E6" s="111"/>
      <c r="F6" s="7"/>
      <c r="G6" s="26"/>
    </row>
    <row r="7" spans="1:16" outlineLevel="1" x14ac:dyDescent="0.3">
      <c r="A7" s="46" t="s">
        <v>40</v>
      </c>
      <c r="B7" s="258" t="s">
        <v>150</v>
      </c>
      <c r="C7" s="69">
        <v>1</v>
      </c>
      <c r="D7" s="29"/>
      <c r="E7" s="24"/>
      <c r="F7" s="32"/>
      <c r="G7" s="26"/>
    </row>
    <row r="8" spans="1:16" outlineLevel="1" x14ac:dyDescent="0.3">
      <c r="A8" s="46" t="s">
        <v>40</v>
      </c>
      <c r="B8" s="266" t="s">
        <v>118</v>
      </c>
      <c r="C8" s="7">
        <v>1</v>
      </c>
      <c r="D8" s="29"/>
      <c r="E8" s="24"/>
      <c r="F8" s="32"/>
      <c r="G8" s="26"/>
    </row>
    <row r="9" spans="1:16" outlineLevel="1" x14ac:dyDescent="0.3">
      <c r="A9" s="64" t="s">
        <v>40</v>
      </c>
      <c r="B9" s="258" t="s">
        <v>136</v>
      </c>
      <c r="C9" s="28">
        <v>1</v>
      </c>
      <c r="D9" s="34"/>
      <c r="E9" s="24"/>
      <c r="F9" s="32"/>
      <c r="G9" s="26"/>
    </row>
    <row r="10" spans="1:16" outlineLevel="1" x14ac:dyDescent="0.3">
      <c r="A10" s="27" t="s">
        <v>40</v>
      </c>
      <c r="B10" s="259" t="s">
        <v>155</v>
      </c>
      <c r="C10" s="28">
        <v>1</v>
      </c>
      <c r="D10" s="29"/>
      <c r="E10" s="24"/>
      <c r="F10" s="32"/>
      <c r="G10" s="26"/>
    </row>
    <row r="11" spans="1:16" outlineLevel="1" x14ac:dyDescent="0.3">
      <c r="A11" s="27" t="s">
        <v>40</v>
      </c>
      <c r="B11" s="259" t="s">
        <v>156</v>
      </c>
      <c r="C11" s="15">
        <v>1</v>
      </c>
      <c r="D11" s="29"/>
      <c r="E11" s="24"/>
      <c r="F11" s="32"/>
      <c r="G11" s="26"/>
    </row>
    <row r="12" spans="1:16" outlineLevel="1" x14ac:dyDescent="0.3">
      <c r="A12" s="46" t="s">
        <v>40</v>
      </c>
      <c r="B12" s="260" t="s">
        <v>125</v>
      </c>
      <c r="C12" s="69">
        <v>0.1</v>
      </c>
      <c r="D12" s="29"/>
      <c r="E12" s="24"/>
      <c r="F12" s="32"/>
      <c r="G12" s="26"/>
    </row>
    <row r="13" spans="1:16" outlineLevel="1" x14ac:dyDescent="0.3">
      <c r="A13" s="27" t="s">
        <v>40</v>
      </c>
      <c r="B13" s="261" t="s">
        <v>127</v>
      </c>
      <c r="C13" s="28">
        <v>0.1</v>
      </c>
      <c r="D13" s="29"/>
      <c r="E13" s="24"/>
      <c r="F13" s="32"/>
      <c r="G13" s="26"/>
    </row>
    <row r="14" spans="1:16" outlineLevel="1" x14ac:dyDescent="0.3">
      <c r="A14" s="46" t="s">
        <v>40</v>
      </c>
      <c r="B14" s="262" t="s">
        <v>174</v>
      </c>
      <c r="C14" s="28">
        <v>0.1</v>
      </c>
      <c r="D14" s="29"/>
      <c r="E14" s="24"/>
      <c r="F14" s="32"/>
      <c r="G14" s="26"/>
    </row>
    <row r="15" spans="1:16" outlineLevel="1" x14ac:dyDescent="0.3">
      <c r="A15" s="27" t="s">
        <v>40</v>
      </c>
      <c r="B15" s="263" t="s">
        <v>111</v>
      </c>
      <c r="C15" s="28">
        <v>0.1</v>
      </c>
      <c r="D15" s="29"/>
      <c r="E15" s="24"/>
      <c r="F15" s="32"/>
      <c r="G15" s="26"/>
    </row>
    <row r="16" spans="1:16" x14ac:dyDescent="0.3">
      <c r="A16" s="22" t="s">
        <v>41</v>
      </c>
      <c r="B16" s="65"/>
      <c r="C16" s="62">
        <f>SUM(C17:C24)</f>
        <v>9</v>
      </c>
      <c r="D16" s="62">
        <v>9</v>
      </c>
      <c r="E16" s="59"/>
      <c r="F16" s="32"/>
      <c r="G16" s="26"/>
    </row>
    <row r="17" spans="1:7" outlineLevel="1" x14ac:dyDescent="0.3">
      <c r="A17" s="46" t="s">
        <v>41</v>
      </c>
      <c r="B17" s="3" t="s">
        <v>147</v>
      </c>
      <c r="C17" s="69">
        <v>1</v>
      </c>
      <c r="D17" s="66"/>
      <c r="E17" s="24"/>
      <c r="F17" s="32"/>
      <c r="G17" s="26"/>
    </row>
    <row r="18" spans="1:7" outlineLevel="1" x14ac:dyDescent="0.3">
      <c r="A18" s="46" t="s">
        <v>41</v>
      </c>
      <c r="B18" s="232" t="s">
        <v>149</v>
      </c>
      <c r="C18" s="35">
        <v>2</v>
      </c>
      <c r="D18" s="66"/>
      <c r="E18" s="24"/>
      <c r="F18" s="25"/>
      <c r="G18" s="26"/>
    </row>
    <row r="19" spans="1:7" outlineLevel="1" x14ac:dyDescent="0.3">
      <c r="A19" s="46" t="s">
        <v>41</v>
      </c>
      <c r="B19" s="134" t="s">
        <v>123</v>
      </c>
      <c r="C19" s="31">
        <v>1</v>
      </c>
      <c r="D19" s="66"/>
      <c r="E19" s="24"/>
      <c r="F19" s="25"/>
      <c r="G19" s="26"/>
    </row>
    <row r="20" spans="1:7" outlineLevel="1" x14ac:dyDescent="0.3">
      <c r="A20" s="46" t="s">
        <v>41</v>
      </c>
      <c r="B20" s="134" t="s">
        <v>122</v>
      </c>
      <c r="C20" s="69">
        <v>0.5</v>
      </c>
      <c r="D20" s="66"/>
      <c r="E20" s="24"/>
      <c r="F20" s="25"/>
      <c r="G20" s="26"/>
    </row>
    <row r="21" spans="1:7" outlineLevel="1" x14ac:dyDescent="0.3">
      <c r="A21" s="46" t="s">
        <v>41</v>
      </c>
      <c r="B21" s="144" t="s">
        <v>154</v>
      </c>
      <c r="C21" s="69">
        <v>0.5</v>
      </c>
      <c r="D21" s="66"/>
      <c r="E21" s="24"/>
      <c r="F21" s="25"/>
      <c r="G21" s="26"/>
    </row>
    <row r="22" spans="1:7" outlineLevel="1" x14ac:dyDescent="0.3">
      <c r="A22" s="46" t="s">
        <v>41</v>
      </c>
      <c r="B22" s="208" t="s">
        <v>160</v>
      </c>
      <c r="C22" s="31">
        <v>2</v>
      </c>
      <c r="D22" s="31"/>
      <c r="E22" s="24"/>
      <c r="F22" s="25"/>
      <c r="G22" s="26"/>
    </row>
    <row r="23" spans="1:7" outlineLevel="1" x14ac:dyDescent="0.3">
      <c r="A23" s="46" t="s">
        <v>41</v>
      </c>
      <c r="B23" s="209" t="s">
        <v>161</v>
      </c>
      <c r="C23" s="31">
        <v>1</v>
      </c>
      <c r="D23" s="31"/>
      <c r="E23" s="24"/>
      <c r="F23" s="25"/>
      <c r="G23" s="26"/>
    </row>
    <row r="24" spans="1:7" outlineLevel="1" x14ac:dyDescent="0.3">
      <c r="A24" s="46" t="s">
        <v>41</v>
      </c>
      <c r="B24" s="31" t="s">
        <v>162</v>
      </c>
      <c r="C24" s="31">
        <v>1</v>
      </c>
      <c r="D24" s="31"/>
      <c r="E24" s="24"/>
      <c r="F24" s="25"/>
      <c r="G24" s="26"/>
    </row>
    <row r="25" spans="1:7" x14ac:dyDescent="0.3">
      <c r="A25" s="22" t="s">
        <v>42</v>
      </c>
      <c r="B25" s="206"/>
      <c r="C25" s="207">
        <f>SUM(C26:C31)</f>
        <v>9</v>
      </c>
      <c r="D25" s="49">
        <v>9</v>
      </c>
      <c r="E25" s="59"/>
      <c r="G25" s="26"/>
    </row>
    <row r="26" spans="1:7" ht="15.6" outlineLevel="1" x14ac:dyDescent="0.3">
      <c r="A26" s="46" t="s">
        <v>42</v>
      </c>
      <c r="B26" s="163" t="s">
        <v>59</v>
      </c>
      <c r="C26" s="31">
        <v>3</v>
      </c>
      <c r="D26" s="204"/>
      <c r="E26" s="24"/>
      <c r="G26" s="26"/>
    </row>
    <row r="27" spans="1:7" outlineLevel="1" x14ac:dyDescent="0.3">
      <c r="A27" s="46" t="s">
        <v>42</v>
      </c>
      <c r="B27" s="208" t="s">
        <v>163</v>
      </c>
      <c r="C27" s="31">
        <v>2</v>
      </c>
      <c r="D27" s="205"/>
      <c r="E27" s="24"/>
      <c r="F27" s="36"/>
      <c r="G27" s="26"/>
    </row>
    <row r="28" spans="1:7" outlineLevel="1" x14ac:dyDescent="0.3">
      <c r="A28" s="46" t="s">
        <v>42</v>
      </c>
      <c r="B28" s="209" t="s">
        <v>80</v>
      </c>
      <c r="C28" s="31">
        <v>2</v>
      </c>
      <c r="D28" s="205"/>
      <c r="E28" s="24"/>
      <c r="F28" s="36"/>
      <c r="G28" s="26"/>
    </row>
    <row r="29" spans="1:7" outlineLevel="1" x14ac:dyDescent="0.3">
      <c r="A29" s="46" t="s">
        <v>42</v>
      </c>
      <c r="B29" s="197" t="s">
        <v>77</v>
      </c>
      <c r="C29" s="210">
        <v>2</v>
      </c>
      <c r="D29" s="205"/>
      <c r="E29" s="24"/>
      <c r="G29" s="25"/>
    </row>
    <row r="30" spans="1:7" outlineLevel="1" x14ac:dyDescent="0.3">
      <c r="A30" s="46" t="s">
        <v>42</v>
      </c>
      <c r="B30" s="35"/>
      <c r="C30" s="35"/>
      <c r="D30" s="205"/>
      <c r="E30" s="24"/>
      <c r="F30" s="36"/>
      <c r="G30" s="26"/>
    </row>
    <row r="31" spans="1:7" outlineLevel="1" x14ac:dyDescent="0.3">
      <c r="A31" s="46" t="s">
        <v>42</v>
      </c>
      <c r="B31" s="209"/>
      <c r="C31" s="31"/>
      <c r="D31" s="211"/>
      <c r="E31" s="24"/>
      <c r="F31" s="25"/>
      <c r="G31" s="25"/>
    </row>
    <row r="32" spans="1:7" x14ac:dyDescent="0.3">
      <c r="A32" s="46" t="s">
        <v>42</v>
      </c>
      <c r="B32" s="35"/>
      <c r="C32" s="35"/>
      <c r="D32" s="35"/>
    </row>
    <row r="33" spans="1:7" x14ac:dyDescent="0.3">
      <c r="A33" s="38" t="s">
        <v>43</v>
      </c>
      <c r="B33" s="48"/>
      <c r="C33" s="49">
        <f>SUM(C34:C39)</f>
        <v>9</v>
      </c>
      <c r="D33" s="49">
        <v>9</v>
      </c>
      <c r="E33" s="53"/>
      <c r="F33" s="25"/>
      <c r="G33" s="25"/>
    </row>
    <row r="34" spans="1:7" outlineLevel="1" x14ac:dyDescent="0.3">
      <c r="A34" s="33" t="s">
        <v>43</v>
      </c>
      <c r="B34" s="119"/>
      <c r="C34" s="39">
        <v>9</v>
      </c>
      <c r="D34" s="39"/>
      <c r="E34" s="24"/>
      <c r="F34" s="25"/>
      <c r="G34" s="25"/>
    </row>
    <row r="35" spans="1:7" outlineLevel="1" x14ac:dyDescent="0.3">
      <c r="A35" s="33" t="s">
        <v>43</v>
      </c>
      <c r="B35" s="102"/>
      <c r="C35" s="39"/>
      <c r="D35" s="39"/>
      <c r="E35" s="24"/>
      <c r="F35" s="25"/>
      <c r="G35" s="25"/>
    </row>
    <row r="36" spans="1:7" outlineLevel="1" x14ac:dyDescent="0.3">
      <c r="A36" s="33" t="s">
        <v>43</v>
      </c>
      <c r="B36" s="100"/>
      <c r="C36" s="89"/>
      <c r="D36" s="39"/>
      <c r="E36" s="24"/>
      <c r="F36" s="25"/>
      <c r="G36" s="25"/>
    </row>
    <row r="37" spans="1:7" outlineLevel="1" x14ac:dyDescent="0.3">
      <c r="A37" s="33" t="s">
        <v>43</v>
      </c>
      <c r="B37" s="39"/>
      <c r="C37" s="39"/>
      <c r="D37" s="39"/>
      <c r="E37" s="24"/>
      <c r="F37" s="25"/>
      <c r="G37" s="25"/>
    </row>
    <row r="38" spans="1:7" outlineLevel="1" x14ac:dyDescent="0.3">
      <c r="A38" s="33" t="s">
        <v>43</v>
      </c>
      <c r="B38" s="39"/>
      <c r="C38" s="39"/>
      <c r="D38" s="39"/>
      <c r="E38" s="24"/>
      <c r="F38" s="25"/>
      <c r="G38" s="25"/>
    </row>
    <row r="39" spans="1:7" outlineLevel="1" x14ac:dyDescent="0.3">
      <c r="A39" s="33" t="s">
        <v>43</v>
      </c>
      <c r="B39" s="39"/>
      <c r="C39" s="39"/>
      <c r="D39" s="39"/>
      <c r="E39" s="93"/>
      <c r="F39" s="25"/>
      <c r="G39" s="25"/>
    </row>
    <row r="40" spans="1:7" x14ac:dyDescent="0.3">
      <c r="A40" s="38" t="s">
        <v>44</v>
      </c>
      <c r="B40" s="38"/>
      <c r="C40" s="23">
        <f>SUM(C41:C46)</f>
        <v>9</v>
      </c>
      <c r="D40" s="49">
        <v>9</v>
      </c>
      <c r="E40" s="94"/>
    </row>
    <row r="41" spans="1:7" outlineLevel="1" x14ac:dyDescent="0.3">
      <c r="A41" s="39" t="s">
        <v>44</v>
      </c>
      <c r="B41" s="3" t="s">
        <v>87</v>
      </c>
      <c r="C41" s="39">
        <v>9</v>
      </c>
      <c r="D41" s="39"/>
      <c r="E41" s="95"/>
    </row>
    <row r="42" spans="1:7" outlineLevel="1" x14ac:dyDescent="0.3">
      <c r="A42" s="39" t="s">
        <v>44</v>
      </c>
      <c r="B42" s="98"/>
      <c r="C42" s="39"/>
      <c r="D42" s="39"/>
      <c r="E42" s="95"/>
    </row>
    <row r="43" spans="1:7" outlineLevel="1" x14ac:dyDescent="0.3">
      <c r="A43" s="39" t="s">
        <v>44</v>
      </c>
      <c r="B43" s="3"/>
      <c r="C43" s="39"/>
      <c r="D43" s="39"/>
      <c r="E43" s="95"/>
    </row>
    <row r="44" spans="1:7" outlineLevel="1" x14ac:dyDescent="0.3">
      <c r="A44" s="39" t="s">
        <v>44</v>
      </c>
      <c r="B44" s="97"/>
      <c r="C44" s="28"/>
      <c r="D44" s="39"/>
      <c r="E44" s="95"/>
    </row>
    <row r="45" spans="1:7" outlineLevel="1" x14ac:dyDescent="0.3">
      <c r="A45" s="39" t="s">
        <v>44</v>
      </c>
      <c r="B45" s="2"/>
      <c r="C45" s="39"/>
      <c r="D45" s="39"/>
      <c r="E45" s="19"/>
    </row>
    <row r="46" spans="1:7" outlineLevel="1" x14ac:dyDescent="0.3">
      <c r="A46" s="39" t="s">
        <v>44</v>
      </c>
      <c r="B46" s="39"/>
      <c r="C46" s="39"/>
      <c r="D46" s="39"/>
      <c r="E46" s="19"/>
    </row>
    <row r="47" spans="1:7" x14ac:dyDescent="0.3">
      <c r="A47" s="22" t="s">
        <v>45</v>
      </c>
      <c r="B47" s="40"/>
      <c r="C47" s="23">
        <f>SUM(C48:C53)</f>
        <v>4.5</v>
      </c>
      <c r="D47" s="49">
        <v>3.5</v>
      </c>
      <c r="E47" s="94"/>
    </row>
    <row r="48" spans="1:7" ht="15.6" outlineLevel="1" x14ac:dyDescent="0.3">
      <c r="A48" s="27" t="s">
        <v>45</v>
      </c>
      <c r="B48" s="162" t="s">
        <v>57</v>
      </c>
      <c r="C48" s="28">
        <v>2</v>
      </c>
      <c r="D48" s="29"/>
      <c r="E48" s="19"/>
    </row>
    <row r="49" spans="1:16" outlineLevel="1" x14ac:dyDescent="0.3">
      <c r="A49" s="27" t="s">
        <v>45</v>
      </c>
      <c r="B49" s="161" t="s">
        <v>158</v>
      </c>
      <c r="C49" s="28">
        <v>1.5</v>
      </c>
      <c r="D49" s="29"/>
      <c r="E49" s="19"/>
    </row>
    <row r="50" spans="1:16" outlineLevel="1" x14ac:dyDescent="0.3">
      <c r="A50" s="46" t="s">
        <v>45</v>
      </c>
      <c r="B50" s="187" t="s">
        <v>184</v>
      </c>
      <c r="C50" s="15">
        <v>1</v>
      </c>
      <c r="D50" s="29"/>
      <c r="E50" s="19"/>
    </row>
    <row r="51" spans="1:16" outlineLevel="1" x14ac:dyDescent="0.3">
      <c r="A51" s="27" t="s">
        <v>45</v>
      </c>
      <c r="B51" s="13"/>
      <c r="C51" s="28"/>
      <c r="D51" s="29"/>
      <c r="E51" s="19"/>
    </row>
    <row r="52" spans="1:16" outlineLevel="1" x14ac:dyDescent="0.3">
      <c r="A52" s="27" t="s">
        <v>45</v>
      </c>
      <c r="B52" s="28"/>
      <c r="C52" s="28"/>
      <c r="D52" s="28"/>
    </row>
    <row r="53" spans="1:16" outlineLevel="1" x14ac:dyDescent="0.3">
      <c r="A53" s="27" t="s">
        <v>45</v>
      </c>
      <c r="B53" s="28"/>
      <c r="C53" s="28"/>
      <c r="D53" s="28"/>
    </row>
    <row r="54" spans="1:16" x14ac:dyDescent="0.3">
      <c r="A54" s="22" t="s">
        <v>46</v>
      </c>
      <c r="B54" s="38"/>
      <c r="C54" s="23">
        <f>SUM(C55:C60)</f>
        <v>9</v>
      </c>
      <c r="D54" s="49">
        <v>9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 ht="28.8" outlineLevel="1" x14ac:dyDescent="0.3">
      <c r="A55" s="33" t="s">
        <v>46</v>
      </c>
      <c r="B55" s="150" t="s">
        <v>144</v>
      </c>
      <c r="C55" s="39">
        <v>9</v>
      </c>
      <c r="D55" s="39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</row>
    <row r="56" spans="1:16" outlineLevel="1" x14ac:dyDescent="0.3">
      <c r="A56" s="33" t="s">
        <v>46</v>
      </c>
      <c r="B56" s="99"/>
      <c r="C56" s="39"/>
      <c r="D56" s="39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1:16" outlineLevel="1" x14ac:dyDescent="0.3">
      <c r="A57" s="33" t="s">
        <v>46</v>
      </c>
      <c r="B57" s="101"/>
      <c r="C57" s="41"/>
      <c r="D57" s="39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6" outlineLevel="1" x14ac:dyDescent="0.3">
      <c r="A58" s="33" t="s">
        <v>46</v>
      </c>
      <c r="B58" s="54"/>
      <c r="C58" s="39"/>
      <c r="D58" s="34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6" outlineLevel="1" x14ac:dyDescent="0.3">
      <c r="A59" s="33" t="s">
        <v>46</v>
      </c>
      <c r="B59" s="42"/>
      <c r="C59" s="39"/>
      <c r="D59" s="34"/>
      <c r="E59" s="96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 spans="1:16" outlineLevel="1" x14ac:dyDescent="0.3">
      <c r="A60" s="33" t="s">
        <v>46</v>
      </c>
      <c r="B60" s="41"/>
      <c r="C60" s="39"/>
      <c r="D60" s="39"/>
      <c r="E60" s="96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 spans="1:16" x14ac:dyDescent="0.3">
      <c r="A61" s="22" t="s">
        <v>47</v>
      </c>
      <c r="B61" s="43"/>
      <c r="C61" s="23">
        <f>SUM(C62:C67)</f>
        <v>9</v>
      </c>
      <c r="D61" s="49">
        <v>9</v>
      </c>
      <c r="E61" s="96"/>
      <c r="F61" s="25"/>
      <c r="G61" s="25"/>
      <c r="H61" s="25"/>
      <c r="I61" s="25"/>
      <c r="J61" s="25"/>
      <c r="K61" s="44"/>
      <c r="L61" s="25"/>
      <c r="M61" s="25"/>
      <c r="N61" s="25"/>
      <c r="O61" s="25"/>
      <c r="P61" s="25"/>
    </row>
    <row r="62" spans="1:16" outlineLevel="1" x14ac:dyDescent="0.3">
      <c r="A62" s="27" t="s">
        <v>47</v>
      </c>
      <c r="B62" s="106" t="s">
        <v>95</v>
      </c>
      <c r="C62" s="45">
        <v>2</v>
      </c>
      <c r="D62" s="39"/>
      <c r="E62" s="96"/>
      <c r="F62" s="25"/>
      <c r="G62" s="25"/>
      <c r="H62" s="25"/>
      <c r="I62" s="25"/>
      <c r="J62" s="25"/>
      <c r="K62" s="44"/>
      <c r="L62" s="25"/>
      <c r="M62" s="25"/>
      <c r="N62" s="25"/>
      <c r="O62" s="25"/>
      <c r="P62" s="25"/>
    </row>
    <row r="63" spans="1:16" outlineLevel="1" x14ac:dyDescent="0.3">
      <c r="A63" s="46" t="s">
        <v>47</v>
      </c>
      <c r="B63" s="106" t="s">
        <v>96</v>
      </c>
      <c r="C63" s="88">
        <v>2</v>
      </c>
      <c r="D63" s="39"/>
      <c r="E63" s="96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spans="1:16" outlineLevel="1" x14ac:dyDescent="0.3">
      <c r="A64" s="46" t="s">
        <v>47</v>
      </c>
      <c r="B64" s="141" t="s">
        <v>146</v>
      </c>
      <c r="C64" s="35">
        <v>2</v>
      </c>
      <c r="D64" s="39"/>
      <c r="E64" s="96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spans="1:16" outlineLevel="1" x14ac:dyDescent="0.3">
      <c r="A65" s="27" t="s">
        <v>47</v>
      </c>
      <c r="B65" s="141" t="s">
        <v>140</v>
      </c>
      <c r="C65" s="92">
        <v>3</v>
      </c>
      <c r="D65" s="29"/>
      <c r="E65" s="96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outlineLevel="1" x14ac:dyDescent="0.3">
      <c r="A66" s="27" t="s">
        <v>47</v>
      </c>
      <c r="B66" s="39"/>
      <c r="C66" s="28"/>
      <c r="D66" s="29"/>
      <c r="E66" s="96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</row>
    <row r="67" spans="1:16" outlineLevel="1" x14ac:dyDescent="0.3">
      <c r="A67" s="27" t="s">
        <v>47</v>
      </c>
      <c r="B67" s="37"/>
      <c r="C67" s="28"/>
      <c r="D67" s="28"/>
      <c r="E67" s="96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</row>
    <row r="68" spans="1:16" x14ac:dyDescent="0.3">
      <c r="A68" s="22" t="s">
        <v>48</v>
      </c>
      <c r="B68" s="43"/>
      <c r="C68" s="23">
        <f>SUM(C69:C76)</f>
        <v>6</v>
      </c>
      <c r="D68" s="23">
        <v>6</v>
      </c>
    </row>
    <row r="69" spans="1:16" outlineLevel="1" x14ac:dyDescent="0.3">
      <c r="A69" s="27" t="s">
        <v>48</v>
      </c>
      <c r="B69" s="229" t="s">
        <v>121</v>
      </c>
      <c r="C69" s="28">
        <v>2</v>
      </c>
      <c r="D69" s="39"/>
    </row>
    <row r="70" spans="1:16" outlineLevel="1" x14ac:dyDescent="0.3">
      <c r="A70" s="46" t="s">
        <v>48</v>
      </c>
      <c r="B70" s="230" t="s">
        <v>78</v>
      </c>
      <c r="C70" s="69">
        <v>1</v>
      </c>
      <c r="D70" s="39"/>
    </row>
    <row r="71" spans="1:16" outlineLevel="1" x14ac:dyDescent="0.3">
      <c r="A71" s="46" t="s">
        <v>48</v>
      </c>
      <c r="B71" s="208" t="s">
        <v>138</v>
      </c>
      <c r="C71" s="69">
        <v>0.5</v>
      </c>
      <c r="D71" s="29"/>
    </row>
    <row r="72" spans="1:16" outlineLevel="1" x14ac:dyDescent="0.3">
      <c r="A72" s="46" t="s">
        <v>48</v>
      </c>
      <c r="B72" s="209" t="s">
        <v>81</v>
      </c>
      <c r="C72" s="212">
        <v>2</v>
      </c>
      <c r="D72" s="28"/>
    </row>
    <row r="73" spans="1:16" outlineLevel="1" x14ac:dyDescent="0.3">
      <c r="A73" s="27" t="s">
        <v>48</v>
      </c>
      <c r="B73" s="16" t="s">
        <v>24</v>
      </c>
      <c r="C73" s="28">
        <v>0.5</v>
      </c>
      <c r="D73" s="28"/>
    </row>
    <row r="74" spans="1:16" outlineLevel="1" x14ac:dyDescent="0.3">
      <c r="A74" s="27" t="s">
        <v>48</v>
      </c>
      <c r="B74" s="197" t="s">
        <v>77</v>
      </c>
      <c r="C74" s="28"/>
      <c r="D74" s="28"/>
    </row>
    <row r="75" spans="1:16" outlineLevel="1" x14ac:dyDescent="0.3">
      <c r="A75" s="27" t="s">
        <v>48</v>
      </c>
      <c r="B75" s="31" t="s">
        <v>162</v>
      </c>
      <c r="C75" s="28"/>
      <c r="D75" s="28"/>
    </row>
    <row r="76" spans="1:16" outlineLevel="1" x14ac:dyDescent="0.3">
      <c r="C76" s="28"/>
      <c r="D76" s="28"/>
    </row>
    <row r="77" spans="1:16" x14ac:dyDescent="0.3">
      <c r="A77" s="22" t="s">
        <v>49</v>
      </c>
      <c r="B77" s="103"/>
      <c r="C77" s="23">
        <f>SUM(C78:C83)</f>
        <v>9</v>
      </c>
      <c r="D77" s="23">
        <v>9</v>
      </c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spans="1:16" outlineLevel="1" x14ac:dyDescent="0.3">
      <c r="A78" s="27" t="s">
        <v>49</v>
      </c>
      <c r="B78" s="225" t="s">
        <v>145</v>
      </c>
      <c r="C78" s="27">
        <v>1</v>
      </c>
      <c r="D78" s="39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outlineLevel="1" x14ac:dyDescent="0.3">
      <c r="A79" s="27" t="s">
        <v>49</v>
      </c>
      <c r="B79" s="3" t="s">
        <v>31</v>
      </c>
      <c r="C79" s="33">
        <v>3</v>
      </c>
      <c r="D79" s="39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spans="1:16" outlineLevel="1" x14ac:dyDescent="0.3">
      <c r="A80" s="27" t="s">
        <v>49</v>
      </c>
      <c r="B80" s="226" t="s">
        <v>153</v>
      </c>
      <c r="C80" s="33">
        <v>2.5</v>
      </c>
      <c r="D80" s="39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1:16" outlineLevel="1" x14ac:dyDescent="0.3">
      <c r="A81" s="27" t="s">
        <v>49</v>
      </c>
      <c r="B81" s="226" t="s">
        <v>157</v>
      </c>
      <c r="C81" s="33">
        <v>2.5</v>
      </c>
      <c r="D81" s="27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1:16" outlineLevel="1" x14ac:dyDescent="0.3">
      <c r="A82" s="27" t="s">
        <v>49</v>
      </c>
      <c r="B82" s="33"/>
      <c r="C82" s="27"/>
      <c r="D82" s="27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spans="1:16" outlineLevel="1" x14ac:dyDescent="0.3">
      <c r="A83" s="27" t="s">
        <v>49</v>
      </c>
      <c r="B83" s="27"/>
      <c r="C83" s="27"/>
      <c r="D83" s="27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6" x14ac:dyDescent="0.3">
      <c r="A84" s="22" t="s">
        <v>50</v>
      </c>
      <c r="B84" s="91"/>
      <c r="C84" s="62">
        <f>SUM(C85:C92)</f>
        <v>9</v>
      </c>
      <c r="D84" s="23">
        <v>9</v>
      </c>
      <c r="E84" s="53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spans="1:16" outlineLevel="1" x14ac:dyDescent="0.3">
      <c r="A85" s="46" t="s">
        <v>50</v>
      </c>
      <c r="B85" s="226" t="s">
        <v>170</v>
      </c>
      <c r="C85" s="31">
        <v>0.5</v>
      </c>
      <c r="D85" s="39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outlineLevel="1" x14ac:dyDescent="0.3">
      <c r="A86" s="46" t="s">
        <v>50</v>
      </c>
      <c r="B86" s="231" t="s">
        <v>167</v>
      </c>
      <c r="C86" s="31">
        <v>0.5</v>
      </c>
      <c r="D86" s="39"/>
    </row>
    <row r="87" spans="1:16" outlineLevel="1" x14ac:dyDescent="0.3">
      <c r="A87" s="46" t="s">
        <v>50</v>
      </c>
      <c r="B87" s="226" t="s">
        <v>153</v>
      </c>
      <c r="C87" s="35">
        <v>2</v>
      </c>
      <c r="D87" s="39"/>
    </row>
    <row r="88" spans="1:16" outlineLevel="1" x14ac:dyDescent="0.3">
      <c r="A88" s="46" t="s">
        <v>50</v>
      </c>
      <c r="B88" s="3" t="s">
        <v>168</v>
      </c>
      <c r="C88" s="31">
        <v>2</v>
      </c>
      <c r="D88" s="39"/>
    </row>
    <row r="89" spans="1:16" outlineLevel="1" x14ac:dyDescent="0.3">
      <c r="A89" s="46" t="s">
        <v>50</v>
      </c>
      <c r="B89" s="3" t="s">
        <v>169</v>
      </c>
      <c r="C89" s="31">
        <v>3</v>
      </c>
      <c r="D89" s="39"/>
    </row>
    <row r="90" spans="1:16" outlineLevel="1" x14ac:dyDescent="0.3">
      <c r="A90" s="46" t="s">
        <v>50</v>
      </c>
      <c r="B90" s="226" t="s">
        <v>100</v>
      </c>
      <c r="C90" s="35">
        <v>1</v>
      </c>
      <c r="D90" s="90"/>
    </row>
    <row r="91" spans="1:16" outlineLevel="1" x14ac:dyDescent="0.3">
      <c r="A91" s="46" t="s">
        <v>50</v>
      </c>
      <c r="B91" s="35"/>
      <c r="D91" s="31"/>
    </row>
    <row r="92" spans="1:16" outlineLevel="1" x14ac:dyDescent="0.3">
      <c r="A92" s="46" t="s">
        <v>50</v>
      </c>
      <c r="B92" s="47"/>
      <c r="C92" s="31"/>
      <c r="D92" s="31"/>
    </row>
    <row r="93" spans="1:16" x14ac:dyDescent="0.3">
      <c r="A93" s="22" t="s">
        <v>51</v>
      </c>
      <c r="B93" s="48"/>
      <c r="C93" s="49">
        <v>3</v>
      </c>
      <c r="D93" s="49">
        <v>3</v>
      </c>
    </row>
    <row r="94" spans="1:16" outlineLevel="1" x14ac:dyDescent="0.3">
      <c r="A94" s="27" t="s">
        <v>51</v>
      </c>
      <c r="B94" s="131" t="s">
        <v>110</v>
      </c>
      <c r="C94" s="28">
        <v>0.5</v>
      </c>
      <c r="D94" s="29"/>
    </row>
    <row r="95" spans="1:16" outlineLevel="1" x14ac:dyDescent="0.3">
      <c r="A95" s="27" t="s">
        <v>51</v>
      </c>
      <c r="B95" s="143" t="s">
        <v>152</v>
      </c>
      <c r="C95" s="102">
        <v>2</v>
      </c>
      <c r="D95" s="29"/>
    </row>
    <row r="96" spans="1:16" outlineLevel="1" x14ac:dyDescent="0.3">
      <c r="A96" s="33" t="s">
        <v>51</v>
      </c>
      <c r="B96" s="185" t="s">
        <v>164</v>
      </c>
      <c r="C96" s="187">
        <v>0.5</v>
      </c>
      <c r="D96" s="186"/>
    </row>
    <row r="97" spans="1:4" outlineLevel="1" x14ac:dyDescent="0.3">
      <c r="A97" s="27" t="s">
        <v>51</v>
      </c>
      <c r="B97" s="50"/>
      <c r="C97" s="92"/>
      <c r="D97" s="29"/>
    </row>
    <row r="98" spans="1:4" outlineLevel="1" x14ac:dyDescent="0.3">
      <c r="A98" s="27" t="s">
        <v>51</v>
      </c>
      <c r="B98" s="28"/>
      <c r="C98" s="28"/>
      <c r="D98" s="29"/>
    </row>
    <row r="99" spans="1:4" outlineLevel="1" x14ac:dyDescent="0.3">
      <c r="A99" s="27" t="s">
        <v>51</v>
      </c>
      <c r="B99" s="28"/>
      <c r="C99" s="28"/>
      <c r="D99" s="29"/>
    </row>
    <row r="100" spans="1:4" outlineLevel="1" x14ac:dyDescent="0.3">
      <c r="A100" s="27" t="s">
        <v>51</v>
      </c>
      <c r="C100" s="28"/>
      <c r="D100" s="29"/>
    </row>
    <row r="101" spans="1:4" x14ac:dyDescent="0.3">
      <c r="A101" s="22" t="s">
        <v>52</v>
      </c>
      <c r="B101" s="38"/>
      <c r="C101" s="23">
        <f>SUM(C102:C108)</f>
        <v>4</v>
      </c>
      <c r="D101" s="23">
        <v>4</v>
      </c>
    </row>
    <row r="102" spans="1:4" outlineLevel="1" x14ac:dyDescent="0.3">
      <c r="A102" s="27" t="s">
        <v>53</v>
      </c>
      <c r="B102" s="144" t="s">
        <v>159</v>
      </c>
      <c r="C102" s="28">
        <v>4</v>
      </c>
      <c r="D102" s="29"/>
    </row>
    <row r="103" spans="1:4" outlineLevel="1" x14ac:dyDescent="0.3">
      <c r="A103" s="33" t="s">
        <v>53</v>
      </c>
      <c r="B103" s="128"/>
      <c r="C103" s="28"/>
      <c r="D103" s="34"/>
    </row>
    <row r="104" spans="1:4" outlineLevel="1" x14ac:dyDescent="0.3">
      <c r="A104" s="27" t="s">
        <v>53</v>
      </c>
      <c r="B104" s="3"/>
      <c r="C104" s="28"/>
      <c r="D104" s="29"/>
    </row>
    <row r="105" spans="1:4" outlineLevel="1" x14ac:dyDescent="0.3">
      <c r="A105" s="27" t="s">
        <v>53</v>
      </c>
      <c r="B105" s="35"/>
      <c r="C105" s="28"/>
      <c r="D105" s="29"/>
    </row>
    <row r="106" spans="1:4" outlineLevel="1" x14ac:dyDescent="0.3">
      <c r="A106" s="27" t="s">
        <v>53</v>
      </c>
      <c r="B106" s="35"/>
      <c r="C106" s="28"/>
      <c r="D106" s="29"/>
    </row>
    <row r="107" spans="1:4" outlineLevel="1" x14ac:dyDescent="0.3">
      <c r="A107" s="27" t="s">
        <v>53</v>
      </c>
      <c r="B107" s="28"/>
      <c r="C107" s="28"/>
      <c r="D107" s="29"/>
    </row>
    <row r="108" spans="1:4" outlineLevel="1" x14ac:dyDescent="0.3">
      <c r="A108" s="27" t="s">
        <v>53</v>
      </c>
      <c r="B108" s="28"/>
      <c r="C108" s="28"/>
      <c r="D108" s="29"/>
    </row>
    <row r="109" spans="1:4" x14ac:dyDescent="0.3">
      <c r="A109" s="60" t="s">
        <v>54</v>
      </c>
      <c r="B109" s="61"/>
      <c r="C109" s="62">
        <f>SUM(C110:C116)</f>
        <v>4</v>
      </c>
      <c r="D109" s="62">
        <v>4</v>
      </c>
    </row>
    <row r="110" spans="1:4" outlineLevel="1" x14ac:dyDescent="0.3">
      <c r="A110" s="63" t="s">
        <v>54</v>
      </c>
      <c r="B110" s="129" t="s">
        <v>33</v>
      </c>
      <c r="C110" s="88">
        <v>1</v>
      </c>
      <c r="D110" s="35"/>
    </row>
    <row r="111" spans="1:4" outlineLevel="1" x14ac:dyDescent="0.3">
      <c r="A111" s="63" t="s">
        <v>54</v>
      </c>
      <c r="B111" s="140" t="s">
        <v>139</v>
      </c>
      <c r="C111" s="28">
        <v>1</v>
      </c>
      <c r="D111" s="35"/>
    </row>
    <row r="112" spans="1:4" outlineLevel="1" x14ac:dyDescent="0.3">
      <c r="A112" s="63" t="s">
        <v>54</v>
      </c>
      <c r="B112" s="31" t="s">
        <v>185</v>
      </c>
      <c r="C112" s="88">
        <v>2</v>
      </c>
      <c r="D112" s="35"/>
    </row>
    <row r="113" spans="1:4" outlineLevel="1" x14ac:dyDescent="0.3">
      <c r="A113" s="63" t="s">
        <v>54</v>
      </c>
      <c r="B113" s="17"/>
      <c r="D113" s="35"/>
    </row>
    <row r="114" spans="1:4" outlineLevel="1" x14ac:dyDescent="0.3">
      <c r="A114" s="63" t="s">
        <v>54</v>
      </c>
      <c r="B114" s="31"/>
      <c r="C114" s="35"/>
      <c r="D114" s="35"/>
    </row>
    <row r="115" spans="1:4" outlineLevel="1" x14ac:dyDescent="0.3">
      <c r="A115" s="63" t="s">
        <v>54</v>
      </c>
      <c r="B115" s="31"/>
      <c r="C115" s="35"/>
      <c r="D115" s="35"/>
    </row>
    <row r="116" spans="1:4" outlineLevel="1" x14ac:dyDescent="0.3">
      <c r="A116" s="63" t="s">
        <v>54</v>
      </c>
      <c r="B116" s="35"/>
      <c r="C116" s="35"/>
      <c r="D116" s="35"/>
    </row>
  </sheetData>
  <autoFilter ref="A1:D31" xr:uid="{4A03BF7E-F705-4BFE-92E4-F661F353AB7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Бэклог 2СС.6С</vt:lpstr>
      <vt:lpstr>Задачи 2СС.6С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Шурыгин Андрей Николаевич</dc:creator>
  <cp:lastModifiedBy>Бобокалонов Артем Владимирович</cp:lastModifiedBy>
  <dcterms:created xsi:type="dcterms:W3CDTF">2025-11-01T05:54:57Z</dcterms:created>
  <dcterms:modified xsi:type="dcterms:W3CDTF">2026-06-26T08:02:59Z</dcterms:modified>
</cp:coreProperties>
</file>