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p0-nm02-vdil-16.region.vtb.ru\fr16\UserFolders\vtb70263041\Desktop\DADM\БК 2027\"/>
    </mc:Choice>
  </mc:AlternateContent>
  <bookViews>
    <workbookView xWindow="0" yWindow="0" windowWidth="24276" windowHeight="12432" firstSheet="1" activeTab="2"/>
  </bookViews>
  <sheets>
    <sheet name="Свод" sheetId="1" state="hidden" r:id="rId1"/>
    <sheet name="Правила заполнения" sheetId="2" r:id="rId2"/>
    <sheet name="Оценка Инициативы" sheetId="3" r:id="rId3"/>
    <sheet name="Опросник" sheetId="4" state="hidden" r:id="rId4"/>
    <sheet name="Тип задач" sheetId="5" state="hidden" r:id="rId5"/>
    <sheet name="Стримы" sheetId="6" state="hidden" r:id="rId6"/>
    <sheet name="Задачи" sheetId="7" r:id="rId7"/>
    <sheet name="Департаменты" sheetId="8" r:id="rId8"/>
    <sheet name="Лицензионные ИС" sheetId="9" r:id="rId9"/>
    <sheet name="Оборудование" sheetId="10" r:id="rId10"/>
    <sheet name="Свод деп." sheetId="15" r:id="rId11"/>
    <sheet name="Статус" sheetId="11" state="hidden" r:id="rId12"/>
    <sheet name="Рабочие дни " sheetId="12" state="hidden" r:id="rId13"/>
    <sheet name="Стримы доля Иннотех" sheetId="13" state="hidden" r:id="rId14"/>
  </sheets>
  <externalReferences>
    <externalReference r:id="rId15"/>
    <externalReference r:id="rId16"/>
    <externalReference r:id="rId17"/>
  </externalReferences>
  <definedNames>
    <definedName name="_xlnm._FilterDatabase" localSheetId="8" hidden="1">'Лицензионные ИС'!$A$2:$C$519</definedName>
    <definedName name="_xlnm._FilterDatabase" localSheetId="2" hidden="1">'Оценка Инициативы'!$A$4:$AZ$626</definedName>
    <definedName name="_xlnm.Print_Area" localSheetId="1">'Правила заполнения'!$A$1:$A$43</definedName>
  </definedNames>
  <calcPr calcId="162913"/>
  <pivotCaches>
    <pivotCache cacheId="0" r:id="rId18"/>
    <pivotCache cacheId="1" r:id="rId19"/>
  </pivotCaches>
</workbook>
</file>

<file path=xl/calcChain.xml><?xml version="1.0" encoding="utf-8"?>
<calcChain xmlns="http://schemas.openxmlformats.org/spreadsheetml/2006/main">
  <c r="H556" i="3" l="1"/>
  <c r="E556" i="3"/>
  <c r="I531" i="3"/>
  <c r="I530" i="3"/>
  <c r="D15" i="13" l="1"/>
  <c r="C15" i="13"/>
  <c r="B15" i="13"/>
  <c r="E14" i="13"/>
  <c r="G14" i="13" s="1"/>
  <c r="G13" i="13"/>
  <c r="E13" i="13"/>
  <c r="F13" i="13" s="1"/>
  <c r="G12" i="13"/>
  <c r="F12" i="13"/>
  <c r="E12" i="13"/>
  <c r="F11" i="13"/>
  <c r="E11" i="13"/>
  <c r="G11" i="13" s="1"/>
  <c r="E10" i="13"/>
  <c r="G10" i="13" s="1"/>
  <c r="G9" i="13"/>
  <c r="E9" i="13"/>
  <c r="F9" i="13" s="1"/>
  <c r="G8" i="13"/>
  <c r="F8" i="13"/>
  <c r="E8" i="13"/>
  <c r="F7" i="13"/>
  <c r="E7" i="13"/>
  <c r="G7" i="13" s="1"/>
  <c r="E6" i="13"/>
  <c r="G6" i="13" s="1"/>
  <c r="G5" i="13"/>
  <c r="E5" i="13"/>
  <c r="F5" i="13" s="1"/>
  <c r="G4" i="13"/>
  <c r="F4" i="13"/>
  <c r="E4" i="13"/>
  <c r="F3" i="13"/>
  <c r="E3" i="13"/>
  <c r="E15" i="13" s="1"/>
  <c r="F15" i="13" s="1"/>
  <c r="F4" i="12"/>
  <c r="CD5" i="6"/>
  <c r="CC5" i="6"/>
  <c r="CB5" i="6"/>
  <c r="CA5" i="6"/>
  <c r="BZ5" i="6"/>
  <c r="BY5" i="6"/>
  <c r="BX5" i="6"/>
  <c r="BW5" i="6"/>
  <c r="BV5" i="6"/>
  <c r="BU5" i="6"/>
  <c r="BT5" i="6"/>
  <c r="BS5" i="6"/>
  <c r="BR5" i="6"/>
  <c r="BQ5" i="6"/>
  <c r="BP5" i="6"/>
  <c r="BO5" i="6"/>
  <c r="BN5" i="6"/>
  <c r="BM5" i="6"/>
  <c r="BL5" i="6"/>
  <c r="BK5" i="6"/>
  <c r="BJ5" i="6"/>
  <c r="BI5" i="6"/>
  <c r="BH5" i="6"/>
  <c r="BG5"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5" i="6"/>
  <c r="CD4" i="6"/>
  <c r="CC4" i="6"/>
  <c r="CB4" i="6"/>
  <c r="CA4" i="6"/>
  <c r="BZ4" i="6"/>
  <c r="BY4" i="6"/>
  <c r="BX4" i="6"/>
  <c r="BW4" i="6"/>
  <c r="BV4" i="6"/>
  <c r="BU4" i="6"/>
  <c r="BT4" i="6"/>
  <c r="BS4" i="6"/>
  <c r="BR4" i="6"/>
  <c r="BQ4" i="6"/>
  <c r="BP4" i="6"/>
  <c r="BO4" i="6"/>
  <c r="BN4" i="6"/>
  <c r="BM4" i="6"/>
  <c r="BL4" i="6"/>
  <c r="BK4" i="6"/>
  <c r="BJ4" i="6"/>
  <c r="BI4" i="6"/>
  <c r="BH4" i="6"/>
  <c r="BG4"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B4" i="6"/>
  <c r="G15" i="13" l="1"/>
  <c r="G3" i="13"/>
  <c r="F6" i="13"/>
  <c r="F10" i="13"/>
  <c r="F14" i="13"/>
</calcChain>
</file>

<file path=xl/comments1.xml><?xml version="1.0" encoding="utf-8"?>
<comments xmlns="http://schemas.openxmlformats.org/spreadsheetml/2006/main">
  <authors>
    <author/>
  </authors>
  <commentList>
    <comment ref="G3" authorId="0" shapeId="0">
      <text>
        <r>
          <rPr>
            <b/>
            <sz val="9"/>
            <color rgb="FF000000"/>
            <rFont val="Tahoma"/>
          </rPr>
          <t>Приоритет</t>
        </r>
        <r>
          <rPr>
            <sz val="9"/>
            <color rgb="FF000000"/>
            <rFont val="Tahoma"/>
          </rPr>
          <t>- это числовое значение (</t>
        </r>
        <r>
          <rPr>
            <b/>
            <sz val="9"/>
            <color rgb="FF000000"/>
            <rFont val="Tahoma"/>
          </rPr>
          <t>1</t>
        </r>
        <r>
          <rPr>
            <sz val="9"/>
            <color rgb="FF000000"/>
            <rFont val="Tahoma"/>
          </rPr>
          <t>-</t>
        </r>
        <r>
          <rPr>
            <b/>
            <sz val="9"/>
            <color rgb="FF000000"/>
            <rFont val="Tahoma"/>
          </rPr>
          <t>50</t>
        </r>
        <r>
          <rPr>
            <sz val="9"/>
            <color rgb="FF000000"/>
            <rFont val="Tahoma"/>
          </rPr>
          <t>), проставляется сквозной нумерацией внутри инициативы для того, чтобы была возможность быстрого отказа от низкоприоритетных задач.</t>
        </r>
        <r>
          <rPr>
            <sz val="11"/>
            <rFont val="Calibri"/>
          </rPr>
          <t xml:space="preserve">
</t>
        </r>
      </text>
    </comment>
    <comment ref="D4" authorId="0" shapeId="0">
      <text>
        <r>
          <rPr>
            <sz val="9"/>
            <color rgb="FF000000"/>
            <rFont val="Tahoma"/>
          </rPr>
          <t xml:space="preserve">Требуется указать направление моделирования / стрим, который внес задачу </t>
        </r>
        <r>
          <rPr>
            <sz val="11"/>
            <rFont val="Calibri"/>
          </rPr>
          <t xml:space="preserve">
</t>
        </r>
        <r>
          <rPr>
            <sz val="11"/>
            <rFont val="Calibri"/>
          </rPr>
          <t xml:space="preserve">
</t>
        </r>
        <r>
          <rPr>
            <sz val="9"/>
            <color rgb="FF000000"/>
            <rFont val="Tahoma"/>
          </rPr>
          <t>текстовое поле</t>
        </r>
      </text>
    </comment>
    <comment ref="E4" authorId="0" shapeId="0">
      <text>
        <r>
          <rPr>
            <sz val="9"/>
            <color rgb="FF000000"/>
            <rFont val="Tahoma"/>
          </rPr>
          <t>Требуется указать ФИО и подразделение Заказчика</t>
        </r>
        <r>
          <rPr>
            <sz val="11"/>
            <rFont val="Calibri"/>
          </rPr>
          <t xml:space="preserve">
</t>
        </r>
        <r>
          <rPr>
            <sz val="11"/>
            <rFont val="Calibri"/>
          </rPr>
          <t xml:space="preserve">
</t>
        </r>
        <r>
          <rPr>
            <sz val="9"/>
            <color rgb="FF000000"/>
            <rFont val="Tahoma"/>
          </rPr>
          <t>текстовое поле</t>
        </r>
      </text>
    </comment>
    <comment ref="F4" authorId="0" shapeId="0">
      <text>
        <r>
          <rPr>
            <sz val="9"/>
            <color rgb="FF000000"/>
            <rFont val="Tahoma"/>
          </rPr>
          <t>Требуется указать ГБЛ Заказчика</t>
        </r>
        <r>
          <rPr>
            <sz val="11"/>
            <rFont val="Calibri"/>
          </rPr>
          <t xml:space="preserve">
</t>
        </r>
        <r>
          <rPr>
            <sz val="11"/>
            <rFont val="Calibri"/>
          </rPr>
          <t xml:space="preserve">
</t>
        </r>
        <r>
          <rPr>
            <sz val="9"/>
            <color rgb="FF000000"/>
            <rFont val="Tahoma"/>
          </rPr>
          <t>текстовое поле</t>
        </r>
        <r>
          <rPr>
            <sz val="11"/>
            <rFont val="Calibri"/>
          </rPr>
          <t xml:space="preserve">
</t>
        </r>
      </text>
    </comment>
    <comment ref="G4" authorId="0" shapeId="0">
      <text>
        <r>
          <rPr>
            <sz val="9"/>
            <color rgb="FF000000"/>
            <rFont val="Tahoma"/>
          </rPr>
          <t>Сквозной приоритет задачи</t>
        </r>
      </text>
    </comment>
    <comment ref="H4" authorId="0" shapeId="0">
      <text>
        <r>
          <rPr>
            <sz val="9"/>
            <color rgb="FF000000"/>
            <rFont val="Tahoma"/>
          </rPr>
          <t>Требуется указать краткое название задачи, достаточное для понимания цели задачи</t>
        </r>
        <r>
          <rPr>
            <sz val="11"/>
            <rFont val="Calibri"/>
          </rPr>
          <t xml:space="preserve">
</t>
        </r>
        <r>
          <rPr>
            <sz val="11"/>
            <rFont val="Calibri"/>
          </rPr>
          <t xml:space="preserve">
</t>
        </r>
        <r>
          <rPr>
            <sz val="9"/>
            <color rgb="FF000000"/>
            <rFont val="Tahoma"/>
          </rPr>
          <t>текстовое поле</t>
        </r>
      </text>
    </comment>
    <comment ref="I4" authorId="0" shapeId="0">
      <text>
        <r>
          <rPr>
            <sz val="9"/>
            <color rgb="FF000000"/>
            <rFont val="Tahoma"/>
          </rPr>
          <t>Требуется указать краткое описание и цель реализации задачи</t>
        </r>
        <r>
          <rPr>
            <sz val="11"/>
            <rFont val="Calibri"/>
          </rPr>
          <t xml:space="preserve">
</t>
        </r>
        <r>
          <rPr>
            <sz val="11"/>
            <rFont val="Calibri"/>
          </rPr>
          <t xml:space="preserve">
</t>
        </r>
        <r>
          <rPr>
            <sz val="9"/>
            <color rgb="FF000000"/>
            <rFont val="Tahoma"/>
          </rPr>
          <t>текстовое поле</t>
        </r>
      </text>
    </comment>
    <comment ref="J4" authorId="0" shapeId="0">
      <text>
        <r>
          <rPr>
            <sz val="9"/>
            <color rgb="FF000000"/>
            <rFont val="Tahoma"/>
          </rPr>
          <t>Требуется выбрать тип задачи из выпадающего списка</t>
        </r>
      </text>
    </comment>
    <comment ref="K4" authorId="0" shapeId="0">
      <text>
        <r>
          <rPr>
            <b/>
            <sz val="9"/>
            <color rgb="FF000000"/>
            <rFont val="Tahoma"/>
          </rPr>
          <t>Глушков Роман Валерьевич:</t>
        </r>
        <r>
          <rPr>
            <sz val="11"/>
            <rFont val="Calibri"/>
          </rPr>
          <t xml:space="preserve">
</t>
        </r>
        <r>
          <rPr>
            <sz val="9"/>
            <color rgb="FF000000"/>
            <rFont val="Tahoma"/>
          </rPr>
          <t xml:space="preserve">требуется указать планируемое к разработке количество моделей для реализации задачи </t>
        </r>
        <r>
          <rPr>
            <sz val="11"/>
            <rFont val="Calibri"/>
          </rPr>
          <t xml:space="preserve">
</t>
        </r>
        <r>
          <rPr>
            <sz val="11"/>
            <rFont val="Calibri"/>
          </rPr>
          <t xml:space="preserve">
</t>
        </r>
        <r>
          <rPr>
            <sz val="9"/>
            <color rgb="FF000000"/>
            <rFont val="Tahoma"/>
          </rPr>
          <t>числовое поле</t>
        </r>
      </text>
    </comment>
    <comment ref="L4" authorId="0" shapeId="0">
      <text>
        <r>
          <rPr>
            <sz val="9"/>
            <color rgb="FF000000"/>
            <rFont val="Tahoma"/>
          </rPr>
          <t>требуется выбрать из выпдающего списка оценку наличия готовых промышленных витрин</t>
        </r>
      </text>
    </comment>
    <comment ref="M4" authorId="0" shapeId="0">
      <text>
        <r>
          <rPr>
            <sz val="9"/>
            <color rgb="FF000000"/>
            <rFont val="Tahoma"/>
          </rPr>
          <t>требуется выбрать из выпадающего списка оценку необходимости загрузки источников данных</t>
        </r>
      </text>
    </comment>
    <comment ref="N4" authorId="0" shapeId="0">
      <text>
        <r>
          <rPr>
            <sz val="9"/>
            <color rgb="FF000000"/>
            <rFont val="Tahoma"/>
          </rPr>
          <t>Требуется выбрать из выпадающего списка необходима ли для реализации задачи система автоматизированного машинного обучения (АutoML)</t>
        </r>
        <r>
          <rPr>
            <sz val="11"/>
            <rFont val="Calibri"/>
          </rPr>
          <t xml:space="preserve">
</t>
        </r>
      </text>
    </comment>
    <comment ref="O4" authorId="0" shapeId="0">
      <text>
        <r>
          <rPr>
            <sz val="9"/>
            <color rgb="FF000000"/>
            <rFont val="Tahoma"/>
          </rPr>
          <t>Требуется выбрать из выпадающего списка необходима ли продуктивизация модели</t>
        </r>
      </text>
    </comment>
    <comment ref="P4" authorId="0" shapeId="0">
      <text>
        <r>
          <rPr>
            <sz val="9"/>
            <color rgb="FF000000"/>
            <rFont val="Tahoma"/>
          </rPr>
          <t>требуется выбрать из выпадающего списка необходима ли постановка модели на мониторинг</t>
        </r>
      </text>
    </comment>
    <comment ref="Q4" authorId="0" shapeId="0">
      <text>
        <r>
          <rPr>
            <sz val="9"/>
            <color rgb="FF000000"/>
            <rFont val="Tahoma"/>
          </rPr>
          <t>требуется указать наименование Стрима, который будет выполнять работы</t>
        </r>
        <r>
          <rPr>
            <sz val="11"/>
            <rFont val="Calibri"/>
          </rPr>
          <t xml:space="preserve">
</t>
        </r>
        <r>
          <rPr>
            <sz val="11"/>
            <rFont val="Calibri"/>
          </rPr>
          <t xml:space="preserve">
</t>
        </r>
        <r>
          <rPr>
            <sz val="9"/>
            <color rgb="FF000000"/>
            <rFont val="Tahoma"/>
          </rPr>
          <t>текстовое поле</t>
        </r>
      </text>
    </comment>
    <comment ref="R4" authorId="0" shapeId="0">
      <text>
        <r>
          <rPr>
            <sz val="9"/>
            <color rgb="FF000000"/>
            <rFont val="Tahoma"/>
          </rPr>
          <t xml:space="preserve">требуется указать наименование кластера внутри стрима (при его наличии), который будет выполнять работы по реализации задачи. </t>
        </r>
        <r>
          <rPr>
            <sz val="11"/>
            <rFont val="Calibri"/>
          </rPr>
          <t xml:space="preserve">
</t>
        </r>
        <r>
          <rPr>
            <sz val="11"/>
            <rFont val="Calibri"/>
          </rPr>
          <t xml:space="preserve">
</t>
        </r>
        <r>
          <rPr>
            <sz val="9"/>
            <color rgb="FF000000"/>
            <rFont val="Tahoma"/>
          </rPr>
          <t>Текстовое поле</t>
        </r>
      </text>
    </comment>
    <comment ref="S4" authorId="0" shapeId="0">
      <text>
        <r>
          <rPr>
            <sz val="9"/>
            <color rgb="FF000000"/>
            <rFont val="Tahoma"/>
          </rPr>
          <t xml:space="preserve">требуется указать наименование команды внутри стрима, которая будет выполнять работы по реализации задачи. </t>
        </r>
        <r>
          <rPr>
            <sz val="11"/>
            <rFont val="Calibri"/>
          </rPr>
          <t xml:space="preserve">
</t>
        </r>
        <r>
          <rPr>
            <sz val="11"/>
            <rFont val="Calibri"/>
          </rPr>
          <t xml:space="preserve">
</t>
        </r>
        <r>
          <rPr>
            <sz val="9"/>
            <color rgb="FF000000"/>
            <rFont val="Tahoma"/>
          </rPr>
          <t>Текстовое поле</t>
        </r>
      </text>
    </comment>
    <comment ref="X4" authorId="0" shapeId="0">
      <text>
        <r>
          <rPr>
            <sz val="9"/>
            <color rgb="FF000000"/>
            <rFont val="Tahoma"/>
          </rPr>
          <t>требуется указать верхнеуровневую оценку трудозатрат на реализацию задачи, в чд</t>
        </r>
        <r>
          <rPr>
            <sz val="11"/>
            <rFont val="Calibri"/>
          </rPr>
          <t xml:space="preserve">
</t>
        </r>
        <r>
          <rPr>
            <sz val="11"/>
            <rFont val="Calibri"/>
          </rPr>
          <t xml:space="preserve">
</t>
        </r>
        <r>
          <rPr>
            <sz val="9"/>
            <color rgb="FF000000"/>
            <rFont val="Tahoma"/>
          </rPr>
          <t>числовое поле</t>
        </r>
        <r>
          <rPr>
            <sz val="11"/>
            <rFont val="Calibri"/>
          </rPr>
          <t xml:space="preserve">
</t>
        </r>
      </text>
    </comment>
  </commentList>
</comments>
</file>

<file path=xl/sharedStrings.xml><?xml version="1.0" encoding="utf-8"?>
<sst xmlns="http://schemas.openxmlformats.org/spreadsheetml/2006/main" count="6550" uniqueCount="1304">
  <si>
    <t>Инструкция для заполнения файла</t>
  </si>
  <si>
    <t>Остальные столбцы в части задач заполняются по необходимости.</t>
  </si>
  <si>
    <r>
      <t>1.</t>
    </r>
    <r>
      <rPr>
        <sz val="7"/>
        <color rgb="FF000000"/>
        <rFont val="Times New Roman"/>
      </rPr>
      <t xml:space="preserve">       </t>
    </r>
    <r>
      <rPr>
        <sz val="11"/>
        <color rgb="FF000000"/>
        <rFont val="Calibri"/>
      </rPr>
      <t>Требуется заполнить мастер файл.</t>
    </r>
  </si>
  <si>
    <r>
      <t>e.</t>
    </r>
    <r>
      <rPr>
        <b/>
        <sz val="7"/>
        <color rgb="FF000000"/>
        <rFont val="Times New Roman"/>
      </rPr>
      <t xml:space="preserve">       </t>
    </r>
    <r>
      <rPr>
        <b/>
        <sz val="11"/>
        <color rgb="FF000000"/>
        <rFont val="Calibri"/>
      </rPr>
      <t>НЕстандартное оборудование: наименование (продукта)</t>
    </r>
  </si>
  <si>
    <r>
      <t>c.</t>
    </r>
    <r>
      <rPr>
        <b/>
        <sz val="7"/>
        <color rgb="FF000000"/>
        <rFont val="Times New Roman"/>
      </rPr>
      <t xml:space="preserve">       </t>
    </r>
    <r>
      <rPr>
        <b/>
        <sz val="11"/>
        <color rgb="FF000000"/>
        <rFont val="Calibri"/>
      </rPr>
      <t xml:space="preserve">ГБЛ </t>
    </r>
  </si>
  <si>
    <r>
      <t>2.</t>
    </r>
    <r>
      <rPr>
        <sz val="7"/>
        <color rgb="FF000000"/>
        <rFont val="Times New Roman"/>
      </rPr>
      <t xml:space="preserve">       </t>
    </r>
    <r>
      <rPr>
        <sz val="11"/>
        <color rgb="FF000000"/>
        <rFont val="Calibri"/>
      </rPr>
      <t>Заполняется лист «Оценка Инициативы»</t>
    </r>
  </si>
  <si>
    <t>В части оборудования (оборудование указывается отдельно под инициативу):</t>
  </si>
  <si>
    <r>
      <t xml:space="preserve">Указывается требуемое для реализации инициативы наименование </t>
    </r>
    <r>
      <rPr>
        <u/>
        <sz val="11"/>
        <color rgb="FF000000"/>
        <rFont val="Calibri"/>
      </rPr>
      <t>НЕстандартного</t>
    </r>
    <r>
      <rPr>
        <sz val="11"/>
        <color rgb="FF000000"/>
        <rFont val="Calibri"/>
      </rPr>
      <t xml:space="preserve"> оборудования</t>
    </r>
  </si>
  <si>
    <r>
      <t>b.</t>
    </r>
    <r>
      <rPr>
        <b/>
        <sz val="7"/>
        <color rgb="FF000000"/>
        <rFont val="Times New Roman"/>
      </rPr>
      <t xml:space="preserve">      </t>
    </r>
    <r>
      <rPr>
        <b/>
        <sz val="11"/>
        <color rgb="FF000000"/>
        <rFont val="Calibri"/>
      </rPr>
      <t>Стандартное оборудование: количество (+ед. изм-я)</t>
    </r>
  </si>
  <si>
    <t>Требуется указать ГБЛ Заказчика</t>
  </si>
  <si>
    <r>
      <t>3.</t>
    </r>
    <r>
      <rPr>
        <b/>
        <sz val="7"/>
        <color rgb="FF000000"/>
        <rFont val="Times New Roman"/>
      </rPr>
      <t xml:space="preserve">       </t>
    </r>
    <r>
      <rPr>
        <sz val="11"/>
        <color rgb="FF000000"/>
        <rFont val="Calibri"/>
      </rPr>
      <t>Требуется заполнить следующие столбцы:</t>
    </r>
  </si>
  <si>
    <r>
      <t>f.</t>
    </r>
    <r>
      <rPr>
        <b/>
        <sz val="7"/>
        <color rgb="FF000000"/>
        <rFont val="Times New Roman"/>
      </rPr>
      <t xml:space="preserve">        </t>
    </r>
    <r>
      <rPr>
        <b/>
        <sz val="11"/>
        <color rgb="FF000000"/>
        <rFont val="Calibri"/>
      </rPr>
      <t xml:space="preserve">НЕстандартное оборудование: количество (+ед. изм-я) </t>
    </r>
  </si>
  <si>
    <r>
      <t>a.</t>
    </r>
    <r>
      <rPr>
        <b/>
        <sz val="7"/>
        <color rgb="FF000000"/>
        <rFont val="Times New Roman"/>
      </rPr>
      <t xml:space="preserve">       </t>
    </r>
    <r>
      <rPr>
        <b/>
        <sz val="11"/>
        <color rgb="FF000000"/>
        <rFont val="Calibri"/>
      </rPr>
      <t xml:space="preserve">Стандартное оборудование: наименование (продукта) </t>
    </r>
  </si>
  <si>
    <t>В части задач:</t>
  </si>
  <si>
    <r>
      <t>Указывается требуемое для реализации инициативы количество</t>
    </r>
    <r>
      <rPr>
        <u/>
        <sz val="11"/>
        <color rgb="FF000000"/>
        <rFont val="Calibri"/>
      </rPr>
      <t xml:space="preserve"> НЕстандартного</t>
    </r>
    <r>
      <rPr>
        <sz val="11"/>
        <color rgb="FF000000"/>
        <rFont val="Calibri"/>
      </rPr>
      <t xml:space="preserve"> оборудования</t>
    </r>
  </si>
  <si>
    <r>
      <t>d.</t>
    </r>
    <r>
      <rPr>
        <b/>
        <sz val="7"/>
        <color rgb="FF000000"/>
        <rFont val="Times New Roman"/>
      </rPr>
      <t xml:space="preserve">      </t>
    </r>
    <r>
      <rPr>
        <b/>
        <sz val="11"/>
        <color rgb="FF000000"/>
        <rFont val="Calibri"/>
      </rPr>
      <t>Приоритет задачи</t>
    </r>
  </si>
  <si>
    <r>
      <t xml:space="preserve">Указывается требуемое для реализации инициативы количество </t>
    </r>
    <r>
      <rPr>
        <u/>
        <sz val="11"/>
        <color rgb="FF000000"/>
        <rFont val="Calibri"/>
      </rPr>
      <t>стандартного</t>
    </r>
    <r>
      <rPr>
        <sz val="11"/>
        <color rgb="FF000000"/>
        <rFont val="Calibri"/>
      </rPr>
      <t xml:space="preserve"> оборудования</t>
    </r>
  </si>
  <si>
    <r>
      <t>a.</t>
    </r>
    <r>
      <rPr>
        <b/>
        <sz val="7"/>
        <color rgb="FF000000"/>
        <rFont val="Times New Roman"/>
      </rPr>
      <t xml:space="preserve">       </t>
    </r>
    <r>
      <rPr>
        <b/>
        <sz val="11"/>
        <color rgb="FF000000"/>
        <rFont val="Calibri"/>
      </rPr>
      <t>Направление моделирования/стрим, откуда поступила задача</t>
    </r>
  </si>
  <si>
    <r>
      <t xml:space="preserve">Указывается требуемое для реализации инициативы наименование </t>
    </r>
    <r>
      <rPr>
        <u/>
        <sz val="11"/>
        <color rgb="FF000000"/>
        <rFont val="Calibri"/>
      </rPr>
      <t>стандартного</t>
    </r>
    <r>
      <rPr>
        <sz val="11"/>
        <color rgb="FF000000"/>
        <rFont val="Calibri"/>
      </rPr>
      <t xml:space="preserve"> оборудования</t>
    </r>
  </si>
  <si>
    <r>
      <t>g.</t>
    </r>
    <r>
      <rPr>
        <b/>
        <sz val="7"/>
        <color rgb="FF000000"/>
        <rFont val="Times New Roman"/>
      </rPr>
      <t xml:space="preserve">       </t>
    </r>
    <r>
      <rPr>
        <b/>
        <sz val="11"/>
        <color rgb="FF000000"/>
        <rFont val="Calibri"/>
      </rPr>
      <t xml:space="preserve">НЕстандартное оборудование: стоимость             </t>
    </r>
  </si>
  <si>
    <t>Сквозной приоритет задачи</t>
  </si>
  <si>
    <t xml:space="preserve">Требуется указать направление моделиров / стрим, который внес задачу </t>
  </si>
  <si>
    <r>
      <t>c.</t>
    </r>
    <r>
      <rPr>
        <b/>
        <sz val="7"/>
        <color rgb="FF000000"/>
        <rFont val="Times New Roman"/>
      </rPr>
      <t xml:space="preserve">       </t>
    </r>
    <r>
      <rPr>
        <b/>
        <sz val="11"/>
        <color rgb="FF000000"/>
        <rFont val="Calibri"/>
      </rPr>
      <t xml:space="preserve">Стандартное оборудование: стоимость   </t>
    </r>
  </si>
  <si>
    <t>Требуется указать краткое название задачи, достаточное для понимания цели задачи</t>
  </si>
  <si>
    <r>
      <t>e.</t>
    </r>
    <r>
      <rPr>
        <b/>
        <sz val="7"/>
        <color rgb="FF000000"/>
        <rFont val="Times New Roman"/>
      </rPr>
      <t xml:space="preserve">       </t>
    </r>
    <r>
      <rPr>
        <b/>
        <sz val="11"/>
        <color rgb="FF000000"/>
        <rFont val="Calibri"/>
      </rPr>
      <t xml:space="preserve">Наименование задачи </t>
    </r>
  </si>
  <si>
    <r>
      <t>b.</t>
    </r>
    <r>
      <rPr>
        <sz val="7"/>
        <color rgb="FF000000"/>
        <rFont val="Times New Roman"/>
      </rPr>
      <t xml:space="preserve">       </t>
    </r>
    <r>
      <rPr>
        <b/>
        <sz val="11"/>
        <color rgb="FF000000"/>
        <rFont val="Calibri"/>
      </rPr>
      <t>Заказчик (фио, подразделение</t>
    </r>
    <r>
      <rPr>
        <sz val="11"/>
        <color rgb="FF000000"/>
        <rFont val="Calibri"/>
      </rPr>
      <t>)</t>
    </r>
  </si>
  <si>
    <r>
      <t>f.</t>
    </r>
    <r>
      <rPr>
        <b/>
        <sz val="7"/>
        <color rgb="FF000000"/>
        <rFont val="Times New Roman"/>
      </rPr>
      <t xml:space="preserve">        </t>
    </r>
    <r>
      <rPr>
        <b/>
        <sz val="11"/>
        <color rgb="FF000000"/>
        <rFont val="Calibri"/>
      </rPr>
      <t xml:space="preserve">Описание задачи </t>
    </r>
  </si>
  <si>
    <r>
      <t xml:space="preserve">Указывается стоимость </t>
    </r>
    <r>
      <rPr>
        <u/>
        <sz val="11"/>
        <color rgb="FF000000"/>
        <rFont val="Calibri"/>
      </rPr>
      <t>стандартного</t>
    </r>
    <r>
      <rPr>
        <sz val="11"/>
        <color rgb="FF000000"/>
        <rFont val="Calibri"/>
      </rPr>
      <t xml:space="preserve"> оборудования,  USD</t>
    </r>
  </si>
  <si>
    <r>
      <t xml:space="preserve">Указывается стоимость </t>
    </r>
    <r>
      <rPr>
        <u/>
        <sz val="11"/>
        <color rgb="FF000000"/>
        <rFont val="Calibri"/>
      </rPr>
      <t>НЕстандартного</t>
    </r>
    <r>
      <rPr>
        <sz val="11"/>
        <color rgb="FF000000"/>
        <rFont val="Calibri"/>
      </rPr>
      <t xml:space="preserve"> оборудования, USD</t>
    </r>
  </si>
  <si>
    <t>Требуется указать ФИО и подразделение Заказчика</t>
  </si>
  <si>
    <t>Требуется указать краткое описание и цель реализации задачи</t>
  </si>
  <si>
    <r>
      <t>g.</t>
    </r>
    <r>
      <rPr>
        <b/>
        <sz val="7"/>
        <color rgb="FF000000"/>
        <rFont val="Times New Roman"/>
      </rPr>
      <t xml:space="preserve">       </t>
    </r>
    <r>
      <rPr>
        <b/>
        <sz val="11"/>
        <color rgb="FF000000"/>
        <rFont val="Calibri"/>
      </rPr>
      <t>Тип задачи</t>
    </r>
  </si>
  <si>
    <r>
      <t>d.</t>
    </r>
    <r>
      <rPr>
        <b/>
        <sz val="7"/>
        <color rgb="FF000000"/>
        <rFont val="Times New Roman"/>
      </rPr>
      <t xml:space="preserve">      </t>
    </r>
    <r>
      <rPr>
        <b/>
        <sz val="11"/>
        <color rgb="FF000000"/>
        <rFont val="Calibri"/>
      </rPr>
      <t xml:space="preserve">Стандартное оборудование: желаемая дата выдачи      </t>
    </r>
  </si>
  <si>
    <r>
      <t>i.</t>
    </r>
    <r>
      <rPr>
        <b/>
        <sz val="7"/>
        <color rgb="FF000000"/>
        <rFont val="Times New Roman"/>
      </rPr>
      <t xml:space="preserve">        </t>
    </r>
    <r>
      <rPr>
        <b/>
        <sz val="11"/>
        <color rgb="FF000000"/>
        <rFont val="Calibri"/>
      </rPr>
      <t>Примечания</t>
    </r>
  </si>
  <si>
    <r>
      <t>h.</t>
    </r>
    <r>
      <rPr>
        <sz val="7"/>
        <color rgb="FF000000"/>
        <rFont val="Times New Roman"/>
      </rPr>
      <t xml:space="preserve">       </t>
    </r>
    <r>
      <rPr>
        <b/>
        <sz val="11"/>
        <color rgb="FF000000"/>
        <rFont val="Calibri"/>
      </rPr>
      <t xml:space="preserve">НЕстандартное оборудование: желаемая дата выдачи </t>
    </r>
  </si>
  <si>
    <t>Указывается желаемая дата выдачи стандартного оборудования</t>
  </si>
  <si>
    <t>Требуется выбрать тип задачи из выпадающего списка</t>
  </si>
  <si>
    <t>Указывается дополнительная информация</t>
  </si>
  <si>
    <t>Указывается желаемая дата выдачи НЕстандартного оборудования</t>
  </si>
  <si>
    <t>1CC (1Q2027)</t>
  </si>
  <si>
    <t>2CC (2Q2027)</t>
  </si>
  <si>
    <t>3CC (3Q2027)</t>
  </si>
  <si>
    <t>4CC (4Q2027)</t>
  </si>
  <si>
    <t>Заполняется после сбора всех задач</t>
  </si>
  <si>
    <t>См. справочник Департаменты</t>
  </si>
  <si>
    <t>Текст</t>
  </si>
  <si>
    <t>Выбрать из списка</t>
  </si>
  <si>
    <t>Оборудование (указать стоимость на задачу. Детали по заявкам на оборудование будут заполняться в отдельном файле)</t>
  </si>
  <si>
    <t>0 СП</t>
  </si>
  <si>
    <t>1 СП</t>
  </si>
  <si>
    <t>2 СП</t>
  </si>
  <si>
    <t>3 СП</t>
  </si>
  <si>
    <t>4 СП</t>
  </si>
  <si>
    <t>5 СП</t>
  </si>
  <si>
    <t>6 СП</t>
  </si>
  <si>
    <t>25 СП</t>
  </si>
  <si>
    <t>0 СП-25 СП</t>
  </si>
  <si>
    <t>№</t>
  </si>
  <si>
    <t>Инициатива</t>
  </si>
  <si>
    <t>Направление моделирования/стрим, откуда поступила задача</t>
  </si>
  <si>
    <t>Заказчик (фио, подразделение)</t>
  </si>
  <si>
    <t>ГБЛ</t>
  </si>
  <si>
    <t>Приоритет задачи</t>
  </si>
  <si>
    <t>Наименование задачи</t>
  </si>
  <si>
    <t>Описание задачи</t>
  </si>
  <si>
    <t>Тип задачи</t>
  </si>
  <si>
    <r>
      <t>Кол-во моделей</t>
    </r>
    <r>
      <rPr>
        <b/>
        <sz val="8"/>
        <color rgb="FFC00000"/>
        <rFont val="Times New Roman"/>
      </rPr>
      <t> (&gt;1 для каскадов и ансамблей моделей)</t>
    </r>
  </si>
  <si>
    <t>Наличие готовых пром витрин</t>
  </si>
  <si>
    <t>Необходимость загрузки новых источников данных</t>
  </si>
  <si>
    <r>
      <t>Необходимость </t>
    </r>
    <r>
      <rPr>
        <b/>
        <sz val="8"/>
        <color rgb="FFC00000"/>
        <rFont val="Times New Roman"/>
      </rPr>
      <t>AutoML</t>
    </r>
  </si>
  <si>
    <t>Необходимость продуктивизации модели</t>
  </si>
  <si>
    <t>Нужна постановка модели на мониторинг</t>
  </si>
  <si>
    <t>Стрим</t>
  </si>
  <si>
    <t>Кластер</t>
  </si>
  <si>
    <t>Команда</t>
  </si>
  <si>
    <t>Стоимость стандартного оборудования (бюджет обязательств), млн. руб.</t>
  </si>
  <si>
    <t>Стоимость НЕ стандартного оборудования (бюджет обязательств), млн. руб.</t>
  </si>
  <si>
    <t>Стоимость аренды облачных ресурсов (GPU) в Т1, млн. руб.</t>
  </si>
  <si>
    <t>Примечания</t>
  </si>
  <si>
    <t>Верхнеуровневая оценка в чд</t>
  </si>
  <si>
    <t>ИС, на которую будет списание</t>
  </si>
  <si>
    <t>30.12.2026 - 12.01.2027</t>
  </si>
  <si>
    <t>13.01.2027 - 26.01.2027</t>
  </si>
  <si>
    <t>27.01.2027 - 09.02.2027</t>
  </si>
  <si>
    <t>10.02.2027 - 23.02.2027</t>
  </si>
  <si>
    <t>24.02.2027 - 09.03.2027</t>
  </si>
  <si>
    <t>10.03.2027 - 23.03.2027</t>
  </si>
  <si>
    <t>24.03.2027 - 06.04.2027</t>
  </si>
  <si>
    <t>07.04.2027 - 20.04.2027</t>
  </si>
  <si>
    <t>21.04.2027 - 04.05.2027</t>
  </si>
  <si>
    <t>05.05.2027 - 18.05.2027</t>
  </si>
  <si>
    <t>19.05.2027 - 01.06.2027</t>
  </si>
  <si>
    <t>02.06.2027 - 15.06.2027</t>
  </si>
  <si>
    <t>16.06.2027 - 29.06.2027</t>
  </si>
  <si>
    <t>30.06.2027-13.07.2027</t>
  </si>
  <si>
    <t>14.07.2027-27.07.2027</t>
  </si>
  <si>
    <t>28.07.2027-10.08.2027</t>
  </si>
  <si>
    <t>11.08.2027-24.08.2027</t>
  </si>
  <si>
    <t>25.08.2027- 07.09.2027</t>
  </si>
  <si>
    <t>08.09.2027-21.09.2027</t>
  </si>
  <si>
    <t>22.09.2027-05.10.2027</t>
  </si>
  <si>
    <t>06.10.2027-19.10.2027</t>
  </si>
  <si>
    <t>20.10.2027-02.11.2027</t>
  </si>
  <si>
    <t>03.11.2027-16.11.2027</t>
  </si>
  <si>
    <t>17.11.2027- 30.11.2027</t>
  </si>
  <si>
    <t>01.12.2027-14.12.2027</t>
  </si>
  <si>
    <t>15.12.2027- 28.12.2027</t>
  </si>
  <si>
    <t>29.12.2027-30.12.2028</t>
  </si>
  <si>
    <t>Стрим Разработка моделей КИБ и СМБ</t>
  </si>
  <si>
    <t>Управление "Кредитные продукты и процессы" ДАКиПР (Четвергова О, Малкина А.)</t>
  </si>
  <si>
    <t>СМБ</t>
  </si>
  <si>
    <t>ИИ-агент для проведения кредитного анализа и андеррайтинга (расширение функциональности текущего ИИ-агента)</t>
  </si>
  <si>
    <t xml:space="preserve">Чтение разноформатных финансовых и хозяйственных документов клиента (отчетность, расшифровки, договоры и т.д.) с загрузкой части документов с АРМ + поиском в Досье клиента, получение информации из внешних источников (СПАРК, ГИР БО, ФНС, ЕГРЮЛ, Росреестр, БКИ, суды, новостные ленты, отраслевые и макроэкономические обзоры и т.д.), чтение параметров кредитной заявки, структуры ранее установленного лимита, рейтингов, базы ФКР, состава ГСЗ из ИС Банка.
Предварительная проверка стоп-факторов.
Формирование дозапроса недостающих документов для завершения анализа.
Консолидация фин.отчетности по правилам Банка / проверка консолидации отчетности ГК, сделаной КА вручную.
Построение Cash-Flow моделей / верификация аналогичных CF моделей клиента (при кредитовании на инсевт.цели), проведение стресс-тестирования моделей с определением допустимых пороговых значений модельных ковенант.
Расчет рейтинга.
Проверка клиента и сделки на соответствие нормативным требованиям Банка с фиксацией отклонений.
Проведение полноценного финансового и бизнес-анализа Группы компаний в контексте поступившей кредитной заявки. Для контрактных компаний — доп.анализ текущей контрактной базы и истории работы по контрактам, в т.ч. из внешних источников. Для инвест.кредитования — доп.анализ перспектив и рисков инвестиционного проекта.
Подготовка драфта заключения для редактирования/акцепта КА по формату Банка для ОКП (ЕКМ) и КМБ (Резюме), с аналитическими выводами о рисках, характерных для заемщика/Группы/отрасли, выводами о возможности кредитования на заявленных условиях, предложениями по корректировке состава Группы и первоначальной структуры сделки для снижения уровня принимаемого кредитного риска.
Создание и предзаполнение проекта решения по лимиту/сделке в ИС Банка.
Определение уровня принятия решения по заявке и состава необходимых экспертиз.
Подготовка драфта заключения для редактирования/акцепта Риск-менеджером по формату Банка.
Генерация и сохранение отчета со структурой и логикой проведенного ИИ-анализа для возможного аудита и переиспользования при повторной работе с клиентом.
Усиленный механизм перепроверки результатов работы ИИ-агента для снижения риска «галлюцинаций» (независимый фактчекинг, параллельная работа нескольких веток ИИ-агента над теми же задачами, с согласованием итоговых результатов и т.д.).  </t>
  </si>
  <si>
    <t>Модельная</t>
  </si>
  <si>
    <t>Управление "Кредитные продукты и процессы" ДАКиПР  (Четвергова О, Шафранская С..)</t>
  </si>
  <si>
    <t>ИИ-агент для оценки правоспособности и подготовки юр.заключений по участникам кредитной сделки</t>
  </si>
  <si>
    <t>На этапе правовой экспертизы: чтение правоустанавливающих документов клиента (Устав, выписка из ЕГРЮЛ, выписка из реестра акционеров, решения о назначении ЕИО, приказы, доверенности и т.д.), чтение отчетности клиента (ф.1), проверка полноты предоставленных документов с формированием перечня недостающих документов, проведение оценки правоспособности и полномочий подписанта со стороны клиента, определение признаков крупной сделки и сделки с заинтересованностью (на основании загруженных ФЗ об АО, ООО, внутрибанковских правил/скриптов/методик проверки), формирование типового заключения о правоспособности с рекомендациями.
На этапе визирования: чтение ранее подготовленного заключения о правоспособности, повторное чтение всех правоустанавливающих документов клиента, чтение принятого РУЛ по сделке, чтение проекта КОД, чтение решений клиента об одобрении крупной сделки и сделки с заинтересованностью, сравнение всех документов между собой на непротиворечивость и соответствие по всем основным параметрам кредитной сделки, формирование выводов о прохождении/не прохождении проверки (с указанием ошибок). Дополнительная проверка проектов КОД на соответствие утвержденным типовым формам КОД с подсвечиванием отличий. Предоставление результатов на акцепт конечному пользователю.</t>
  </si>
  <si>
    <t>Управление "Кредитные продукты и процессы" ДАКиПР (Белоусова Е.)</t>
  </si>
  <si>
    <t>ИИ-агент для заполнения ИС Банка данными по объектам залога и оценки типовых залогов</t>
  </si>
  <si>
    <t>Чтение разноформатных документов клиента по объектам залога, заключений независимых оценщиков, внутрибанковских заключений, извлечение полного атрибутивного состава по объектам залога. Определение оценочной и залоговой стоимости отдельных типовых объектов залога по правилам Банка (где применимо), в интеграции с соответствующими специализированными сервисами. Направление пользователю на акцепт/редактирование предлагаемого состава залога.
Создание/редактирование выбранных объектов залога в ИС Банка с дозаполнением необходимых атрибутов.
Предзаполнение РУЛ и КОД описанием объектов залога.
Последующий контроль данных на консистентность и соответствие требованиям 310й формы ЦБ, с формированием списка недостающих данных.</t>
  </si>
  <si>
    <t>Управление "Кредитные продукты и процессы" ДАКиПР</t>
  </si>
  <si>
    <t>ИИ-агент для контроля выдач</t>
  </si>
  <si>
    <t xml:space="preserve">Чтение разноформатных документов клиента, обосновывающих целевое использование кредита (договоров купли-продажи, договоров подряда, актов и т.д.), чтение сформированных клиентом соответствующих платежных поручений в ИС Банка, чтение РУЛ и КОД по сделке, сравнение документов и п/п между собой, проверка корректности представленных документов по условиям РУЛ/КОД с учетом внутренних правил Банка, направление результатов работы на акцепт КМ/КА/ДОПБ. </t>
  </si>
  <si>
    <t>Управление "Кредитные продукты и процессы" ДАКиПР (Калашникова О.)</t>
  </si>
  <si>
    <t>ИИ-агент для мониторинга</t>
  </si>
  <si>
    <t xml:space="preserve">Аналитическая обработка всего имеющегося массива данных в ИС КУРС: отслеживание транзакционной активности, изменение динамики финансового состояния клиентов, правового статуса клиента, состояния залогов, изменения состояния отрасли, макроэкономических показателей, новостного фона и судебных исков, а также анализ истории ФКР по клиентам. Проверка выполнения фин.ковенант и прочих контрольных точек индивидуального плана мониторинга клиента и сделки. При выявлении угрожающих тенденций — информирование участников процесса мониторинга для проведения углубленного мониторинга с привлечением КА и формирование предложений по урегулированию выявленных ФКР. 
Возможность постановки агенту индивидуальных задач для проведения мониторинга по конкретным клиентам/сделкам, на что необходимо обращать внимание, учитывая специфику бизнеса и сделки.
</t>
  </si>
  <si>
    <t>УПИПЛ ДАКиПР / УЖЦК ДАКиПР (Лемякин Евгений)</t>
  </si>
  <si>
    <t>ИИ-агент комплаенс-ассистент (система онлайн-мониторинга риска клиента (светофор), и автоматической помощи клиенту  как избежать блокировок)</t>
  </si>
  <si>
    <t>Отображение клиенту информации о комплаенс-рисках (без нарушения внутренних комплаенс-процедур) и формирование советов для избежания блокировок:
- сбор и обработка данных: внутренние транзакции, налоги, контрагенты и др.
- разработка модели склонности к риску на основании множества факторов (отраслевые паттерны, скорость оборота, соотношение выручки к налогом, вывод ДС на карты ФЛ и пр.)
- разработка LLM-модели для формирования текстовых советов клиентам с рекомендациями, что необходимо сделать, чтобы снизить риск блокировок (например, направить документы в налоговую, сменить ОКВЭД, не переводить деньги ФЛ, не работать с "красными" контрагентами и т.п.)
- реализация отображения информации в ДБО</t>
  </si>
  <si>
    <t>Управление Государственные услуги и сервисы для бизнеса ДКЦБ Малевская М.Г.
Гордеев Александр Сергеевич &lt;gordeev@vtb.ru&gt;
Веселов М.В.</t>
  </si>
  <si>
    <t>Кросс ГБЛ</t>
  </si>
  <si>
    <t xml:space="preserve">Сервис банковский помощник
Анализ операций клиентов c помощью ИИ
</t>
  </si>
  <si>
    <t>Проблемы на рынке
Компании, привлекающие к работе самозанятых опасаются проверок и штрафных санкций со стороны контролирующих органов
Бизнес видит в кредитных организациях не помощника, а информатора, передающего данные о бизнесе и привлекающего внимание надзорных органов
Компании зачастую совершают «подозрительные» операции по своим счетам не из «злого умысла», а от незнания норм законодательства
Решение 
Рекомендации со стороны Банка, основанные не на теории, а на анализе фактической деятельности клиента и анализе операций по счету клиента</t>
  </si>
  <si>
    <t>ДРКРО Солодяхина Татьяна Викторовна &lt;solodyahina@vtb.ru&gt;</t>
  </si>
  <si>
    <t>КИБ</t>
  </si>
  <si>
    <t>Подготовка информационных писем/вейверов</t>
  </si>
  <si>
    <t>Пользователь формирует запрос с приложением РУЛ/ПРКК, где отражены условия предоставления письма (информационное о принятом решении/неприменении прав.банка и др). ИИ формирует драфт письма для клиента + анализирует и встраивает стандартные формулировки по требованиям ЮД</t>
  </si>
  <si>
    <t>Подготовка справок/краткой характеристики по клиенту (группе компаний)</t>
  </si>
  <si>
    <t>Пользователь формирует запрос по Группе и перечню компаний, и на основании открытых источников и документов из ПКБ ИИ получает основную информацию для подготовки справки по клиенту/Группе/бенефициара (например, краткую характеристику по клиенту, которая прикладывается к материалам на КК). Чтобы полученная информация содержала ссылку на определенный источник или документ, чтобы можно было удостовериться в его правдоподобности и при необходимости вручную скорректировать справку.</t>
  </si>
  <si>
    <t>Анализ деятельности клиентов</t>
  </si>
  <si>
    <t>По запросу ИИ давал краткую карточку с информацией по действующим судебным искам/исполнительным листам ФССП по клиенту/бенефициару, а также информацию из СМИ (включая биографию бенефициара).</t>
  </si>
  <si>
    <t>ДВА (Денис Семилетов \ Рыбко Дмитрий)</t>
  </si>
  <si>
    <t>ДВА</t>
  </si>
  <si>
    <t>Цифровой помощник по документам при проведении внутреннего аудита</t>
  </si>
  <si>
    <t>Анализ массива документов (ВНД, отчеты, договоры) с целью выдать подборку релевантных запросу документов (цитат из документов) или сбора статистики, в т.ч.:
1) как реализовано определённое нормативное требование (предоставить фрагмент документа, где оно реализовано),
2) выбрать определённые данные из документа (например, по списку договоров проработать массив страховых полисов, отчетов об оценке и составить таблицу с указанием номера договора, страховой суммы, стоимости оценки имущества) и сравнить их с соответствующими данными в файле (т.е. проверить корректность данных в файле на основании первичных документов);
3) выбрать документы по определённой теме, например, все решения КУКиРР из СДО по определённому вопросу.</t>
  </si>
  <si>
    <t>ДА (Зуев А., Мартынов И.)</t>
  </si>
  <si>
    <t>Расширение базы знаний по клиенту для суммаризации за счет  доп. источников данных (развитие АЗ 3306)</t>
  </si>
  <si>
    <t>1) Расширение базы знаний по клиенту для суммаризации за счет  доп. источников данных:
а) новости Скан-Интерфакс,
б) транзакционные данные
в) клиентские файлы \ документы
2) Формирование one page записки по клиенту \ группе компаний для руководства
3) Доработка логики суммаризации по предложениям пользователей</t>
  </si>
  <si>
    <t>ДА (Зуев А., Мартынов И.), ДККР, ДЗ, ДВА, УОР, ЮД, ДАКИПР, CRM, ДККФМ</t>
  </si>
  <si>
    <t>Сервис анализ документов</t>
  </si>
  <si>
    <t>1) Распознавание \ суммаризация информации из документов (ответы на типовые вопросы по содержанию документа + формирование краткого содержания + чат-бот) + определение токсичности
2) Проверка документа на соответствие требованиям\ инструкциям
3) Проверка пакета документов на комплектность исходя из содержания документа</t>
  </si>
  <si>
    <t>ДА, ДККР, ДЗ, ДВА, УОР, ЮД, ДККФМ</t>
  </si>
  <si>
    <t>Чат-бот по нормативной базе по управлению рисками</t>
  </si>
  <si>
    <t>Разработка и реализация RAG сервиса по нормативной базе по управлению рисками (чат-бот)</t>
  </si>
  <si>
    <t>ДККФМ (Туровец М.)</t>
  </si>
  <si>
    <t>Сервис поддержки проверочной деятельности внешних надзорных органов</t>
  </si>
  <si>
    <t>1) Классификация документов СДО для определения требуемых к регистрации в ВНО СППД
2) Поиск документов в ВНО СППД по контексту
3) Классификация платежей по проверочной деятельности
4) Поиск платежей по проверочной деятельности в ВНО СППД</t>
  </si>
  <si>
    <t>Определение подозрительных групп клиентов \ цепочек транзакций + генерация СПД</t>
  </si>
  <si>
    <t>Развитие сервиса по определению подозрительных групп клиентов \ цепочек  транзакций\ генерации справок о подозрительной деятельности (схем с описание деятельности сомнительных клиентов): тестирование продвинутых алгоритмов (графовый анализ), учет фидбэка пользователей, генерация расширенной справки</t>
  </si>
  <si>
    <t>ДОПБ  (Гордеев Антон)</t>
  </si>
  <si>
    <t>Цифровой помощник проверки целевого использования кредитных средств</t>
  </si>
  <si>
    <t>1) Сопоставление реестра плановых платежей в свободной форме в pdf excel word \ отдельного платежа с договорами поставки \ кредитным договором в Досье ЮЛ
2) Добавление в контекст условий договора поставки и сравнениеь с  разрешенными целями в кредитном договоре и деятельностью в Уставе
3) Формирование решения с аргументацией о разрешенности платежа
4) Парсинг документов и сохранение реестра в Досье ЮЛ.</t>
  </si>
  <si>
    <t>ДККР (Лииник Наталья, Плотников Андрей)</t>
  </si>
  <si>
    <t>Разработка регуляторных моделей (ПВР, НСТ)</t>
  </si>
  <si>
    <t xml:space="preserve">1. модели с учетом требований 845-п и иных положений ЦБ </t>
  </si>
  <si>
    <t>ДККР (Лииник Наталья), ДА (Зуев Алексей)</t>
  </si>
  <si>
    <t>Разработка скоринговых моделей МБ</t>
  </si>
  <si>
    <t>1. PD, LGD, RBLмодели, модели вероятности решения андеррайтера</t>
  </si>
  <si>
    <t xml:space="preserve">Модельная </t>
  </si>
  <si>
    <t>Управление продаж конверсионных и процентных инструментов (Алексеев Денис, Алексанян Арман)</t>
  </si>
  <si>
    <t>Разработка моделей для Управление продаж конверсионных и процентных инструментов</t>
  </si>
  <si>
    <t>1. модели валютной конверсии</t>
  </si>
  <si>
    <t>ДОПБ  (Липатов Денис), ДККФМ (Туровец Михаил, Пчелкин Александр)</t>
  </si>
  <si>
    <t>Разработка моделей комплаенса и операционной поддержки бизнеса</t>
  </si>
  <si>
    <t>Модель контроля целевого использования рублевые платежи
Модель определения очередности платежа
Модели классификации: вероятность признания клиента сомнительным \ вероятность блокировки \ отнесения в клиента в список ЗСК (желтая \ красная зона)</t>
  </si>
  <si>
    <t>ДТБ, Песоцкий Тимур Владимирович</t>
  </si>
  <si>
    <t>Доработка процедуры категоризации обращений: Автоматизация дообучения категоризации</t>
  </si>
  <si>
    <t xml:space="preserve">Целью данного документа является предоставление возможности оперативно автоматически определять новые продукты, вопрос и/или суть вопроса в рамках существующего продукта, который поддерживается сотрудниками ЦКП. Данная доработка позволит в кротчайшие сроки выстраивать автоматизацию процесса по новому функционалу. </t>
  </si>
  <si>
    <t>Семантический поиск по wiki, Старт, СДО</t>
  </si>
  <si>
    <t>Семантический поиск по wiki, старт, СДО с выводом ответа и цитатами из документов.</t>
  </si>
  <si>
    <t>Использование ИИ при контроле качества работы сотрудников ЦКП</t>
  </si>
  <si>
    <t xml:space="preserve">Выполнять оценку работы сотрудника, для повышения качества обслуживания клиентов и снижения трудозатрат сотрудников контроля качества. </t>
  </si>
  <si>
    <t>Расширенный поиск информации по базе данных и досье клиента для формирования ответа по индивидуальным условиям, регламентам</t>
  </si>
  <si>
    <t>Предоставить сотруднику возможность инициировать поиск информации, содержащейся в досье клиента, для быстрого выявления заданных условий, индивидуальных условий (нечеткий поиск) и формирования отчетности по найденным данным.</t>
  </si>
  <si>
    <t xml:space="preserve"> Умный ИИ Ассистент [ЦКП] (внутренние источники данных)</t>
  </si>
  <si>
    <t>В ЦКП поступают сложные запросы. Необходимо уметь отвечать на такие сложные запросы. Предполагается, что агент сам выберет необходимые источники данных, при необходимости задаст уточняющий, далее вернет ответ пользователю.</t>
  </si>
  <si>
    <t>Согласование индивидуальных договоров с учетом правок от клиента и формирование справок по клиенту</t>
  </si>
  <si>
    <t>ИИ-помощник по согласованию индивидуальных договоров с учетом правок от клиента</t>
  </si>
  <si>
    <t>Автоматизация акцепта Банка (БС)</t>
  </si>
  <si>
    <t>Автоматизация процедур по проведению анализа и контролю платежных поручений клиентов на Банковском сопровождении в соответствии с установленными параметрами, с последующим акцептом или отказом в исполнении</t>
  </si>
  <si>
    <t>Кросс-сейл и триггерная аналитика для предложения новых продуктов и контроля оттока ликвидности</t>
  </si>
  <si>
    <t xml:space="preserve">ИИ анализирует какие продукты есть у клиента, какие операции он по ним проводит и с какими вопросами обращается в банк. На основании поведения клиента формируется предложение по новым или действующим продуктам (оформление продукта, подключение услуги, пересмотр ставок и т.д.) </t>
  </si>
  <si>
    <t>Проверка полномочий и комплектности документов</t>
  </si>
  <si>
    <t xml:space="preserve">ИИ помогает обеспечить проверку полномочий пользователя перед заключением сделки.
Анализируется действительность документов (включая доверенности, уставные документы, решения органов), наличие ссылок на другие документы или ограничений по действиям, актуальность полномочий на дату проверки и.т.д. </t>
  </si>
  <si>
    <t>ДКИРБ, Чехлова Юлия Александровна</t>
  </si>
  <si>
    <t>NBO - product recommendation</t>
  </si>
  <si>
    <t>Формировать менеджеру рекомендации по следующему релевантному продукту/действию на основе:текущего продуктового профиля клиента;оборотов и остатков;поведения по счетам;динамики использования продуктов.Пример: наличие стабильных свободных остатков на РКО - рекомендация депозитного/НСО продукта.</t>
  </si>
  <si>
    <t>ДРКР, УКОР</t>
  </si>
  <si>
    <t>Алюнов Александр</t>
  </si>
  <si>
    <t>РБ</t>
  </si>
  <si>
    <t xml:space="preserve">Работы по сопровождению проверки Банка России моделей ПВР КН и КК (2 заявка), калибровка/переработка при необходимости </t>
  </si>
  <si>
    <t>обязательная активность ПВР</t>
  </si>
  <si>
    <t>Моделирование РБ</t>
  </si>
  <si>
    <t>Риск-моделирование</t>
  </si>
  <si>
    <t>Регуляторные модели РБ-1</t>
  </si>
  <si>
    <t>Client health</t>
  </si>
  <si>
    <t xml:space="preserve">Снижение оттока клиентов, сохранение доходов банка, сохранение клиентской базы, увеличение срока сотрудничества с клиентом </t>
  </si>
  <si>
    <t xml:space="preserve">Сопровождение процессов на ПВР (1 заявка), сопровождение проверки Банка Росии по 845-П </t>
  </si>
  <si>
    <t>Регуляторные модели РБ-2</t>
  </si>
  <si>
    <t>ДКИАБ, Молодчин Егор Сергеевич</t>
  </si>
  <si>
    <t>Модель выделения залогов из файлов</t>
  </si>
  <si>
    <t>Требуется добавить возможность получить от клиента список файлов по залогам в форматах: word, pdf, xlsx,xls,  текст (из письма) и другие. Полученную информацию от клиента необходимо  обработать, структурировать и передать в ОПС Залоги в согласованном формате и визуализировать пользователю.</t>
  </si>
  <si>
    <t>Ежегодная калибровка моделей 2 заявки (после получения Разрешения на перевод на ПВР)</t>
  </si>
  <si>
    <t>Проверка полномочий подписанта документов в ЛКК</t>
  </si>
  <si>
    <t>Проверка полномочий должностных лиц, подписывающих документы, пакета документов КИБ передаваемых в ЛКК.</t>
  </si>
  <si>
    <r>
      <t xml:space="preserve">Разработка моделей ПВР по продукту Автокредиты (PD app, PD beh, LGD), внедрение, мониторинг
</t>
    </r>
    <r>
      <rPr>
        <b/>
        <sz val="10"/>
        <color rgb="FF7030A0"/>
        <rFont val="Calibri"/>
        <scheme val="minor"/>
      </rPr>
      <t>В случае, если 3 заявку все таки подаем</t>
    </r>
  </si>
  <si>
    <t>обязательная активность ПВР (в случае, если 3 заявку все таки подаем, иначе - не нужно)</t>
  </si>
  <si>
    <t>ДАККИПР, Пискун Денис Алексеевич</t>
  </si>
  <si>
    <t>ИИ-агент для поиска и подбора документов из Досье</t>
  </si>
  <si>
    <t xml:space="preserve">Чтение разноформатных документов клиента, размещенных в Досье ЮЛ. Чтение запросов свободного формата с перечислением списка необходимых документов, уточнение структуры запроса на формирование перечня документов у пользователя. Поиск, подбор и доставка документов по запросу на указанный АРМ/сетевой диск (с предварительной проверкой их содержания на предмет смыслового соответствия запросу), с возможностью задать итоговую структуру размещения запрошенных документов по соответствующим папкам.
Возможность формирования пользователем запроса свободного формата на предоставление документов: по обобщенным категориям документов, по конкретным типам, по датам, по группе юрлиц, а также в комбинации указанных критериев.   </t>
  </si>
  <si>
    <t xml:space="preserve">Доработка и сопровождение промышленных витрин 803 и 704 (включая КД) </t>
  </si>
  <si>
    <t>обязательная активность ПВР (необходимо для рекалибровок, внедрений моделей и расчета КПК по всем продуктам на ПВР)</t>
  </si>
  <si>
    <t>ИИ-агент (RAG-система) для поиска и подбора документов в Бизнес-Википедии, старт, СДО</t>
  </si>
  <si>
    <t>Чтение разноформатных документов, размещенных в Бизнес-Википедии.
Формирование ответов на сложные вопросы пользователей, исходя из заданной иерархии документов и правил их применения в комбинации с остальными документами.Цитирование необходимых пользователю частей документов с отсылкой к оригиналам.
Автоматический мониторинг систем-источников возникновения ВНД, решений коллегиальных органов Банка, распоряжений, иных источников документов.  И мпорт документов, при необходимости —  верификация у администраторов системы для уточнения правил интерпретации документа в общей базе знаний, замены/актуализации остальных документов с учетом нового документа и т.д.
Автоматическое обновление информации в каналах, в случае обновления содержания документов-источников.
Возможность формирования пользователем запроса свободного формата на подборку нужных ему документов.
Возможность формирования презентационных материалов и новостных рассылок по заданию пользователя на базе определенных пользователем документов.</t>
  </si>
  <si>
    <t>Подготовка разделов 7.1 (ежемесячная)  и 7.2 (ежеквартальная) 114 формы, расчет витрин для КПК (ежеквартально)</t>
  </si>
  <si>
    <t xml:space="preserve">регуляторная отчетность </t>
  </si>
  <si>
    <t>Оценка качества консультации клиентов в голосовых каналах</t>
  </si>
  <si>
    <t>Оценка удовлетворенности клиентов качеством консультаций:Формирование базы стандартизированных ответов на запросы клиентов совместно с заинтересованными подразделениямиТранскрибация и хранение диалоговПостроение модели распознавания интентов: жалоба, консультация, эмоции, этап звонка (приветствие клиента, прощание с клиентом)Сверка ответов сотрудников с разработанными скриптами ответов и оценка их соответствияРазработка критериев качества сотрудников и соотвествие их коммуникаций разработанным стандартамМониторинг качества работы сотрудников</t>
  </si>
  <si>
    <t>Алекберов Ибрагим</t>
  </si>
  <si>
    <t>Перестроение унифицированных моделей PD по необеспеченным КН,КК</t>
  </si>
  <si>
    <t xml:space="preserve">регулярное перестроение бизнес-моделей обязательно по следующим причинам: 
деградация действующих моделей, изменение кредитной стратегии, изменение профиля клиента </t>
  </si>
  <si>
    <t>Бизнес РБ (незалоговые)</t>
  </si>
  <si>
    <t>Автоподсказки при ведении диалога/работа с возражениями</t>
  </si>
  <si>
    <t>На основании разработанных стандартизированных ответов, система в режиме онлайн должна автоматически классифицировать тип интента (жалоба, консультация, эмоции),  и классифицировать содержание запроса клиента. В режиме онлайн система должна на основании классификации искать информацию в скриптах или справочной документации, и выдавать рекомендованные ответы сотруднику.</t>
  </si>
  <si>
    <r>
      <t xml:space="preserve">Разработка унифицированной модели </t>
    </r>
    <r>
      <rPr>
        <u/>
        <sz val="10"/>
        <color rgb="FF000000"/>
        <rFont val="Calibri"/>
        <scheme val="minor"/>
      </rPr>
      <t>на табличных нейронных сетях</t>
    </r>
  </si>
  <si>
    <t>ИИ-агент, осуществляющий помощь сотруднику ТП для подготовки к коммуникации с клиентом</t>
  </si>
  <si>
    <t>Отображение сотруднику ТП информации, подготовленной при помощи ИИ-агента, в рамках подготовки к коммуникации с клиентом на основе:проведение опроса сотрудников для выявления информации, которую собирают сотрудники для подготовки к звонкуподготовка при помощи ИИ-агента информации о клиенте на основании анализа его вида деятельности, ФО, транзакционного профиля, знания о кошельках клиента, налоговом законодательстве и др. с учетом проведенного анализаразработка формата отображения информации, подготовленной при помощи ИИ-агентареализация отображения информации в установленном формате</t>
  </si>
  <si>
    <t>Перестроение модели CPA (в том числе определение с внешним скором или без)</t>
  </si>
  <si>
    <t>ИИ-агент для сбора информации по тарифам конкурентов, их акциях и новым предложениям</t>
  </si>
  <si>
    <t>Сбор, обработка и отображение пользователям данных о тарифах, акциях и новинках конкурентов при помощи ИИ-агента:составление списка продуктов, в рамках которых необходим мониторингсоставление списка сайтов и разделов, в рамках которых проводится мониторинг тарифовреализация ежедневного мониторинга, запись в ИС банка в согласованном с заказчиком форматепополнение и верификация справочников</t>
  </si>
  <si>
    <t>Перестроение модели NPA (в том числе определение с внешним скором или без)</t>
  </si>
  <si>
    <t>ИИ-агент, отвечающий клиенту на заданные вопросы</t>
  </si>
  <si>
    <t>Реализация возможности клиентам в ДБО задать вопрос и получить ответ на основе информации, подготовленной ИИ-ассистентом:определение типов запросов (вопрос по внутренней документации банка, жалоба/претензия), вопрос по налоговому законодательству; сбор систем-источников ответовпостроение модели классификации типа запросапостроение RAG-модели под каждый тип запроса пользователяреализация возможности отображения ответов в чат-боте в ДБО</t>
  </si>
  <si>
    <t>Перестроение модели банкротств</t>
  </si>
  <si>
    <t>ДАККИПР, Григорьева Анастасия Михайловна</t>
  </si>
  <si>
    <t>Модели CRM</t>
  </si>
  <si>
    <t xml:space="preserve">Модели для привлечения, удержания, активации клиентов. </t>
  </si>
  <si>
    <t>Василенко Станислав</t>
  </si>
  <si>
    <t>Перестроение модели PD для сегмента АОЗ</t>
  </si>
  <si>
    <t>Бизнес РБ (залоговые)</t>
  </si>
  <si>
    <t>Агент по формированию аналитических отчетов</t>
  </si>
  <si>
    <t xml:space="preserve"> Управленческий отчет по загруженному файлу
Пользователь:
Подготовь краткий отчет по этому файлу для руководителя.
ИИ:
Какой объем необходим и нужно ли включить рекомендации?
Пользователь:
Одна страница: основные проблемы, динамика и рекомендации.
Результат:
ИИ анализирует загруженный файл и формирует отчет:
общий объем обращений ХХ;
изменение к предыдущему периоду ХХ%;
три основные проблемные тематики;
продукты или каналы с негативной динамикой;
жалобы на сотрудников и отделения;
краткие рекомендации.
Отчет предоставляется в чате и выгружается в формате DOCX.</t>
  </si>
  <si>
    <t>Перестроение модели PD Ипотека</t>
  </si>
  <si>
    <t>Агент для формирования задач во внутренних системах</t>
  </si>
  <si>
    <t>при жалобах не работает кнопка, неправильный расчет. Агент заводит тикеты во внутренние системы (post запросы).</t>
  </si>
  <si>
    <t>Перестроение модели PD Авто</t>
  </si>
  <si>
    <t>УАСП-РТО новая фаза -6</t>
  </si>
  <si>
    <t>Стрим Клиент 360</t>
  </si>
  <si>
    <t>Трунова В.
Старцева Е.</t>
  </si>
  <si>
    <t>Новые триггеры/события и доработка существующих потоков</t>
  </si>
  <si>
    <t>Ориентировочно 25 новых триггеров и 25 доработок существующих.</t>
  </si>
  <si>
    <t>Технологическая</t>
  </si>
  <si>
    <t>Потоковые данные</t>
  </si>
  <si>
    <t>Потоки данных для RTO</t>
  </si>
  <si>
    <t>Ханин Илья</t>
  </si>
  <si>
    <t>Перестроение модели "грейсовиков"</t>
  </si>
  <si>
    <t xml:space="preserve">Цифровой двойник клиента. Предиктивная аналитика - фаза 2
</t>
  </si>
  <si>
    <t xml:space="preserve">Голосовой ассистент
</t>
  </si>
  <si>
    <t xml:space="preserve">Зотов Антон Андреевич
</t>
  </si>
  <si>
    <t>Триггеры/события</t>
  </si>
  <si>
    <t>Новые триггеры 100 шт</t>
  </si>
  <si>
    <t>Цифровой финансовый советник</t>
  </si>
  <si>
    <r>
      <t xml:space="preserve">PD-модель для рефинансирования хороших кредитов
</t>
    </r>
    <r>
      <rPr>
        <sz val="10"/>
        <color rgb="FFFF0000"/>
        <rFont val="Calibri"/>
        <scheme val="minor"/>
      </rPr>
      <t>требуется обсудить, насколько целесообразно с точки зрения бизнеса</t>
    </r>
  </si>
  <si>
    <t>Продолжение ПР3733</t>
  </si>
  <si>
    <t>Туровец Михаил, ДККиФМ</t>
  </si>
  <si>
    <t>СМБ, КИБ, РБ</t>
  </si>
  <si>
    <t>Этап 2 по Симулятору</t>
  </si>
  <si>
    <t>Развитие системы 3882 (Симулятор)</t>
  </si>
  <si>
    <t>Уникальные потоковые сервисы</t>
  </si>
  <si>
    <t>Разработка бизнес-модели PD для сегмента МКК</t>
  </si>
  <si>
    <t xml:space="preserve">модель для  нового продукта с учетом вызревания статистики выдач 2026 года  </t>
  </si>
  <si>
    <t>Финмониторинг</t>
  </si>
  <si>
    <t>Ежегодный анализ внешних источников для моделей: необеспеченные, обеспеченные</t>
  </si>
  <si>
    <t xml:space="preserve">дополнительная информация повышающая качество модели </t>
  </si>
  <si>
    <t>Источники данных
УРИИМ</t>
  </si>
  <si>
    <t>ДАДМ</t>
  </si>
  <si>
    <t>КИБ, СМБ, РБ, ППиК</t>
  </si>
  <si>
    <t>Внедрение Ytsaurus</t>
  </si>
  <si>
    <t>Внедрение системы хранения, обработки, создания витрин и душбордов Yandex Tsausus</t>
  </si>
  <si>
    <t>Источники данных</t>
  </si>
  <si>
    <t>Ежегодный анализ внутренних источников для моделей: необеспеченные, обеспеченные</t>
  </si>
  <si>
    <t>РБ, КИБ</t>
  </si>
  <si>
    <t>Развитие системы загрузки и хранения информации по фискальным данным ФЛ</t>
  </si>
  <si>
    <t>Организация тракта по получению фискальных данных от ФНС в dapp в рамках изменений 54фз</t>
  </si>
  <si>
    <t xml:space="preserve">Да </t>
  </si>
  <si>
    <t>Построение/актуализация модели отказников</t>
  </si>
  <si>
    <t>РБ, КИБ, СМБ</t>
  </si>
  <si>
    <t>Оптимизация потребления данных СПАРК Интерфакс</t>
  </si>
  <si>
    <t xml:space="preserve">Сокращение использования сессий за счет:
1. Оптимизации потребления через переработку логики взаимодействия с источником
2. Поиск альтернативных поставщиков данных для замены части методов СПАРК
3. Поиск информации в открытых(бесплатных) источниках и организация загрузки данных
</t>
  </si>
  <si>
    <r>
      <t xml:space="preserve">Доработка и внедрение модуля </t>
    </r>
    <r>
      <rPr>
        <u/>
        <sz val="10"/>
        <color rgb="FF000000"/>
        <rFont val="Calibri"/>
        <scheme val="minor"/>
      </rPr>
      <t>нейронных сетей на последовательностях данных</t>
    </r>
  </si>
  <si>
    <t>УКиРБ(управление координации и развития бизнеса)</t>
  </si>
  <si>
    <t>Внедрение BI инструмента в 1505.</t>
  </si>
  <si>
    <t>Доработка 1505_5 и внедрение инструмента визуализации данных (дашборды). Агрегация данных из источников, визуализация данных сегмента экномики - жд транспорт, макропоказатели, статистика транспортной активности на жд.</t>
  </si>
  <si>
    <t>ДРПК / Состоятельные клиенты</t>
  </si>
  <si>
    <t>Никита Бакало, Ольга Нуждова</t>
  </si>
  <si>
    <t>Автоматизированное обучение (продолжение задачи 2026)</t>
  </si>
  <si>
    <t>Hidden Affluent (премиальные клиенты)</t>
  </si>
  <si>
    <t>(Батч) Определение скрытых состоятельных клиентов. Хотим предсказывать по профилю клиента + его транзакциям, его потенциал для конвертации в премиальные ПУ -&gt; Работа ПМ по привлечению состоятельных клиентов. Карточка клиента. Лидогенерация из других ГБЛ -&gt; Конверсия в пакет услуг Привилегия/Прайм</t>
  </si>
  <si>
    <t>Новый / вне кластера</t>
  </si>
  <si>
    <t>Новая</t>
  </si>
  <si>
    <r>
      <t xml:space="preserve">Построение алгоритма отбора переменных по методу RFE
</t>
    </r>
    <r>
      <rPr>
        <sz val="10"/>
        <color rgb="FFFF0000"/>
        <rFont val="Calibri"/>
        <scheme val="minor"/>
      </rPr>
      <t xml:space="preserve">в чем новизна предложения? </t>
    </r>
  </si>
  <si>
    <t>Подбор лучше точки продаж (премиальные клиенты)</t>
  </si>
  <si>
    <t>(Онлайн) Модуль должен осуществлять определение наилучшей точки продаж для клиента, на основании его транзакционной активности, а также иных данных при их наличии и необходимости -&gt; Коммуникация с ПМ. Лидогенерация (путь клиента-лида). Закрепление за командой менеджеров оCRM -&gt; Повысить качество клиентского опыта от премиального обслуживания, снизить нагрузку на сотрудников Банка, задействованных в закреплении клиентов</t>
  </si>
  <si>
    <t>Александр Панферов, Елена Данилюк</t>
  </si>
  <si>
    <t>Анализ переменных внешних партнёров переданных через Криптоанклав
(Тестирование передачи данных через криптоанклав и анализ приростов от использования переменных из внешних источников)</t>
  </si>
  <si>
    <t>Подбор лучшего менеджера  (премиальные клиенты)</t>
  </si>
  <si>
    <t>(Онлайн) Выбор наиболее подходящего ПМ на основании профиля клиента и оценок ПМа схожими группами клиентов -&gt; Коммуникация с ПМ. Закрепление за командой менеджеров -&gt; Снижение оттока. Повышение качества клиентского опыта от премиального обслуживания</t>
  </si>
  <si>
    <t>Факторы для моделей оценки риска на основе текстовых описаний проводок</t>
  </si>
  <si>
    <t xml:space="preserve">Никита Бакало, Ольга Нуждова, Руслан Борисюк, Елена Данилюк </t>
  </si>
  <si>
    <t>Кластеры связанных лиц (семейных и корпоративных связей)  (премиальные клиенты)</t>
  </si>
  <si>
    <t>(Батч) По транзакциям выявить семейные и корпоративные связи клиента -&gt; Работа ПМ по привлечению состоятельных клиентов. Индивидуальная тарификация. Закрепление за командой менеджеров. Поиск состоятельных -&gt; Конверсия в пакет услуг Привелегия/Прайм</t>
  </si>
  <si>
    <t>Бизнес РБ (доход)</t>
  </si>
  <si>
    <r>
      <t xml:space="preserve">Повышение стабильности атрибутов по количеству запросов
</t>
    </r>
    <r>
      <rPr>
        <sz val="10"/>
        <color rgb="FFFF0000"/>
        <rFont val="Calibri"/>
        <scheme val="minor"/>
      </rPr>
      <t xml:space="preserve">считаем неперспективным, уточнить </t>
    </r>
  </si>
  <si>
    <t>Виталий Елисеев, Михаил Беляев</t>
  </si>
  <si>
    <t>Профиль клиента в oCRM.Вывести признаки клиента - архетипы, склонности, интересы в задачу oCRM + профиле клиента  (премиальные клиенты)</t>
  </si>
  <si>
    <t>(Батч) Обогатить клиентскую карточку в oCRM знаниями о клиенте, которые посчитаны на Больших Данных -&gt; Продажи продуктов банка состоятельным клиентам. Карточка клиента -&gt; Рост продаж. Рост AUM</t>
  </si>
  <si>
    <t>Витрина ПДН для включения в модели PD и СИ</t>
  </si>
  <si>
    <t>Виталий Елисеев, Михаил Беляев, Марина Меньшова</t>
  </si>
  <si>
    <t>Умные подсказки по продажам в стакане (генератор скриптов)  (премиальные клиенты)</t>
  </si>
  <si>
    <t>(Онлайн) Модель должна генерировать скрипт по продаже продукта, персонализированный под профиль клиента -&gt; Продажи продуктов банка состоятельным клиентам -&gt; Рост продаж. Рост AUM</t>
  </si>
  <si>
    <t>Устранение временного лага в расчете агрегатов, расчет «быстрых» и «коротких» фичей с минимально возможными усилиями</t>
  </si>
  <si>
    <t>Александр Невский, Александр Панферов, Мария Бекузарова, Елена Данилюк, Вадим Смирнов</t>
  </si>
  <si>
    <t>NBO Модели склонности к покупке текущих продуктов банка состоятельным клиентам (премиальные клиенты)</t>
  </si>
  <si>
    <t xml:space="preserve">(Онлайн) Скоринг продуктов, релевантных для клиента на основании его профиля: статического и динамического. Далее декомпозировать по каналам: ВТБО (все продукты), ПМ с учетом его бизнес-плана (продукты СМОТа) + есть модель бесконечной полки у СПК, взять за основу, модель склонности к сбережениям и инвестированию - не помогает в продажах, нет вкладов - сбережения, нет инвестиций - инвесты - Воронка как развивать клиентаа -&gt; Продажи продуктов банка состоятельным клиентам -&gt; Рост продажповысить качество клиентского опыта от премиального обслуживания, снизить нагрузку на ПМ в части поиска информации </t>
  </si>
  <si>
    <t>Модель выделения риск-связанного окружения и оценка его связи с рисковыми событиями</t>
  </si>
  <si>
    <t>ГЕО-модель для поиска hidden affluent (премиальные клиенты)</t>
  </si>
  <si>
    <t>(Онлайн) Определение скрытых состоятельных клиентов на основании выявления места/района жительства по локациям транзакций и определения ЖК бизнес/премиум классов -&gt; Работа ПМ по привлечению состоятельных клиентов -&gt; Конверсия в пакет услуг Привелегия/Прайм</t>
  </si>
  <si>
    <r>
      <t xml:space="preserve">Переобучение моделей с учетом цесионных договоров и переводов СБП
</t>
    </r>
    <r>
      <rPr>
        <sz val="10"/>
        <color rgb="FFFF0000"/>
        <rFont val="Calibri"/>
        <scheme val="minor"/>
      </rPr>
      <t>включаем, если недорого и несложно</t>
    </r>
  </si>
  <si>
    <t>Средства в других банках (оттоки + Госуслуги)+ open-banking ?  (премиальные клиенты)</t>
  </si>
  <si>
    <t>(Батч) Поиск или возврат средств по данным: - клиент увел деньги в банк-конкурент (сделать триггер на возврат после X мес)- Госуслуги - от налога на вклады (2-НДФЛ) вычислять средства в банках конкурентах -&gt; Продажи продуктов банка состоятельным клиентам. Работа ПМ по привлечению состоятельных клиентов -&gt; Рост продаж. Рост AUM. Конверсия в пакет услуг Привелегия/Прайм</t>
  </si>
  <si>
    <t>Проверка фактических доходов, собранных ДCRM для Расти с ВТБ в моделях PD и СИ</t>
  </si>
  <si>
    <t>Антон Кукса, Алексей Ирзун, Ольга Нуждова, Мария Бекузарова, Егор Морев, Антон Зубков</t>
  </si>
  <si>
    <t>Модель оттока (кросс-продуктовая, кросс-проблематичная, модель должна определить, почему клиент оттекает ) и удержания (премиальные клиенты)</t>
  </si>
  <si>
    <t>(Онлайн) Две вещи и вероятность оттока из пакета и оттока денег (уменьшение аум), отток даунгрейд в нижний сегмент и отток в неактивную клиентскую базу, понимать причину оттоку, профиль клиента понимать. В источники данных учитывать жалобы клиентов. -&gt; Удержание клиента. Коммуникация с ПМ. Продажи продуктов банка состоятельным клиентам -&gt; Churn rate, Churn AUM, Churn inactive</t>
  </si>
  <si>
    <r>
      <t xml:space="preserve">Оценка влияния на применение моделей использования восстановленной КИ
</t>
    </r>
    <r>
      <rPr>
        <sz val="10"/>
        <color rgb="FFFF0000"/>
        <rFont val="Calibri"/>
        <scheme val="minor"/>
      </rPr>
      <t xml:space="preserve">что такое восстановленная КИ? </t>
    </r>
  </si>
  <si>
    <t>Collection</t>
  </si>
  <si>
    <t>Кадырова Екатерина, ДРКР</t>
  </si>
  <si>
    <t>модели 150-</t>
  </si>
  <si>
    <t>Pre-collection, 4-10, 10-30, 31-60, 61-90, 91-120, 121-150, с делением soft/hard на 31-150 - ежегодное обновление</t>
  </si>
  <si>
    <t>Collection РБ</t>
  </si>
  <si>
    <r>
      <t xml:space="preserve">Модель поиска оптимальных подсегментов для применения моделей
</t>
    </r>
    <r>
      <rPr>
        <sz val="10"/>
        <color rgb="FFFF0000"/>
        <rFont val="Calibri"/>
        <scheme val="minor"/>
      </rPr>
      <t xml:space="preserve">уточнить про суть задачи и применение к каким моделям? </t>
    </r>
  </si>
  <si>
    <t>модели реструктуризации и комплексного урегулирования</t>
  </si>
  <si>
    <t>обновление и перевод на единую модель КУ в проактиве и реактиве</t>
  </si>
  <si>
    <t>Выделение связанных с риском категорий товаров и изменений покупок в них на основе НСПК и Wildberries</t>
  </si>
  <si>
    <t>модели Cash Flow 31-150</t>
  </si>
  <si>
    <t>обновление</t>
  </si>
  <si>
    <t>Учесть данные о своевременности оплаты ЖКХ и связи из БКИ
(Неиспользуемый блок информации, которые получаем из БКИ)</t>
  </si>
  <si>
    <t>модель банкротства поведенческая</t>
  </si>
  <si>
    <t>Учесть данные судов
(Требуется поиск информации)</t>
  </si>
  <si>
    <t>скоринговое соревнование для Collection</t>
  </si>
  <si>
    <t>запрос скоров для моделей 150- у БКИ, телекомов и иных поставщиков для оценки приростов и потенциальной закупки</t>
  </si>
  <si>
    <t xml:space="preserve">Регулярное перестроение модели СИ </t>
  </si>
  <si>
    <t xml:space="preserve">причины регулярного перестроения модели СИ: деградация действующих моделей, изменение кредитной стратегии, изменение профиля клиента </t>
  </si>
  <si>
    <t>добавление новых фичей в модели 150-</t>
  </si>
  <si>
    <t>анализ новых источников потенциальной информации</t>
  </si>
  <si>
    <t xml:space="preserve">Анализ дополнительных внутренних и внешних источников для повышения точности и охвата моделей, расширения таргета </t>
  </si>
  <si>
    <t>нейронки в collection</t>
  </si>
  <si>
    <t>моделирование стандартных и альтернативных таргетов 150- с помощью нейросетей</t>
  </si>
  <si>
    <r>
      <t xml:space="preserve">Модификация loss функции при обучении модели СИ
</t>
    </r>
    <r>
      <rPr>
        <sz val="10"/>
        <color rgb="FFFF0000"/>
        <rFont val="Calibri"/>
        <scheme val="minor"/>
      </rPr>
      <t xml:space="preserve">включаем только если есть понятный путь по достижению результата </t>
    </r>
  </si>
  <si>
    <t>оптимизация выбора инструмента взыскания на стадии 150-</t>
  </si>
  <si>
    <t>с помощью методов обучения с подкреплением (reinforcement learning)</t>
  </si>
  <si>
    <r>
      <t xml:space="preserve">Переработка УАСП
(Прямая интеграция с сервисом для потоковых данных)
</t>
    </r>
    <r>
      <rPr>
        <sz val="10"/>
        <color rgb="FFFF0000"/>
        <rFont val="Calibri"/>
        <scheme val="minor"/>
      </rPr>
      <t xml:space="preserve">уточнить подробнее, что подразумевается? </t>
    </r>
  </si>
  <si>
    <t>модель прогнозирования преднамеренного банкротства</t>
  </si>
  <si>
    <t>новый таргет модели банкротства</t>
  </si>
  <si>
    <t>Перестроение аппликативной модели КН ВТБ Беларусь</t>
  </si>
  <si>
    <t>Ипатьев Константин, ДФУ</t>
  </si>
  <si>
    <t>построение моделей ДБ необходимо для организации и сопровождения контроля рисков в рамках риск-курирования дочерних компаний
приоритеты для команды по разработке ДБ в своответсвии со сроками разработок</t>
  </si>
  <si>
    <t>добавление новых фичей в модели 150+</t>
  </si>
  <si>
    <t>150+ (софт, хард, КА, а также Legal и модели банкротства РТК) - анализ новых источников потенциальной информации</t>
  </si>
  <si>
    <t>Перестроение аппликативной модели POS ВТБ Беларусь</t>
  </si>
  <si>
    <t>модель банкротства РТК</t>
  </si>
  <si>
    <t>Перестроение аппликативной модели POS ВТБ Армения</t>
  </si>
  <si>
    <t>модель сохранения баланса 1-90</t>
  </si>
  <si>
    <t>полное гашение или 1 платеж</t>
  </si>
  <si>
    <t>Разработка аппликативной модели КН Вьетнам</t>
  </si>
  <si>
    <t>модель DebtSale</t>
  </si>
  <si>
    <t>обновление с горизонтом 3 года</t>
  </si>
  <si>
    <t>модель аргументов</t>
  </si>
  <si>
    <t>модель рекомендаций для оператора в части аргументов, которые он может озвучить клиенту, чтобы замотивировать его на оплату (УЦК)</t>
  </si>
  <si>
    <t>Дульбинова Анастасия</t>
  </si>
  <si>
    <t xml:space="preserve">Переработка  моделей дохода для КН и КК для целей расчета лимитов неЗП (проактив) с согласием </t>
  </si>
  <si>
    <t xml:space="preserve">для целей расчета лимитов в проактиве целесобразно запланировать перестроение бизнес-моделей дохода в связи с деградацией действующих моделей </t>
  </si>
  <si>
    <t>модель робот/оператор/чат</t>
  </si>
  <si>
    <t>модель рекомендации для стратегии, какой канал коммуникации эффективен для клиента робот/оператор или чат (УЦК, модель чата ВТБО как нового инструмента в дополнение к роботу и оператору) - новая модель чата + обновление по роботу/оператору</t>
  </si>
  <si>
    <t>Переработка  моделей дохода для КН и КК для целей расчета лимитов неЗП (проактив) без согласия</t>
  </si>
  <si>
    <t>оптимизация выбора инструмента (действия) на стадии исполнительного производства</t>
  </si>
  <si>
    <t>с помощью методов обучения с подкреплением или иных способов моделирования</t>
  </si>
  <si>
    <t>Анализ внутренних источников для повышения точности моделей</t>
  </si>
  <si>
    <t>цифровой помощник КЦ collection</t>
  </si>
  <si>
    <t>summary разговора, статус результата, подсказки оператору во время разговора на основе информации о клиенте (портрет клиента)</t>
  </si>
  <si>
    <t>Цифровой помощник</t>
  </si>
  <si>
    <r>
      <t xml:space="preserve">Перестроение регуляторной модели для неЗП с согласием (либо по всему сегменту либо </t>
    </r>
    <r>
      <rPr>
        <b/>
        <sz val="10"/>
        <color rgb="FF000000"/>
        <rFont val="Calibri"/>
        <scheme val="minor"/>
      </rPr>
      <t>по сегменту без ЦПГ</t>
    </r>
    <r>
      <rPr>
        <sz val="10"/>
        <color rgb="FF000000"/>
        <rFont val="Calibri"/>
        <scheme val="minor"/>
      </rPr>
      <t>)</t>
    </r>
  </si>
  <si>
    <r>
      <t>необходимость в перестроении будет только при сохранении возможности использовать модельный доход в ПДН -</t>
    </r>
    <r>
      <rPr>
        <sz val="10"/>
        <color rgb="FFFF0000"/>
        <rFont val="Calibri"/>
        <scheme val="minor"/>
      </rPr>
      <t xml:space="preserve"> </t>
    </r>
    <r>
      <rPr>
        <b/>
        <sz val="10"/>
        <color rgb="FF7030A0"/>
        <rFont val="Calibri"/>
        <scheme val="minor"/>
      </rPr>
      <t>зависит от ЦБ</t>
    </r>
  </si>
  <si>
    <t>умный поиск по внутренней документации ДФУ</t>
  </si>
  <si>
    <t>помощник сотрудника</t>
  </si>
  <si>
    <t>Подготовка ежемесячной отчетности по регуляторным моделям дохода (неЗП)</t>
  </si>
  <si>
    <t>модели оптимизации расходов на дорогие инструменты взыскания</t>
  </si>
  <si>
    <t>Хард-выезды, отсуживание с учетом ГП</t>
  </si>
  <si>
    <t>-</t>
  </si>
  <si>
    <t>Технический мониторинг моделей, контроль внедрения калибровок (с учетом шкал), анализ проблем в случае возникновения</t>
  </si>
  <si>
    <t>модель списания автокредитов</t>
  </si>
  <si>
    <t>несмотря на залоги</t>
  </si>
  <si>
    <t>Оперативный мониторинг моделей, анализ проблем в случае возникновения</t>
  </si>
  <si>
    <t>модель RPC</t>
  </si>
  <si>
    <t>обновление с учетом числа попыток, для оптимизации расходов</t>
  </si>
  <si>
    <t>Аналитический мониторинг моделей, анализ проблем в случае возникновения</t>
  </si>
  <si>
    <t>ДРКБ (CRM)</t>
  </si>
  <si>
    <t>Слеповичев А.
Романова С.</t>
  </si>
  <si>
    <t>Модель склонности клиентов к трансграничным переводам</t>
  </si>
  <si>
    <t>Нужны клиенты которые мало переводят, или еще не переводили деньги за границу, но по его тратам и интересам понимаем что клиенту это предложение будет релевантно.</t>
  </si>
  <si>
    <t>CRM</t>
  </si>
  <si>
    <t>Качество данных витрин для применения моделей (включая анализ спецзначений)</t>
  </si>
  <si>
    <t>Модель склонности игровым сервисам</t>
  </si>
  <si>
    <t>Нужны клиенты склонные к покупкам в игровых сервисах Steam, Roblox и др.</t>
  </si>
  <si>
    <t>Доработки по витринам моделей, поставленным на Мониторинг</t>
  </si>
  <si>
    <t>Слеповичев А.
Носов Ю.
Романова С.</t>
  </si>
  <si>
    <t xml:space="preserve">Обспечить выгрузку скоров по модели Бесконечная полка в СУМК </t>
  </si>
  <si>
    <t>Необходимо передача скора Бесконечной полки в СУМК для того, чтобы мы могли направлять активные коммуникации по клиентам с высокими скорами</t>
  </si>
  <si>
    <t>Развитие платформы мониторинга</t>
  </si>
  <si>
    <t xml:space="preserve">Лихоненко Р. 
Обрубова Е. </t>
  </si>
  <si>
    <t>Модель склонности по внешним данным с ВБ</t>
  </si>
  <si>
    <t>ДРКР</t>
  </si>
  <si>
    <t>Лукина В.</t>
  </si>
  <si>
    <t>Расширение семейных витрин в РКК</t>
  </si>
  <si>
    <t>расширение состава семейных витрин для применения в РКК</t>
  </si>
  <si>
    <t xml:space="preserve">Витрин </t>
  </si>
  <si>
    <t>Витрины для РКК</t>
  </si>
  <si>
    <t>Обновление модели склонности к страхованию/Новая модель склонности к конкретным страховкам</t>
  </si>
  <si>
    <t>ДРКБ</t>
  </si>
  <si>
    <t>Трунова В.</t>
  </si>
  <si>
    <t>семейные витрины для фрода в реферальной программе</t>
  </si>
  <si>
    <t>расширение состава семейных витрин и интеграция в стоп-листы для предотвращения фрода по реферальной программе во фронте</t>
  </si>
  <si>
    <t>Крайнова Ю.</t>
  </si>
  <si>
    <t>Витрины ДАДМ</t>
  </si>
  <si>
    <t>Обновление модели оттока с ЗП (учет ухода ЮЛ)</t>
  </si>
  <si>
    <t>-  обновление модели оттока клиентов из ЗП портфеля — добавление фактора работодателя клиента</t>
  </si>
  <si>
    <t>Финансовое моделирование</t>
  </si>
  <si>
    <t>Роман Альшевский, Управление координации и поддержки CRM</t>
  </si>
  <si>
    <t>Продолжение проекта Моделирование LTV для клиентов банка-Физических лиц</t>
  </si>
  <si>
    <t xml:space="preserve">Раазвитие задачи моделирования CLTV клиента: добавление новых продуктов для моделирования страхование и инвестиционный бизнес, создание технологического решения факторного анализа, расширение горизонта моделирования до 3 лет по основным продуктам </t>
  </si>
  <si>
    <t>Разработка модели оттока с ЗП Легко</t>
  </si>
  <si>
    <t>- разработка модели оттока клиентов ЗП Легко (синтетических ЗП)</t>
  </si>
  <si>
    <t>Фадеева Ирина Департамент транзакционного бизнеса</t>
  </si>
  <si>
    <t>СМБ,КИБ</t>
  </si>
  <si>
    <t xml:space="preserve">Оценка полезности клиентов ЮЛ </t>
  </si>
  <si>
    <t xml:space="preserve">Реализация расчет полезности через аналитическую оценку возможного появления новых продуктов.  
What-if анализ по расчету доходности </t>
  </si>
  <si>
    <t>Модель склонности к ЗП Легко (на базе модели самозачислений)</t>
  </si>
  <si>
    <t>- обновление модели склонности клиентов к автопополнениям/самозачислениям для использования по продукту ЗП Легко (синтетические ЗП)</t>
  </si>
  <si>
    <t xml:space="preserve">Пардонов Андрей, Казначейство </t>
  </si>
  <si>
    <t>КЦ</t>
  </si>
  <si>
    <t>Расчет опционов досрочного погашения для задач трансфертного ценообразования</t>
  </si>
  <si>
    <t xml:space="preserve">Разработка моделей оценки спредов за опциональность для продуктов «Автокредитование» и «Потребительское кредитование». Разработка методологии оценки спредов за опциональность для продукта «Ипотека без господдержки». Есть поручение ФК </t>
  </si>
  <si>
    <t>Кластерная модель по выводильщикам ФОТ</t>
  </si>
  <si>
    <t>- разработка модели кластеризации клиентов — выводильщиков ФОТ</t>
  </si>
  <si>
    <t>Дремов Алексей, Управление развития и поддержки розничных продаж</t>
  </si>
  <si>
    <t>Оценка влияния категории кэшбеков на оценки по POS оборотам</t>
  </si>
  <si>
    <t>Оценка влияния категории кэшбеков на оценки пос оборотов 
(Управление метриками финансового поведения)</t>
  </si>
  <si>
    <t>Яковлева Е.</t>
  </si>
  <si>
    <t>Обновление модели склонности к Переводу пенсии</t>
  </si>
  <si>
    <t>Сучков Андрей, Управление секьюритизации</t>
  </si>
  <si>
    <t>Моделирование сделок секьюритизации ипотечного портфеля</t>
  </si>
  <si>
    <t>Развитие моделирование ипотечного портфеля в рамках сделок секьюритизации (Объединить с ИС РА)</t>
  </si>
  <si>
    <t>Буланова Елена, ДИУР</t>
  </si>
  <si>
    <t>Развитие моделей балансовых рисков</t>
  </si>
  <si>
    <t>1. Внедрение моделей досрочного отзыва депозитов ФЛ и ЮЛ
2. Внедрение моделей оттоков клиентских средств
3. Разработка моделей для оценки ЭК на основе стохастического подхода
4. Внедрение моделей досрочного закрытия кредитов ФЛ
5. Разработка моделей непогашения кредитов ЮЛ
6. Разработка моделей досрочных погашений кредитов ЮЛ
7. Внедрение моделей по ипотечному портфелю ВТБ и портфелю средств ФЛ в процессы Управления рыночных рисков и Казначейства</t>
  </si>
  <si>
    <t xml:space="preserve">Балтаева О. </t>
  </si>
  <si>
    <t xml:space="preserve">Калибровка/разработка новых моделей склонности к TOP UP и PACL REFIN+TOP UP REFIN. </t>
  </si>
  <si>
    <t>Братцев Денис Михайлович</t>
  </si>
  <si>
    <t>Стохастическое моделирование процентного риска в проектном финансировании жилищного строительства.
Стресс-тестирование.</t>
  </si>
  <si>
    <t xml:space="preserve">1. Определение параметров процентного риска: выбор ключевых процентных ставок (ключевая ставка ЦБ РФ, MosPrime, …); анализ исторической динамики и их волательности; 
2. Выбор стохастической модели ставок и модели рыночных кривых;
3. Генерация сценариев (метод Монте-Карло): калибровка параметров моделей на исторических данных; генерация множества траекторий изменения ставок; учёт корреляций с прочими рисками (валютный, кредитный). (Кросс ГГБЛ риск проект) </t>
  </si>
  <si>
    <t>Развитие моделей Казначейства</t>
  </si>
  <si>
    <t>Доработка и обновление комплексов моделей (средства и кредиты ФЛ, ЮЛ) Внедрение комплексов моделей в ПРОМ-системы и бизнес-процессы Казначейства по ресурсному планированию Разработка продвинутых стохастических моделей процентных ставок для управления процентным риском</t>
  </si>
  <si>
    <t>Сегментная модель склонности к кредиту для пенсионеров</t>
  </si>
  <si>
    <t>Департамент залогов</t>
  </si>
  <si>
    <t>Экспресс-оценка типовой коммерческой недвижимости</t>
  </si>
  <si>
    <t>AI- модели партнерств</t>
  </si>
  <si>
    <t>Гео AI</t>
  </si>
  <si>
    <t>Стрим Лояльность</t>
  </si>
  <si>
    <t>Синенко Роман, Управление "Расти с ВТБ"</t>
  </si>
  <si>
    <t>Моделирование  надбавок для разных уровней ЗХТ в рамках Расти с ВТБ</t>
  </si>
  <si>
    <t>Оценивать стоимость вознаграждения через ЧОД (модели досрочных изъятий) и доп. ЧОД при достижении условий ЗХТ — на уровне клиента и варианта предложения, с оптимизацией. Оценивать вероятность отклика на вознаграждения. Для неэластичных клиентов — завышать порог ЗХТ или менять вид вознаграждения</t>
  </si>
  <si>
    <t>Модель склонности оформления недвижимости в залог по кредиту</t>
  </si>
  <si>
    <t xml:space="preserve">Департамент по работе с персоналом </t>
  </si>
  <si>
    <t>Лафицкая Ирина Сергеевна</t>
  </si>
  <si>
    <t>Доработки корпоративного портала «Старт»</t>
  </si>
  <si>
    <t>Модели ЦП</t>
  </si>
  <si>
    <t>Гальцева Анастасия, ДРКР</t>
  </si>
  <si>
    <t>Оценка дюрации основных кредитных продуктов для задач оценки доходности</t>
  </si>
  <si>
    <t>Оценка дюрации основных кредитных продуктов для задач оценки доходности: расчета компонентов КОР, расчета ЕРОА</t>
  </si>
  <si>
    <t>Балтаева О.И.
Блинова А.Н.</t>
  </si>
  <si>
    <t>Модель склонности к рассрочке по КК</t>
  </si>
  <si>
    <r>
      <rPr>
        <sz val="10"/>
        <color rgb="FF22242A"/>
        <rFont val="Arial"/>
      </rPr>
      <t>Департамент анализа данных и моделирования</t>
    </r>
    <r>
      <rPr>
        <sz val="10"/>
        <color rgb="FF000000"/>
        <rFont val="Arial"/>
      </rPr>
      <t xml:space="preserve"> </t>
    </r>
  </si>
  <si>
    <t>Гриняев Алексей Андреевич</t>
  </si>
  <si>
    <t>ИИ-агент оценки качества ведения аварийных ситуаций в чатах ОУ</t>
  </si>
  <si>
    <t>Модели ИТ</t>
  </si>
  <si>
    <t>Создание информационной системы расчетный агент для задач управления Секьюритизации</t>
  </si>
  <si>
    <t>Создание высокопроизводительного, нового програмного обеспечения для задач расчетного агента ВТБ по облигациям (автоматизация ручного процесса с применением таблиц/excel). (Объединить с Секьюр)</t>
  </si>
  <si>
    <t>Модель склонности к КК с ежедневной комиссией</t>
  </si>
  <si>
    <r>
      <rPr>
        <sz val="10"/>
        <color rgb="FF232431"/>
        <rFont val="Arial"/>
      </rPr>
      <t>Департамент транзакционного бизнеса</t>
    </r>
    <r>
      <rPr>
        <sz val="10"/>
        <color rgb="FF000000"/>
        <rFont val="Arial"/>
      </rPr>
      <t xml:space="preserve"> </t>
    </r>
  </si>
  <si>
    <t xml:space="preserve">
Досаева Асия Дамировна</t>
  </si>
  <si>
    <t>Интеграционные решения API (Чат-бот при H2H-взаимодействии потребителей API ДБО КИБ на Портале разработчика (ИС 1981 + ДБО КИБ)</t>
  </si>
  <si>
    <t>Носов Ю.</t>
  </si>
  <si>
    <t xml:space="preserve">Обновление модели Бесконечная полка ТП с учетом контекста
</t>
  </si>
  <si>
    <t>Обучение на данных последних периодов. Заложить расширение до 5 продуктов.</t>
  </si>
  <si>
    <t>Модель склонности к продукту "Запасной кошелек"
(Запасной кошелек с расширенным лимитом КОБ Молодежь, Строящие карьеру, Трудоспособные)</t>
  </si>
  <si>
    <t xml:space="preserve">Департамент сопровождения транзакционных продуктов </t>
  </si>
  <si>
    <r>
      <t xml:space="preserve">Кузмичева Наталья Евгеньевна
</t>
    </r>
    <r>
      <rPr>
        <sz val="10"/>
        <color rgb="FF22242A"/>
        <rFont val="Arial"/>
      </rPr>
      <t>Алдошин Александр Евгеньевич</t>
    </r>
    <r>
      <rPr>
        <sz val="10"/>
        <color rgb="FF000000"/>
        <rFont val="Arial"/>
      </rPr>
      <t xml:space="preserve"> 
</t>
    </r>
  </si>
  <si>
    <t>Агент для валютного контроля</t>
  </si>
  <si>
    <t>Антифрод ML</t>
  </si>
  <si>
    <t>Розничный бизнес ВТБ</t>
  </si>
  <si>
    <t>Коротков Александр Владимирович</t>
  </si>
  <si>
    <t>Кредитный советник (ЦФС «Кредитный советник»)</t>
  </si>
  <si>
    <t xml:space="preserve">Модель определения лучшей локации и позиции ВТБо для продукта бесконечной полки.
Модель с регулярным дообучением на данных откликов.
</t>
  </si>
  <si>
    <t>Модель склонности к подключению платных каникул</t>
  </si>
  <si>
    <r>
      <rPr>
        <sz val="10"/>
        <color rgb="FF22242A"/>
        <rFont val="Arial"/>
      </rPr>
      <t>Департамент анализа данных и моделирования</t>
    </r>
    <r>
      <rPr>
        <sz val="10"/>
        <color rgb="FF000000"/>
        <rFont val="Arial"/>
      </rPr>
      <t xml:space="preserve"> </t>
    </r>
  </si>
  <si>
    <t xml:space="preserve">Гриняев Алексей Андреевич
</t>
  </si>
  <si>
    <t>Модель прогнозирования отказов оборудования</t>
  </si>
  <si>
    <t>ЦП «Почувствуй заботу»: агентское исполнение сценариев безопасности, подписок, возвратов и налоговых вычетов (агенты A1–A4)</t>
  </si>
  <si>
    <t>Расти с ВТБ</t>
  </si>
  <si>
    <t>??</t>
  </si>
  <si>
    <t>Модель прогнозирования AUM  и кошелька/капитала/сбережений клиента</t>
  </si>
  <si>
    <t>Модель склонности к оформлению кредита в МФО</t>
  </si>
  <si>
    <t>Департамент по работе с персоналом</t>
  </si>
  <si>
    <r>
      <rPr>
        <i/>
        <sz val="10"/>
        <color rgb="FF000000"/>
        <rFont val="Arial"/>
      </rPr>
      <t>Хасанов Рустем Мансурович</t>
    </r>
    <r>
      <rPr>
        <sz val="10"/>
        <color rgb="FF000000"/>
        <rFont val="Arial"/>
      </rPr>
      <t xml:space="preserve"> (Заказчик)
</t>
    </r>
    <r>
      <rPr>
        <i/>
        <sz val="10"/>
        <color rgb="FF000000"/>
        <rFont val="Arial"/>
      </rPr>
      <t>Киселева Анастасия Андреевна</t>
    </r>
    <r>
      <rPr>
        <sz val="10"/>
        <color rgb="FF000000"/>
        <rFont val="Arial"/>
      </rPr>
      <t xml:space="preserve"> (контактное лицо в документе)
</t>
    </r>
    <r>
      <rPr>
        <sz val="10"/>
        <color rgb="FF000000"/>
        <rFont val="Arial"/>
      </rPr>
      <t>Тлустая Анастасия (в почте)</t>
    </r>
  </si>
  <si>
    <t>Предиктивная модель текучести кадров</t>
  </si>
  <si>
    <t>ДКО Управление «Голосовой ассистент»</t>
  </si>
  <si>
    <t xml:space="preserve">Е.В. Склярова </t>
  </si>
  <si>
    <t xml:space="preserve">Цифровой помощник для сотрудников контактного центра </t>
  </si>
  <si>
    <t>ДРКБ (УЦП) Семейный Банк</t>
  </si>
  <si>
    <t>Горбунова Евгения</t>
  </si>
  <si>
    <t>Модель наличия детей на текущий момент</t>
  </si>
  <si>
    <t>Модель склонности к продукту "Зарплата каждый день"</t>
  </si>
  <si>
    <t>Предсказание наличия детей ("скрытые" дети, которых нет в витрине семейных связей и в группе близких)
Зависимость от наличия и достаточности данных. Формирование целевой переменной - подтвержденные семейные связи, взятие семейной ипотеки, декретные выплаты в прошлом, повышенные расходы перед 1 сентября</t>
  </si>
  <si>
    <t>Управление инфраструктуры налично-денежного обращения</t>
  </si>
  <si>
    <t>Сундуков Антон Валерьевич
Андреев Алексей Сергеевич
Вставский Александр Александрович</t>
  </si>
  <si>
    <t>Аномальные операции при кассово-инкассационном обслуживании</t>
  </si>
  <si>
    <t>Егорочкин Иван Владимирович</t>
  </si>
  <si>
    <t>АВЧ — «Агент взаимодействия с человеком»: единый диалоговый ассистент банка поверх доменных агентов</t>
  </si>
  <si>
    <t>Модель предсказания жизненных событий: рождение ребенка на горизонте 3 мес</t>
  </si>
  <si>
    <t>Обновление моделей по предодобренным кредитным продуктам 2021-2023 гг. в разрезе МП РА, СРА, NPA ( КН, КК, ИК)</t>
  </si>
  <si>
    <t>* 10 моделей
* список сегментов для моделей не определен, Заказчик вернется в ближайшее время
* применение батч 1 раз в мес</t>
  </si>
  <si>
    <t>Предсказание рождения ребенка - увеличение расходов, снижение доходов из-за декрета (для фин. здоровья). Приглашение - создайте семейную группу для увеличения кэшбека на детские товары
Зависимость от наличия и достаточности данных. Целевая переменная на основе увеличения трат на детские магазины, изменение статуса в заявках/страховках, декретные выплаты, переводы с комментарием "Няне"</t>
  </si>
  <si>
    <t xml:space="preserve">Помощник контрагента </t>
  </si>
  <si>
    <t>Департамента продуктов розничного бизнеса
Департамент развития клиентской базы</t>
  </si>
  <si>
    <t>Серякова О.А.
Устюгов А.А.</t>
  </si>
  <si>
    <t>Цифровой помощник по платежам</t>
  </si>
  <si>
    <t>Манухина Софья Владимировна</t>
  </si>
  <si>
    <t>Интеграционные решения API_smart-анкета</t>
  </si>
  <si>
    <t xml:space="preserve">Модели отклика КН с моментальным залогом </t>
  </si>
  <si>
    <t>Модель предсказания жизненных событий: свадьба на горизонте 3 мес</t>
  </si>
  <si>
    <t>Модель предсказания свадьбы - значительные разовые траты клиентов (для фин. здоровья). Приглашение создать группу с новой семьей. 
Зависимость от наличия и достаточности данных. 
Целевая переменная - изменение семейного статуса, расходы на свадебные салоны</t>
  </si>
  <si>
    <t>Департамент развития клиентской базы</t>
  </si>
  <si>
    <t>Устюгов А.А.</t>
  </si>
  <si>
    <t>Decision Hub — управляемый слой контекста и принятия решения для ИИ-агентов (ИС 3814 «Платформа цифровых агентов и помощников», ИС 3863 «Цифровые помощники РБ»)</t>
  </si>
  <si>
    <r>
      <rPr>
        <sz val="10"/>
        <color rgb="FF2C2D2E"/>
        <rFont val="Arial"/>
      </rPr>
      <t>служба автоматизации внутренних процессов и сервисов</t>
    </r>
    <r>
      <rPr>
        <sz val="10"/>
        <color rgb="FF000000"/>
        <rFont val="Arial"/>
      </rPr>
      <t xml:space="preserve"> </t>
    </r>
  </si>
  <si>
    <t>Штрыков Ростислав Романович</t>
  </si>
  <si>
    <t>Балтаева О.И.</t>
  </si>
  <si>
    <t>Единый контур ИИ-агентов АД для аварий, обращений, документов, аналитики и управленческих сводок</t>
  </si>
  <si>
    <t xml:space="preserve">Департамент комплаенс контроля и финансового мониторинга </t>
  </si>
  <si>
    <t>Переработка механизма VBP по кредитам наличными</t>
  </si>
  <si>
    <t xml:space="preserve">
Минтий Тимофей Владиславович</t>
  </si>
  <si>
    <t>Модель предсказания жизненных событий: развод на горизонте 3 мес</t>
  </si>
  <si>
    <t>Модель предсказания развода. Переформирование бюджета с общего на индивидуальный (для фин. здоровья).
Зависимость от наличия и достаточности данных. 
Целевая переменная - изменение семейного статуса</t>
  </si>
  <si>
    <t>Ответы на запросы надзорных органов</t>
  </si>
  <si>
    <t xml:space="preserve">VTB Perplexity </t>
  </si>
  <si>
    <t>Трунова В.В. (Денисов Е.М, Жегалова Е.С.)</t>
  </si>
  <si>
    <t>Входной контроль пакета документов в рамках арбитража (запросов документов и разблокировок клиентов по линии ПОД/ФТ)</t>
  </si>
  <si>
    <t>Разработка LLM модели цифровых двойников для использования в платформе А/В тестов</t>
  </si>
  <si>
    <t>Для проведения тестирования и проверки CRM гипотез необходимо реализовать функционал "цифровых двоиников" на сгенерированных данных, которые имитируют цифровые профили реальных клиентов</t>
  </si>
  <si>
    <t>Модель предсказания жизненных событий: повышение в должности на горизонте 3 мес</t>
  </si>
  <si>
    <t>Увеличение дохода семьи (для фин. здоровья).
Зависимость от наличия и достаточности данных. 
Целевая переменная - сильное повышение зарплаты за небольшой период (30+%), анкетные данные</t>
  </si>
  <si>
    <t>Пересмотреть оценку</t>
  </si>
  <si>
    <r>
      <rPr>
        <sz val="10"/>
        <color rgb="FF2C2D2E"/>
        <rFont val="Arial"/>
      </rPr>
      <t>служба автоматизации внутренних процессов и сервисов</t>
    </r>
    <r>
      <rPr>
        <sz val="10"/>
        <color rgb="FF000000"/>
        <rFont val="Arial"/>
      </rPr>
      <t xml:space="preserve"> </t>
    </r>
  </si>
  <si>
    <t>ИИ Модель прогнозирования отказов оборудования</t>
  </si>
  <si>
    <t>Анализ подозрительной деятельности клиента с формированием мотивированных суждений</t>
  </si>
  <si>
    <t>Разработка и применение LLM модели для глубокой аналитики по А/В тестам</t>
  </si>
  <si>
    <t>Для проведения оценки  эффективности запускаемых экспериментов неоходимо реализовать LLM модель, которая поможет проанализировать большой массив данных и сформирует бизнесс-выводы.</t>
  </si>
  <si>
    <t>Модель предсказания жизненных событий: переезд на горизонте 3 мес</t>
  </si>
  <si>
    <t>Разовые большие расходы (для фин. здоровья)
Зависимость от наличия и достаточности данных. 
Целевая переменная - смена прописки/факт. места жительства</t>
  </si>
  <si>
    <t>Департамент ИТ-архитектуры</t>
  </si>
  <si>
    <t>Бова С.Н.</t>
  </si>
  <si>
    <t>Маршрутизация и фильтрация входящих сообщений, поступающих по корпоративной электронной почте</t>
  </si>
  <si>
    <t xml:space="preserve">Агент генерации бизнес-метаданных и контроля полноты описания метаданных </t>
  </si>
  <si>
    <t>Айнетдинова Ю.
Кузина Н.И.</t>
  </si>
  <si>
    <t xml:space="preserve">Модель оценки склонности к риску </t>
  </si>
  <si>
    <t>Для оценки склонности клиента к рисковым или консервативным инструментам</t>
  </si>
  <si>
    <t>Модели прогнозирования капитала и сбережений/накоплений клиента и обобщение на уровень семьи</t>
  </si>
  <si>
    <t>встраивание в управление бюджетом семьи совместно с моделями доходов и расходов. Поверх данных моделей — LLM для генерации советов для достижения целей накоплений на разные цели (расширение жилищных условий, покупка авто и пр.)</t>
  </si>
  <si>
    <r>
      <rPr>
        <sz val="10"/>
        <color rgb="FF2C2D2E"/>
        <rFont val="Arial"/>
      </rPr>
      <t>отдел методологии дистанционного обучения</t>
    </r>
    <r>
      <rPr>
        <sz val="10"/>
        <color rgb="FF000000"/>
        <rFont val="Arial"/>
      </rPr>
      <t xml:space="preserve"> </t>
    </r>
  </si>
  <si>
    <t>База знаний и ИИ-ассистент по ВНД ДККиФМ</t>
  </si>
  <si>
    <t>Терешин Михаил Олегович</t>
  </si>
  <si>
    <t>ДелайКурс с ИИ</t>
  </si>
  <si>
    <t>Модель апсейла для инвестиционных продуктов</t>
  </si>
  <si>
    <t>Для оценки готовности/склонности клиента с базовым БС к покупке более сложных инструментов (напр структурные ноты, фьючерсы, и.т.д)</t>
  </si>
  <si>
    <t>Стратегия управления семейным капиталом/накоплениями</t>
  </si>
  <si>
    <t>Поиск и сбор данных в открытых источниках о ПДЛ</t>
  </si>
  <si>
    <t>Чат-бот при  H2H-взаимодействии потребителей API ДБО КИБ на Портале разработчика</t>
  </si>
  <si>
    <t>Модели выделения тематик переводов для поиска жизненных ситуаций (аренда, пожертвования, сборы родительского комитета и пр.) </t>
  </si>
  <si>
    <t>Предварительный анализ артефактов для соблюдения требований ДККиФМ по новым продуктам и услугам в Банке</t>
  </si>
  <si>
    <r>
      <rPr>
        <sz val="10"/>
        <color rgb="FF2C2D2E"/>
        <rFont val="Arial"/>
      </rPr>
      <t>служба автоматизации внутренних процессов и сервисов</t>
    </r>
    <r>
      <rPr>
        <sz val="10"/>
        <color rgb="FF000000"/>
        <rFont val="Arial"/>
      </rPr>
      <t xml:space="preserve"> </t>
    </r>
  </si>
  <si>
    <t>Бот для оценки качества ведения аварий</t>
  </si>
  <si>
    <t>Советы по финансовому здоровью семьи (статистики переводов, трат, доходы, расходы, платежей и пр.)</t>
  </si>
  <si>
    <t xml:space="preserve">Советы по финансовому здоровью семьи  — LLM советы по оптимизации трат, сокращение кассовых разрывов и пр. Расчет различных показателей фин. здоровья семьи и вывод клиентам в ВТБО данной статистики (по семье и по кластерам семей).
</t>
  </si>
  <si>
    <t>Мониторинг изменений в законодательстве РФ</t>
  </si>
  <si>
    <t xml:space="preserve">Департамент продаж продуктов финансовых рынков </t>
  </si>
  <si>
    <t xml:space="preserve">Мартыненко Вадим, Парфенов Алексей </t>
  </si>
  <si>
    <t>Агент-помощник по обработке залоговой документации</t>
  </si>
  <si>
    <t>Валидатор клиентских сведений в ИТ-системах и копиях клинтских документов</t>
  </si>
  <si>
    <t xml:space="preserve">LGD Ипотека (131)  - сопровождение проверки Банка России, внедрение модели, мониторинг </t>
  </si>
  <si>
    <r>
      <rPr>
        <sz val="10"/>
        <color rgb="FF2C2D2E"/>
        <rFont val="Arial"/>
      </rPr>
      <t>Департамент технологического развития систем поддержки бизнеса</t>
    </r>
    <r>
      <rPr>
        <sz val="10"/>
        <color rgb="FF000000"/>
        <rFont val="Arial"/>
      </rPr>
      <t xml:space="preserve"> </t>
    </r>
  </si>
  <si>
    <t>Кривошей Артем Витальевич</t>
  </si>
  <si>
    <t xml:space="preserve">Пилот Агента корректировки кредитных договоров </t>
  </si>
  <si>
    <t>Выявление операций клиентов, несущих риски финансирования терроризма</t>
  </si>
  <si>
    <t>Ежегодная калибровка PD app и PD beh Ипотека</t>
  </si>
  <si>
    <t>ДППСиС</t>
  </si>
  <si>
    <t>Демкин Данила Валериевич</t>
  </si>
  <si>
    <t>Пилот Агент EPM</t>
  </si>
  <si>
    <t>Усовершенствование механизма выявления операций клиентов, подлежащих обязательному контролю</t>
  </si>
  <si>
    <t>Калибровка LGD Ипотека (95)</t>
  </si>
  <si>
    <t xml:space="preserve">рекалибровка необходима, но внедрение исходя из оценки эффектов </t>
  </si>
  <si>
    <t>ЦП «Цифровой эксперт по системе управления данными»</t>
  </si>
  <si>
    <t>ДТРОС
Департамент ИТ-архитектуры</t>
  </si>
  <si>
    <t>Громов В.В.
Бова С.Н.</t>
  </si>
  <si>
    <t>Цифровой помощник выявления аномалий качества данных</t>
  </si>
  <si>
    <t>Калибровка Аналитических моделей для ЭК</t>
  </si>
  <si>
    <t>обязательная регуляторная активность</t>
  </si>
  <si>
    <t>Анализ необычной деятельности клиента с формированием мотивированных суждений по направлению борьбы с инсайдом и манипулированием</t>
  </si>
  <si>
    <t>Устюгов А
 Трунова В</t>
  </si>
  <si>
    <t>CRM — автоматизация поддержки, NBE-агент и интеллектуальная подготовка кампаний (развитие)</t>
  </si>
  <si>
    <t>Анализ операций инсайдеров Банка</t>
  </si>
  <si>
    <t>Скоринговая модель для формирования риск-профиля клиентов / группы клиентов в рамках риск-ориентированного подхода при анализе клиентов Банка по направлению борьбы с инсайдом и манипулированием</t>
  </si>
  <si>
    <t xml:space="preserve">Ерушенков Д
Устюгов А </t>
  </si>
  <si>
    <t>Семейный ЦФС — цифровые помощники и советник для семьи (развитие)</t>
  </si>
  <si>
    <t>Модель машинного обучения (G240268) - повышение эффективности выявления договорных сделок по направлению борьбы с инсайдом и манипулированием</t>
  </si>
  <si>
    <t xml:space="preserve">Устюгов А </t>
  </si>
  <si>
    <t>Цифровой финансовый советник (ЦФС) в Элли — клиентский модуль и модуль сотрудника сети и выездного канала (развитие)</t>
  </si>
  <si>
    <t>Актуализация сведений о регуляторных рисках в АСУОР</t>
  </si>
  <si>
    <t xml:space="preserve">Устюгов А 
Синенко Р.Н. 
</t>
  </si>
  <si>
    <t>Цифровой помощник «Расти с ВТБ» развитие</t>
  </si>
  <si>
    <t>Учет в АСУОР сведений о регуляторных рисках, которые являются последствиями событий операционного риска</t>
  </si>
  <si>
    <t xml:space="preserve">Департамент по работе с премиальными клиентами </t>
  </si>
  <si>
    <t>Нуждова Ольга Владимировна</t>
  </si>
  <si>
    <t>Цифровой консультант по развитию премиальных клиентов</t>
  </si>
  <si>
    <t>Ильина Инна Сергеевна</t>
  </si>
  <si>
    <t>Экспресс-оценка транспортных средств</t>
  </si>
  <si>
    <t>Волков Дмитрий Валерьевич</t>
  </si>
  <si>
    <t>Цифровой консьерж для состоятельных клиентов по сервисам Лайфстайл</t>
  </si>
  <si>
    <t>Костюкевич Алексей Владимирович</t>
  </si>
  <si>
    <t>Экспресс-оценка квартир/апартаментов</t>
  </si>
  <si>
    <t xml:space="preserve">Цифровой помощник -аналитик </t>
  </si>
  <si>
    <t>Блакитная Ирина Александровна</t>
  </si>
  <si>
    <t>Модель определения стоимости строящегося объекта недвижимости</t>
  </si>
  <si>
    <t>Елисеев Виталий Вадимович</t>
  </si>
  <si>
    <t>Цифровой помощник персонального менеджера</t>
  </si>
  <si>
    <t>Развитие моделей по «ресторанам в аэропортах</t>
  </si>
  <si>
    <t>ДП УППБ</t>
  </si>
  <si>
    <t xml:space="preserve">А. А. Генкин </t>
  </si>
  <si>
    <t>Цифровой финансовый советник Лайфстайл II</t>
  </si>
  <si>
    <t>Развитие и расширение диффузионных моделей</t>
  </si>
  <si>
    <t>Модель склонности к покупке конкретного продукта (ПИФ, акция, облигация, и.т.д.)</t>
  </si>
  <si>
    <t>Для оценки склонности клиента к покупке конкретного продукта из инвестиционной линейки</t>
  </si>
  <si>
    <t>Обновление модели Бесконечная полка</t>
  </si>
  <si>
    <t>- Расширение линейки продуктов полки ~+ 10 продуктов
- Актуализация алгоритмов таргетов. 
- Переобучение - заложить 2 раза в год 
- Учет макроэкономических показателей
- Внешние данные (особенно для НКБ)
- По таргетам - сделать промышленную витрину DAPP (положить ресурс розничного клиента в проект). Это витрина нужна не только для обучения моделей, но и для расчета эффекта и аналитики.</t>
  </si>
  <si>
    <r>
      <t>Кол-во моделей</t>
    </r>
    <r>
      <rPr>
        <b/>
        <sz val="10"/>
        <color rgb="FFC00000"/>
        <rFont val="Times New Roman"/>
      </rPr>
      <t> (&gt;1 для каскадов и ансамблей моделей)</t>
    </r>
  </si>
  <si>
    <r>
      <t>Необходимость </t>
    </r>
    <r>
      <rPr>
        <b/>
        <sz val="10"/>
        <color rgb="FFC00000"/>
        <rFont val="Times New Roman"/>
      </rPr>
      <t>AutoML</t>
    </r>
  </si>
  <si>
    <t>1 до 20</t>
  </si>
  <si>
    <t>Нет</t>
  </si>
  <si>
    <t>Да</t>
  </si>
  <si>
    <t>Тип задач</t>
  </si>
  <si>
    <t>Стримы</t>
  </si>
  <si>
    <t>Контроль качества моделей и модельных данных</t>
  </si>
  <si>
    <t>Моделирование RnD</t>
  </si>
  <si>
    <t>Разработка моделей для КМБ и КСБ сегмента</t>
  </si>
  <si>
    <t>Цифровые агенты</t>
  </si>
  <si>
    <t>Цифровые помощники РБ</t>
  </si>
  <si>
    <t>Стрим ДАДМ</t>
  </si>
  <si>
    <t>AI-модели партнерств</t>
  </si>
  <si>
    <t>Ключ общий</t>
  </si>
  <si>
    <t>Ключ стрим+команда</t>
  </si>
  <si>
    <t>Облако данных ETL</t>
  </si>
  <si>
    <t>Облако данных</t>
  </si>
  <si>
    <t>Внешние данные</t>
  </si>
  <si>
    <t>Внутренние данные</t>
  </si>
  <si>
    <t>Мониторинг источников данных</t>
  </si>
  <si>
    <t>Поставка данных для Цифровых помощников</t>
  </si>
  <si>
    <t>Аналитика внутренних данных</t>
  </si>
  <si>
    <t>Общестримовая команда стрима Контроль качества моделей и модельных данных</t>
  </si>
  <si>
    <t>Анализ клиентских путей и зависимостей</t>
  </si>
  <si>
    <t>Аналитика и автоматизация контролей</t>
  </si>
  <si>
    <t>Компонентный анализ моделей</t>
  </si>
  <si>
    <t>Бизнес-анализ и оценка влияния моделей</t>
  </si>
  <si>
    <t>Контроль модельных данных</t>
  </si>
  <si>
    <t>Оперативная аналитика и технологии развития</t>
  </si>
  <si>
    <t>3 линия поддержки ML моделей</t>
  </si>
  <si>
    <t>RND и апробация новых технологий</t>
  </si>
  <si>
    <t>Модели Антифрод</t>
  </si>
  <si>
    <t>Общестримовая команда стрима Моделирование RnD</t>
  </si>
  <si>
    <t>Применение моделей RND 1</t>
  </si>
  <si>
    <t>Применение моделей RND 2</t>
  </si>
  <si>
    <t>Продвинутый ML 1</t>
  </si>
  <si>
    <t>Продвинутый ML 2</t>
  </si>
  <si>
    <t>родвинутый ML 4</t>
  </si>
  <si>
    <t>Эмбеддинги</t>
  </si>
  <si>
    <t>Общестримовая команда стрима Моделирование РБ</t>
  </si>
  <si>
    <t>CRM Classic</t>
  </si>
  <si>
    <t>CRM Mix</t>
  </si>
  <si>
    <t>Применение моделей</t>
  </si>
  <si>
    <t>CRM Advice</t>
  </si>
  <si>
    <t>Модели оптимизации РБ</t>
  </si>
  <si>
    <t>Стрим "Потоковые данные"</t>
  </si>
  <si>
    <t>Виртуальные информационные потоки</t>
  </si>
  <si>
    <t>Проверка по спискам физ.лиц</t>
  </si>
  <si>
    <t>Потоки данных для регуляторных моделей</t>
  </si>
  <si>
    <t>Потоки данных для СПМ</t>
  </si>
  <si>
    <t>Общестримовая команда стрима Разработка моделей для КМБ и КСБ сегмента</t>
  </si>
  <si>
    <t>Риск модели МБ</t>
  </si>
  <si>
    <t>Продуктивизация моделей бизнеспроцессов</t>
  </si>
  <si>
    <t>Модели ЖЦК</t>
  </si>
  <si>
    <t>Модели распознавания изображений и анализа текста</t>
  </si>
  <si>
    <t>Продуктивизация моделей оценки кредитного риска</t>
  </si>
  <si>
    <t>Риск модели КБ</t>
  </si>
  <si>
    <t>Модели взыскания и комплайенса</t>
  </si>
  <si>
    <t>Развитие инфраструктуры моделей и витрин</t>
  </si>
  <si>
    <t>Портфельные модели</t>
  </si>
  <si>
    <t>Управление ЖЦ моделей</t>
  </si>
  <si>
    <t>Стрим Решения для моделирования</t>
  </si>
  <si>
    <t>Модельный оптимизатор</t>
  </si>
  <si>
    <t>Оркестрация моделей</t>
  </si>
  <si>
    <t>Платформа AutoML</t>
  </si>
  <si>
    <t>Batch ETL</t>
  </si>
  <si>
    <t>Реестр Моделей</t>
  </si>
  <si>
    <t>Технологические сервисы</t>
  </si>
  <si>
    <t>Сервисы ПИМ</t>
  </si>
  <si>
    <t>Стрим Сервисы для работы с большими данными</t>
  </si>
  <si>
    <t>Развитие репликации данных “E-Synk”</t>
  </si>
  <si>
    <t>Развитие SSDP</t>
  </si>
  <si>
    <t>SELF-SERVICE</t>
  </si>
  <si>
    <t>Прикладные сервисы BIG DATA</t>
  </si>
  <si>
    <t>Консультационное сопровождение</t>
  </si>
  <si>
    <t>Проектная деятельность</t>
  </si>
  <si>
    <t>Координация бюджета и закупок</t>
  </si>
  <si>
    <t>Общестримовая команда стрима Финансовое моделирование</t>
  </si>
  <si>
    <t>Финансовый инжиниринг</t>
  </si>
  <si>
    <t>Финансовый инжиниринг 2</t>
  </si>
  <si>
    <t>Количественные финансы</t>
  </si>
  <si>
    <t>Модели ALM</t>
  </si>
  <si>
    <t>Управление жизненным циклом финансовых моделей</t>
  </si>
  <si>
    <t>ALM 2</t>
  </si>
  <si>
    <t>Решения для моделирования</t>
  </si>
  <si>
    <t>Сервисы для работы с большими данными</t>
  </si>
  <si>
    <t>Блок</t>
  </si>
  <si>
    <t>Департамент</t>
  </si>
  <si>
    <t>Департамент по обеспечению безопасности​</t>
  </si>
  <si>
    <t>Управление координации и развития бизнеса в дочерних компаниях</t>
  </si>
  <si>
    <t>Департамент поддержки прикладных систем и сервисов</t>
  </si>
  <si>
    <t>​​​Блок корпоративно-инвестиционного бизнеса​</t>
  </si>
  <si>
    <t>Депозитарий </t>
  </si>
  <si>
    <t>​Управление по работе с залоговыми активами и урегулирования задолженности​</t>
  </si>
  <si>
    <t>Управление сопровождения маркетинга и коммуникаций</t>
  </si>
  <si>
    <t>​Департамент развития инфраструктуры</t>
  </si>
  <si>
    <t>Департамент продаж продуктов финансовых рынков</t>
  </si>
  <si>
    <t>Блок розничного бизнеса </t>
  </si>
  <si>
    <t>Департамент по работе со СМИ</t>
  </si>
  <si>
    <t>Департамент розничных продаж​</t>
  </si>
  <si>
    <t>Департамент развития и координации операционной функции</t>
  </si>
  <si>
    <t>Департамент брокерского обслуживания </t>
  </si>
  <si>
    <t>​Управление специального информационного обеспечения</t>
  </si>
  <si>
    <t>Департамент развития международных расчетов и инфраструктуры</t>
  </si>
  <si>
    <t>Департамент клиентского обслуживания</t>
  </si>
  <si>
    <t>Департамент розничных кредитных рисков​</t>
  </si>
  <si>
    <t>Департамент инвестиционных продуктов </t>
  </si>
  <si>
    <t>Департамент стратегии и корпоративного развития</t>
  </si>
  <si>
    <t>Департамент по работе с премиальными клиентами</t>
  </si>
  <si>
    <t>Специальный отдел​</t>
  </si>
  <si>
    <t>Департамент сопровождения транзакционных продуктов</t>
  </si>
  <si>
    <t>Департамент координации и анализа бизнеса </t>
  </si>
  <si>
    <t>Группа контролера профессионального участника рынка ценных бумаг</t>
  </si>
  <si>
    <t>Департамент технологического развития корпоративного бизнеса</t>
  </si>
  <si>
    <t>Департамент продуктов розничного бизнеса</t>
  </si>
  <si>
    <t>Департамент учета и отчетности</t>
  </si>
  <si>
    <t>Департамент международных продуктовых решений и финансирования</t>
  </si>
  <si>
    <t>Департамент развития и координации розничного бизнеса</t>
  </si>
  <si>
    <t>Департамент технологического развития общебанковских систем</t>
  </si>
  <si>
    <t>Казначейство</t>
  </si>
  <si>
    <t>Департамент операций на рынке акций </t>
  </si>
  <si>
    <t>Департамент развития клиентского сервиса</t>
  </si>
  <si>
    <t>Департамент технологического развития розничного бизнеса</t>
  </si>
  <si>
    <t>Финансовый департамент</t>
  </si>
  <si>
    <t>Департамент по работе с клиентами базовых отраслей</t>
  </si>
  <si>
    <t>Юридический департамент</t>
  </si>
  <si>
    <t>Департамент технологического развития систем поддержки бизнеса​​</t>
  </si>
  <si>
    <t>Департамент структурных продуктов и структурирования​​</t>
  </si>
  <si>
    <t>Департамент по работе с клиентами рыночных отраслей </t>
  </si>
  <si>
    <t>Управление корпоративной социальной ответственности и событийного маркетинга</t>
  </si>
  <si>
    <t>​Департамент финансового урегулирования</t>
  </si>
  <si>
    <t>Управление модельных рисков и валидации</t>
  </si>
  <si>
    <t>Блок среднего и малого бизнеса </t>
  </si>
  <si>
    <t>Департамент транзакционного бизнеса ​</t>
  </si>
  <si>
    <t>Департамент администрирования ​сети</t>
  </si>
  <si>
    <t>Управление технологической стратегии и координации ДЗО</t>
  </si>
  <si>
    <t>​Департамент цифрового бизнеса</t>
  </si>
  <si>
    <t>Департамент интегрированного управления рисками</t>
  </si>
  <si>
    <t>Кредитный департамент </t>
  </si>
  <si>
    <t>Технологический б​лок </t>
  </si>
  <si>
    <t>Департамент анализа, координации и продуктового развития</t>
  </si>
  <si>
    <t>Управление экспертизы и фрод-мониторинга</t>
  </si>
  <si>
    <t>Департамент анализа данных и моделирования​</t>
  </si>
  <si>
    <t>Департамент ИТ-архитектуры​</t>
  </si>
  <si>
    <t>Управление координации строительных проектов ​</t>
  </si>
  <si>
    <t>Другие подразделения поддержки и контроля</t>
  </si>
  <si>
    <t>Департамент корпоративного цифрового бизнеса</t>
  </si>
  <si>
    <t>​Административный департамент</t>
  </si>
  <si>
    <t>Департамент андеррайтинга</t>
  </si>
  <si>
    <t>Департамент корпоративных кредитных рисков</t>
  </si>
  <si>
    <t>​Управление обслуживания приоритетных клиентов</t>
  </si>
  <si>
    <t>​Департамент кредитования регионального бизнеса</t>
  </si>
  <si>
    <t>​Аппарат президента – председателя правления</t>
  </si>
  <si>
    <t>Департамент администрирования сделок</t>
  </si>
  <si>
    <t>Департамент налично-денежного обращения и платежной инфраструктуры</t>
  </si>
  <si>
    <t>Департамент операционной модели цифрового развития</t>
  </si>
  <si>
    <t>​Департамент регионального корпоративного бизнеса</t>
  </si>
  <si>
    <t>Департамент внешних образовательных проектов и инициатив</t>
  </si>
  <si>
    <t>​​Департамент внутреннего аудита</t>
  </si>
  <si>
    <t>Департамент организации и контроля технологического развития</t>
  </si>
  <si>
    <t>Департамент маркетинга</t>
  </si>
  <si>
    <t>Департамент непрофильных​ активов</t>
  </si>
  <si>
    <t>Департамент партнерств</t>
  </si>
  <si>
    <t>Департамент комплаенс ​контроля и финансового мониторинга</t>
  </si>
  <si>
    <t>Перечень лицензионных ИС - ИС, по которым при оплате работ не оплачивается НДС. Если ИС в списке нет, значит на нее необходимо закладывать поверх стоимости ресурсов стоимость НДС</t>
  </si>
  <si>
    <t>ИС</t>
  </si>
  <si>
    <t xml:space="preserve">Признак </t>
  </si>
  <si>
    <t>ПП</t>
  </si>
  <si>
    <t>Лицензия</t>
  </si>
  <si>
    <t>Конвейер внешних сайтов</t>
  </si>
  <si>
    <t>Продукты и сервисы брокерского бизнеса</t>
  </si>
  <si>
    <t>Клиентские данные РБ</t>
  </si>
  <si>
    <t>Технологическая платформа ГК Иннотех</t>
  </si>
  <si>
    <t>Продукты и сервисы СМБ</t>
  </si>
  <si>
    <t>Мирион</t>
  </si>
  <si>
    <t>СайбоксПлюс</t>
  </si>
  <si>
    <t>Управление взаимоотношениями с ФЛ</t>
  </si>
  <si>
    <t>Продукты и сервисы ФЛ</t>
  </si>
  <si>
    <t>Кредитование ФЛ</t>
  </si>
  <si>
    <t xml:space="preserve"> Бухгалтерский учет и отчетность</t>
  </si>
  <si>
    <t>Продукты и сервисы для инвестиционного бизнеса</t>
  </si>
  <si>
    <t>Общие сервисы</t>
  </si>
  <si>
    <t>Кредитный конвейер для корпоративных клиентов</t>
  </si>
  <si>
    <t>Продукты и сервисы для корпоративных клиентов</t>
  </si>
  <si>
    <t>Операционная поддержка КБ</t>
  </si>
  <si>
    <t>Корпоративный портал сервисов для организации</t>
  </si>
  <si>
    <t>Обслуживание клиентов СМБ</t>
  </si>
  <si>
    <t>Платформа видеосервисов DION</t>
  </si>
  <si>
    <t>Платформа управления рисками</t>
  </si>
  <si>
    <t>Операционная поддержка РБ</t>
  </si>
  <si>
    <t>Кредитный конвейер для клиентов розничного бизнеса</t>
  </si>
  <si>
    <t>Обслуживание ФЛ</t>
  </si>
  <si>
    <t>Комитет Онлайн</t>
  </si>
  <si>
    <t>Отчетность и аналитика</t>
  </si>
  <si>
    <t>Браузер 2.0</t>
  </si>
  <si>
    <t>Система управления технологической трансформацией</t>
  </si>
  <si>
    <t>Осмакс</t>
  </si>
  <si>
    <t>ВЭД СМБ</t>
  </si>
  <si>
    <t>Инструменты аналитики</t>
  </si>
  <si>
    <t>Платформа финансовых рисков</t>
  </si>
  <si>
    <t>Дебетовые карты и сбережения</t>
  </si>
  <si>
    <t>Противодействие мошенническим операциям</t>
  </si>
  <si>
    <t>Дистанционное обслуживание ФЛ</t>
  </si>
  <si>
    <t>Сервисы для расчетных операций</t>
  </si>
  <si>
    <t>Общие сервисы КБ</t>
  </si>
  <si>
    <t>Депозитарий</t>
  </si>
  <si>
    <t>Общие сервисы РБ</t>
  </si>
  <si>
    <t>Переводы и платежи</t>
  </si>
  <si>
    <t>Дистанционное обслуживание корпоративных клиентов</t>
  </si>
  <si>
    <t>Операции с наличностью</t>
  </si>
  <si>
    <t>Стоп-листы РБ</t>
  </si>
  <si>
    <t>Зарплатные проекты</t>
  </si>
  <si>
    <t>Дистанционное обслуживание СМБ</t>
  </si>
  <si>
    <t>Управление взаимоотношениями с ЮЛ</t>
  </si>
  <si>
    <t>Операционная поддержка</t>
  </si>
  <si>
    <t>Клиентские данные КБ</t>
  </si>
  <si>
    <t>Портал операционного сопровождения</t>
  </si>
  <si>
    <t>Процессинг РБ</t>
  </si>
  <si>
    <t>Процессинг КБ</t>
  </si>
  <si>
    <t>Эллес</t>
  </si>
  <si>
    <t>Привилегии и лояльность</t>
  </si>
  <si>
    <t>Продуктовый учет КБ</t>
  </si>
  <si>
    <t>Продуктовый учет РБ</t>
  </si>
  <si>
    <t xml:space="preserve">Страница для детализации и учета заказов оборудования </t>
  </si>
  <si>
    <t xml:space="preserve">Программа </t>
  </si>
  <si>
    <t>Проект</t>
  </si>
  <si>
    <t>Ссылка на заказ</t>
  </si>
  <si>
    <t>Ответственный</t>
  </si>
  <si>
    <t>Статус заказа</t>
  </si>
  <si>
    <t>Желаемая дата выдачи</t>
  </si>
  <si>
    <t>Примечание</t>
  </si>
  <si>
    <t xml:space="preserve">Источники данных  </t>
  </si>
  <si>
    <t>железо?</t>
  </si>
  <si>
    <t xml:space="preserve">Контроль качества моделей и модельных данных </t>
  </si>
  <si>
    <t xml:space="preserve">Моделирование RnD </t>
  </si>
  <si>
    <t xml:space="preserve">Решения для моделирования </t>
  </si>
  <si>
    <t xml:space="preserve">Моделирование РБ </t>
  </si>
  <si>
    <t xml:space="preserve">Финансовое моделирование </t>
  </si>
  <si>
    <t xml:space="preserve">Стрим ДАДМ </t>
  </si>
  <si>
    <t xml:space="preserve">Стрим ДТРОС </t>
  </si>
  <si>
    <t xml:space="preserve">Сервисы для работы с большими данными </t>
  </si>
  <si>
    <t>Рабочие дни</t>
  </si>
  <si>
    <t>1 кв 2025</t>
  </si>
  <si>
    <t>2 кв 2025</t>
  </si>
  <si>
    <t>3 кв 2025</t>
  </si>
  <si>
    <t>4 кв 2025</t>
  </si>
  <si>
    <t>Количество рабочих дней в 2025</t>
  </si>
  <si>
    <t>Названия строк</t>
  </si>
  <si>
    <t>Сумма по полю ГК ИННОТЕХ ООО</t>
  </si>
  <si>
    <t>Сумма по полю ИННОТЕХ/ Департамент безопасности</t>
  </si>
  <si>
    <t>Сумма по полю Банк</t>
  </si>
  <si>
    <t>Сумма по полю Общий итог</t>
  </si>
  <si>
    <t>Емкость стрима</t>
  </si>
  <si>
    <t>Доля Иннотех</t>
  </si>
  <si>
    <t>Антифрод</t>
  </si>
  <si>
    <t>Стрим ДТРОС</t>
  </si>
  <si>
    <t>Общий итог</t>
  </si>
  <si>
    <t>Сумма по полю Сумма</t>
  </si>
  <si>
    <t>Сумма по полю ЧД</t>
  </si>
  <si>
    <t>(пусто)</t>
  </si>
  <si>
    <t>И1_Задача 1</t>
  </si>
  <si>
    <t>Внедрение</t>
  </si>
  <si>
    <t>Scrum</t>
  </si>
  <si>
    <t>Аналитик</t>
  </si>
  <si>
    <t>Железо</t>
  </si>
  <si>
    <t>DS</t>
  </si>
  <si>
    <t>DE</t>
  </si>
  <si>
    <t>КУС</t>
  </si>
  <si>
    <t>И1_Задача 2</t>
  </si>
  <si>
    <t>ДРПК</t>
  </si>
  <si>
    <t>ДККР</t>
  </si>
  <si>
    <t>ДИУР</t>
  </si>
  <si>
    <t>Департамент координации и анализа бизнеса</t>
  </si>
  <si>
    <t>ДОПБ</t>
  </si>
  <si>
    <t>Департамент розничных продаж</t>
  </si>
  <si>
    <t>Департамент по работе с клиентами рыночных отраслей</t>
  </si>
  <si>
    <t>ДКО</t>
  </si>
  <si>
    <t>ДФУ</t>
  </si>
  <si>
    <t>Департамент инвестиционных продуктов</t>
  </si>
  <si>
    <t>Департамент комплаенс контроля и финансового мониторинга</t>
  </si>
  <si>
    <t>Административный департамент</t>
  </si>
  <si>
    <t xml:space="preserve">Департамент технологического развития систем поддержки бизнеса </t>
  </si>
  <si>
    <t xml:space="preserve">Департамент транзакционного бизнеса </t>
  </si>
  <si>
    <t>Количество по полю Департамент</t>
  </si>
  <si>
    <t>Стрим "Контроль моделей"</t>
  </si>
  <si>
    <t>Единая платформа качества моделей и ЦП с общей системой хранения результатов (классические модели + ЦП), YTsaurus и self-service BI для бизнеса</t>
  </si>
  <si>
    <t>1) Единая система хранения результатов моделей и ЦП. 
2) Подключение всех моделей и ЦП и тракт сбора/обработки результатов. 
3) Модуль расчета технико-экономической стоимости. 
4) Self-service BI (Superset). 
5) Пилот и миграция 2152 на YTsaurus, тестовый контур НТ.</t>
  </si>
  <si>
    <t>Контроль паттернов ИИ, качества моделей и дрейфа данных, включая маскирование и мониторинг чувствительных данных</t>
  </si>
  <si>
    <t>1) Каталог паттернов применения ИИ. 
2) Мониторинг качества моделей и ЦП. 
3) Детекторы дрейфа данных/модели. 
4) Маскирование персональных данных в трейсе. 
5) Мониторинг маскирования и отчётность для НТ/ИБ.</t>
  </si>
  <si>
    <t>Стандартный SDK для интеграции моделей и ЦП с банковскими системами и "Сферой"</t>
  </si>
  <si>
    <t xml:space="preserve">
Задачи:
1) Инвентаризация текущих интеграций моделей/ЦП. 
2) Проектирование SDK: интерфейсы, контракты данных, логирование, мониторинг, поддержка паттернов, интеграция с "Сферой". 
3) Разработка SDK и адаптеров, пилоты. 
4) Документация, стандартизация и обучение.
</t>
  </si>
  <si>
    <t>Управляющий модуль обратной связи по моделям и ЦП (клиенты, бизнес, НТ)</t>
  </si>
  <si>
    <t>Задачи:
1) Модель данных и классификация фидбэка. 
2) Интеграция каналов сбора обратной связи в клиентские интерфейсы, порталы и контур НТ. 
3) Реализация управляющего модуля: маршрутизация, SLA, статусы, отчётность. 
4) Включение фидбэка в управление жизненным циклом моделей/ЦП.</t>
  </si>
  <si>
    <t>Миграция процессов обработки данных для моделей и ЦП на современные высокопроизводительные инструменты (DAPP и др.)</t>
  </si>
  <si>
    <t>1) Инвентаризация существующих пайплайнов данных для моделей и ЦП. 
2) Проектирование целевой архитектуры обработки данных на DAPP/новой платформе. 
3) Пошаговая миграция логики и интеграций, параллельный прогон old vs new, отключение старых решений. 
4) Настройка мониторинга производительности, задержек и отказов, оптимизация ресурсов.</t>
  </si>
  <si>
    <t>Развитие антифрод моделирование (фаза 4)</t>
  </si>
  <si>
    <t>Департамент Безопасности</t>
  </si>
  <si>
    <t>Синюков С. В.</t>
  </si>
  <si>
    <t>Онлайн модель дропов с сессионной активностью;
Автоматизация сбора операций для ретроскоринга моделей</t>
  </si>
  <si>
    <t xml:space="preserve">Внедрение онлайн модели дропов с транзакционной активностью и автоматизация сбора операций ретроскоринга для моделей </t>
  </si>
  <si>
    <t>1557, 2173, 2152, 1642</t>
  </si>
  <si>
    <r>
      <rPr>
        <sz val="10"/>
        <color rgb="FF232431"/>
        <rFont val="Arial"/>
        <family val="2"/>
        <charset val="204"/>
      </rPr>
      <t>Департамент транзакционного бизнеса</t>
    </r>
    <r>
      <rPr>
        <sz val="10"/>
        <color rgb="FF000000"/>
        <rFont val="Arial"/>
        <family val="2"/>
        <charset val="204"/>
      </rPr>
      <t xml:space="preserve"> </t>
    </r>
  </si>
  <si>
    <r>
      <t xml:space="preserve">Разработка моделей ПВР по продукту Автокредиты (PD app, PD beh, LGD), внедрение, мониторинг
</t>
    </r>
    <r>
      <rPr>
        <b/>
        <sz val="10"/>
        <color rgb="FF7030A0"/>
        <rFont val="Calibri"/>
        <family val="2"/>
        <charset val="204"/>
        <scheme val="minor"/>
      </rPr>
      <t>В случае, если 3 заявку все таки подаем</t>
    </r>
  </si>
  <si>
    <r>
      <t xml:space="preserve">Разработка унифицированной модели </t>
    </r>
    <r>
      <rPr>
        <u/>
        <sz val="10"/>
        <color rgb="FF000000"/>
        <rFont val="Calibri"/>
        <family val="2"/>
        <charset val="204"/>
        <scheme val="minor"/>
      </rPr>
      <t>на табличных нейронных сетях</t>
    </r>
  </si>
  <si>
    <r>
      <t xml:space="preserve">PD-модель для рефинансирования хороших кредитов
</t>
    </r>
    <r>
      <rPr>
        <sz val="10"/>
        <color rgb="FFFF0000"/>
        <rFont val="Calibri"/>
        <family val="2"/>
        <charset val="204"/>
        <scheme val="minor"/>
      </rPr>
      <t>требуется обсудить, насколько целесообразно с точки зрения бизнеса</t>
    </r>
  </si>
  <si>
    <r>
      <t xml:space="preserve">Доработка и внедрение модуля </t>
    </r>
    <r>
      <rPr>
        <u/>
        <sz val="10"/>
        <color rgb="FF000000"/>
        <rFont val="Calibri"/>
        <family val="2"/>
        <charset val="204"/>
        <scheme val="minor"/>
      </rPr>
      <t>нейронных сетей на последовательностях данных</t>
    </r>
  </si>
  <si>
    <r>
      <t xml:space="preserve">Построение алгоритма отбора переменных по методу RFE
</t>
    </r>
    <r>
      <rPr>
        <sz val="10"/>
        <color rgb="FFFF0000"/>
        <rFont val="Calibri"/>
        <family val="2"/>
        <charset val="204"/>
        <scheme val="minor"/>
      </rPr>
      <t xml:space="preserve">в чем новизна предложения? </t>
    </r>
  </si>
  <si>
    <r>
      <t xml:space="preserve">Повышение стабильности атрибутов по количеству запросов
</t>
    </r>
    <r>
      <rPr>
        <sz val="10"/>
        <color rgb="FFFF0000"/>
        <rFont val="Calibri"/>
        <family val="2"/>
        <charset val="204"/>
        <scheme val="minor"/>
      </rPr>
      <t xml:space="preserve">считаем неперспективным, уточнить </t>
    </r>
  </si>
  <si>
    <r>
      <t xml:space="preserve">Переобучение моделей с учетом цесионных договоров и переводов СБП
</t>
    </r>
    <r>
      <rPr>
        <sz val="10"/>
        <color rgb="FFFF0000"/>
        <rFont val="Calibri"/>
        <family val="2"/>
        <charset val="204"/>
        <scheme val="minor"/>
      </rPr>
      <t>включаем, если недорого и несложно</t>
    </r>
  </si>
  <si>
    <r>
      <t xml:space="preserve">Оценка влияния на применение моделей использования восстановленной КИ
</t>
    </r>
    <r>
      <rPr>
        <sz val="10"/>
        <color rgb="FFFF0000"/>
        <rFont val="Calibri"/>
        <family val="2"/>
        <charset val="204"/>
        <scheme val="minor"/>
      </rPr>
      <t xml:space="preserve">что такое восстановленная КИ? </t>
    </r>
  </si>
  <si>
    <r>
      <t xml:space="preserve">Модель поиска оптимальных подсегментов для применения моделей
</t>
    </r>
    <r>
      <rPr>
        <sz val="10"/>
        <color rgb="FFFF0000"/>
        <rFont val="Calibri"/>
        <family val="2"/>
        <charset val="204"/>
        <scheme val="minor"/>
      </rPr>
      <t xml:space="preserve">уточнить про суть задачи и применение к каким моделям? </t>
    </r>
  </si>
  <si>
    <r>
      <t xml:space="preserve">Модификация loss функции при обучении модели СИ
</t>
    </r>
    <r>
      <rPr>
        <sz val="10"/>
        <color rgb="FFFF0000"/>
        <rFont val="Calibri"/>
        <family val="2"/>
        <charset val="204"/>
        <scheme val="minor"/>
      </rPr>
      <t xml:space="preserve">включаем только если есть понятный путь по достижению результата </t>
    </r>
  </si>
  <si>
    <r>
      <t xml:space="preserve">Переработка УАСП
(Прямая интеграция с сервисом для потоковых данных)
</t>
    </r>
    <r>
      <rPr>
        <sz val="10"/>
        <color rgb="FFFF0000"/>
        <rFont val="Calibri"/>
        <family val="2"/>
        <charset val="204"/>
        <scheme val="minor"/>
      </rPr>
      <t xml:space="preserve">уточнить подробнее, что подразумевается? </t>
    </r>
  </si>
  <si>
    <r>
      <t xml:space="preserve">Перестроение регуляторной модели для неЗП с согласием (либо по всему сегменту либо </t>
    </r>
    <r>
      <rPr>
        <b/>
        <sz val="10"/>
        <color rgb="FF000000"/>
        <rFont val="Calibri"/>
        <family val="2"/>
        <charset val="204"/>
        <scheme val="minor"/>
      </rPr>
      <t>по сегменту без ЦПГ</t>
    </r>
    <r>
      <rPr>
        <sz val="10"/>
        <color rgb="FF000000"/>
        <rFont val="Calibri"/>
        <family val="2"/>
        <charset val="204"/>
        <scheme val="minor"/>
      </rPr>
      <t>)</t>
    </r>
  </si>
  <si>
    <r>
      <t>необходимость в перестроении будет только при сохранении возможности использовать модельный доход в ПДН -</t>
    </r>
    <r>
      <rPr>
        <sz val="10"/>
        <color rgb="FFFF0000"/>
        <rFont val="Calibri"/>
        <family val="2"/>
        <charset val="204"/>
        <scheme val="minor"/>
      </rPr>
      <t xml:space="preserve"> </t>
    </r>
    <r>
      <rPr>
        <b/>
        <sz val="10"/>
        <color rgb="FF7030A0"/>
        <rFont val="Calibri"/>
        <family val="2"/>
        <charset val="204"/>
        <scheme val="minor"/>
      </rPr>
      <t>зависит от ЦБ</t>
    </r>
  </si>
  <si>
    <r>
      <rPr>
        <sz val="10"/>
        <color rgb="FF22242A"/>
        <rFont val="Arial"/>
        <family val="2"/>
        <charset val="204"/>
      </rPr>
      <t>Департамент анализа данных и моделирования</t>
    </r>
    <r>
      <rPr>
        <sz val="10"/>
        <color rgb="FF000000"/>
        <rFont val="Arial"/>
        <family val="2"/>
        <charset val="204"/>
      </rPr>
      <t xml:space="preserve"> </t>
    </r>
  </si>
  <si>
    <r>
      <t xml:space="preserve">Кузмичева Наталья Евгеньевна
</t>
    </r>
    <r>
      <rPr>
        <sz val="10"/>
        <color rgb="FF22242A"/>
        <rFont val="Arial"/>
        <family val="2"/>
        <charset val="204"/>
      </rPr>
      <t>Алдошин Александр Евгеньевич</t>
    </r>
    <r>
      <rPr>
        <sz val="10"/>
        <color rgb="FF000000"/>
        <rFont val="Arial"/>
        <family val="2"/>
        <charset val="204"/>
      </rPr>
      <t xml:space="preserve"> 
</t>
    </r>
  </si>
  <si>
    <r>
      <rPr>
        <i/>
        <sz val="10"/>
        <color rgb="FF000000"/>
        <rFont val="Arial"/>
        <family val="2"/>
        <charset val="204"/>
      </rPr>
      <t>Хасанов Рустем Мансурович</t>
    </r>
    <r>
      <rPr>
        <sz val="10"/>
        <color rgb="FF000000"/>
        <rFont val="Arial"/>
        <family val="2"/>
        <charset val="204"/>
      </rPr>
      <t xml:space="preserve"> (Заказчик)
</t>
    </r>
    <r>
      <rPr>
        <i/>
        <sz val="10"/>
        <color rgb="FF000000"/>
        <rFont val="Arial"/>
        <family val="2"/>
        <charset val="204"/>
      </rPr>
      <t>Киселева Анастасия Андреевна</t>
    </r>
    <r>
      <rPr>
        <sz val="10"/>
        <color rgb="FF000000"/>
        <rFont val="Arial"/>
        <family val="2"/>
        <charset val="204"/>
      </rPr>
      <t xml:space="preserve"> (контактное лицо в документе)
</t>
    </r>
    <r>
      <rPr>
        <sz val="10"/>
        <color rgb="FF000000"/>
        <rFont val="Arial"/>
        <family val="2"/>
        <charset val="204"/>
      </rPr>
      <t>Тлустая Анастасия (в почте)</t>
    </r>
  </si>
  <si>
    <r>
      <rPr>
        <sz val="10"/>
        <color rgb="FF2C2D2E"/>
        <rFont val="Arial"/>
        <family val="2"/>
        <charset val="204"/>
      </rPr>
      <t>служба автоматизации внутренних процессов и сервисов</t>
    </r>
    <r>
      <rPr>
        <sz val="10"/>
        <color rgb="FF000000"/>
        <rFont val="Arial"/>
        <family val="2"/>
        <charset val="204"/>
      </rPr>
      <t xml:space="preserve"> </t>
    </r>
  </si>
  <si>
    <r>
      <rPr>
        <sz val="10"/>
        <color rgb="FF2C2D2E"/>
        <rFont val="Arial"/>
        <family val="2"/>
        <charset val="204"/>
      </rPr>
      <t>отдел методологии дистанционного обучения</t>
    </r>
    <r>
      <rPr>
        <sz val="10"/>
        <color rgb="FF000000"/>
        <rFont val="Arial"/>
        <family val="2"/>
        <charset val="204"/>
      </rPr>
      <t xml:space="preserve"> </t>
    </r>
  </si>
  <si>
    <r>
      <rPr>
        <sz val="10"/>
        <color rgb="FF2C2D2E"/>
        <rFont val="Arial"/>
        <family val="2"/>
        <charset val="204"/>
      </rPr>
      <t>Департамент технологического развития систем поддержки бизнеса</t>
    </r>
    <r>
      <rPr>
        <sz val="10"/>
        <color rgb="FF000000"/>
        <rFont val="Arial"/>
        <family val="2"/>
        <charset val="204"/>
      </rPr>
      <t xml:space="preserve"> </t>
    </r>
  </si>
  <si>
    <t>Стрим «Цифровые помощники РБ»</t>
  </si>
  <si>
    <t xml:space="preserve">ЦП «Почувствуй заботу»: A3 «Возвраты и комиссии» </t>
  </si>
  <si>
    <r>
      <t xml:space="preserve">ЦП «Почувствуй заботу»: агентское исполнение сценариев безопасности, подписок, возвратов и налоговых вычетов: 
</t>
    </r>
    <r>
      <rPr>
        <b/>
        <u/>
        <sz val="10"/>
        <color theme="1"/>
        <rFont val="Calibri"/>
        <family val="2"/>
        <charset val="204"/>
        <scheme val="minor"/>
      </rPr>
      <t xml:space="preserve">A3 «Возвраты и комиссии» </t>
    </r>
    <r>
      <rPr>
        <sz val="10"/>
        <color theme="1"/>
        <rFont val="Calibri"/>
        <family val="2"/>
        <charset val="204"/>
        <scheme val="minor"/>
      </rPr>
      <t>(проактив): событие дубля транзакции или некорректной комиссии (Событийная платформа) → агент оформляет обращение, проверяет по тарифам, уведомляет клиента и отслеживает статус до финального результата (возврат либо мотивированный отказ).</t>
    </r>
  </si>
  <si>
    <t>Департамент по работе с премиальными клиентами 
Управление "Состоятельные клиенты"
Департамент развития клиентской базы
Управление "Цифровые помощники</t>
  </si>
  <si>
    <t>ДРПК  УСК В.В. Елисеев Волков eliseevv@vtb.ru
ДРКБ  УЦП Э.Г. Петрова  blinovaeg@vtb.ru</t>
  </si>
  <si>
    <t>Лайфстайл премиальные в ДАДМ, Цифровой помощник персонального менеджера</t>
  </si>
  <si>
    <t>Департамент по работе с премиальными клиентами 
Управление "Состоятельные клиенты"</t>
  </si>
  <si>
    <t xml:space="preserve">Волков Дмитрий Валерьевич
лидирует от ДРКБ  УЦП Э.Г. Петрова
</t>
  </si>
  <si>
    <t xml:space="preserve">Лайфстайл премиальные в ДАДМ, Агент консолидированной отчётности / Цифровой помощник -аналитик </t>
  </si>
  <si>
    <t xml:space="preserve">Департамент клиентского обслуживания Управление «Голосовой ассистент», 
Департамент развития клиентской базы
Управление "Цифровые помощники"
</t>
  </si>
  <si>
    <t xml:space="preserve">ДКО Управление «Голосовой ассистент» Е.В. Склярова  evsklyarova@vtb.ru
ДРКБ  УЦП Э.Г. Петрова  blinovaeg@vtb.ru 
724-288
</t>
  </si>
  <si>
    <t>«Цифровой помощник для сотрудников контактного центра»</t>
  </si>
  <si>
    <r>
      <rPr>
        <sz val="10"/>
        <color rgb="FFFF0000"/>
        <rFont val="Calibri"/>
        <family val="2"/>
        <charset val="204"/>
        <scheme val="minor"/>
      </rPr>
      <t>Требуется встреча с заказчиком - большинство задач реализованы в 2890, 3222.</t>
    </r>
    <r>
      <rPr>
        <sz val="10"/>
        <color theme="1"/>
        <rFont val="Calibri"/>
        <family val="2"/>
        <charset val="204"/>
        <scheme val="minor"/>
      </rPr>
      <t xml:space="preserve"> «Цифровой помощник для сотрудников контактного центра» — цифровой помощник сотрудника Департамента клиентского обслуживания, который включает в себя (детально сценарии в приложении): 
умная карточка клиента, автосаммари после звонка/чата, предзаполнение форм и заявок, Агент –помощник оператора, цифровой помощник по продажам.
</t>
    </r>
  </si>
  <si>
    <t>Устюгов А.
Трунова В.</t>
  </si>
  <si>
    <t>Модель 3 из 9 — аудитор кампаний и самообучающиеся A/B-тесты
Модель 4 из 9 — RAG+LLM-аналитика больших данных и подбор сегментов
Модель 5 из 9 — умный конструктор брифов и шаблонов кампаний
Модель 6 из 9 — генерация и проверка текстов коммуникаций
Модель 8 из 9 — контроль качества и рисков кампаний</t>
  </si>
  <si>
    <t>Устюгов А.</t>
  </si>
  <si>
    <r>
      <t xml:space="preserve">ЦФС (Цифровой финансовый советник) в ВТБ ПРО для сотрудников сети и выездного канала
</t>
    </r>
    <r>
      <rPr>
        <b/>
        <u/>
        <sz val="10"/>
        <color theme="1"/>
        <rFont val="Calibri"/>
        <family val="2"/>
        <charset val="204"/>
        <scheme val="minor"/>
      </rPr>
      <t>Фича №7:</t>
    </r>
    <r>
      <rPr>
        <b/>
        <u val="double"/>
        <sz val="10"/>
        <color theme="1"/>
        <rFont val="Calibri"/>
        <family val="2"/>
        <charset val="204"/>
        <scheme val="minor"/>
      </rPr>
      <t xml:space="preserve"> </t>
    </r>
    <r>
      <rPr>
        <sz val="10"/>
        <color theme="1"/>
        <rFont val="Calibri"/>
        <family val="2"/>
        <charset val="204"/>
        <scheme val="minor"/>
      </rPr>
      <t>ЦФС проактивно взаимодействует с сотрудником в чат боте отвечая на вопросы сотрудника учитывая данные клиента, который находится на обслуживании</t>
    </r>
  </si>
  <si>
    <t>Кузина Наталия Игоревна</t>
  </si>
  <si>
    <t>Сберегательно-инвестиционный советник – Алерты для ребалансировки портфеля/накоплений при резком изменении рынка</t>
  </si>
  <si>
    <t>Цифровой помощник, который поможет клиенту сберегать денежные средства, увеличивать aum на сберегательно-инвестиционных продуктах. Нужен помощник, который возьмет на себя ведение бюджета, постоянные расходы и сбережения, подскажет время, когда покупать, как правильно распределить денежные средства и будет мониторить исполнение бюджета и оптимизировать затраты и показывать выгодные покупки, минимизировать импульсивные рнешения, присылать сигналы по ребалансировке портфеля/сбережений при изменениях рынка</t>
  </si>
  <si>
    <t>Сберегательно-инвестиционный советник – Рекомендации по крупным покупкам в зависимости от сезонности и интересам/целям клиента</t>
  </si>
  <si>
    <r>
      <rPr>
        <b/>
        <sz val="10"/>
        <color theme="1"/>
        <rFont val="Calibri"/>
        <family val="2"/>
        <charset val="204"/>
        <scheme val="minor"/>
      </rPr>
      <t>Оптимальные финансовые рекомендации для крупных покупок:</t>
    </r>
    <r>
      <rPr>
        <sz val="10"/>
        <color theme="1"/>
        <rFont val="Calibri"/>
        <family val="2"/>
        <charset val="204"/>
        <scheme val="minor"/>
      </rPr>
      <t xml:space="preserve">
Цифровой помощник, который поможет клиенту сберегать денежные средства, увеличивать aum на сберегательно-инвестиционных продуктах. Нужен помощник, который возьмет на себя ведение бюджета, постоянные расходы и сбережения, подскажет время когда покупать, как правильно распределить денежные средства и будет мониторить исполнение бюджета и оптимизировать затраты и показывать выгодные покупки, минимизировать импульсивные рнешения</t>
    </r>
  </si>
  <si>
    <t>Департамент развития и координации операционной функции, стрим «Технологическая платформа OpsNext»;</t>
  </si>
  <si>
    <t>Кустов Даниил Сергеевич
Валенцев Дмитрий Павлович</t>
  </si>
  <si>
    <t>Блок Т</t>
  </si>
  <si>
    <t xml:space="preserve">«РИТМ» (разумный интеллект транзакционного менеджмента)
</t>
  </si>
  <si>
    <t>Создание встроенного в Платформу OPSNEXT цифрового помощника для сотрудников и руководителей операционной функции. Помощник должен консультировать по базе знаний, сопровождать выполнение операций, изучать клиентские документы, выполнять действия в агентном режиме и формировать управленческую аналитику</t>
  </si>
  <si>
    <t>Блок Т, Департамент технологического развития корпоративного бизнеса, Управление автоматизации инвестиционного бизнеса, Стрим Развитие систем продаж продуктов финансового рынка</t>
  </si>
  <si>
    <t>Глухов Дмитрий Олегович &lt;gluhovdo@vtb.ru&gt;, Алексанян Арман Фирдусович &lt;afaleksanyan@vtb.ru&gt;, Орловцев Артём Юрьевич &lt;aorlovcev@vtb.ru&gt;</t>
  </si>
  <si>
    <t>ИИ-помощник дилеровпри работе сфункционалом Аксиомы.</t>
  </si>
  <si>
    <t>1) В trade entry есть окошко "Generate with AI", куда можноскопировать текст переговоров из письма и ИИ сам заполнит поляtrade entry.
2) Также есть ассистент поиска клиента: при вводе имени клиентаИИ (или более простой механизм) предлагает наиболее вероятныйвариант. Сейчас вообще невозможно заводить сделки - trade entryпредлагает "мусорный список клиентов", где 95% вообще неимеют оборотов, или имеют крайне малые обороты. Каждыйтретий раз заводим на FX_CUSTOM или созвучного клиента.
3) В trade blotter тоже есть ассистент. Пишешь "проверь, есть лисделки CNYRUB с суммами близкими к 5 400 000.00" или "естьли сделка с клиентом схожим по названию на ...", - получаешьответ. Без неудобной выгрузки excel, фильтров и т.п.
4) Генерация с помощью ИИ sql запроса для нестандартныхзапросов в БД: НАПРИМЕР, поиск сделок по ИНН клиентов.</t>
  </si>
  <si>
    <t>ИИ-отчет для анализаконкуретноспособностицен для клиентов СМБ иФЛ</t>
  </si>
  <si>
    <t>Построить на ИИ-отчёт для сравнения с конкурентами (на основепубличных источников информации и инсайда через промпты).</t>
  </si>
  <si>
    <t>Автоматизацияподтверждения сделок сдилером с использованиемИИ</t>
  </si>
  <si>
    <t>Автоматизация подтверждения сделок с дилером сиспользованием ИИ</t>
  </si>
  <si>
    <t>Auto-Batching</t>
  </si>
  <si>
    <t>Реализация механизма auto-batching с использованием ИИ</t>
  </si>
  <si>
    <t>TWAP Auto-Hedger длядилеров - плавноехеджирование позиции засчет TWAP алгоритма(одно из направленийAuto-Batching)</t>
  </si>
  <si>
    <t>Классический способ плавного закрытия позиции с цельюэкономии на спреде. Например, есть интервал [-100 млн, +100млн] млн ОВП, где нам комфортно. Все что выходит за рамкиэтого интервала закрывается в моменте по риск цене, все чтовнутри запускает механизм TWAP Auto-Hedger, который плавнозакрывает позу пока ОВП не снизится до уровня, который мысчитаем вообще безрисковым, например [-10 млн, +10 млн]</t>
  </si>
  <si>
    <t>AI-модуль "Помощникдилера" при перекрытии ОВП в тонком клиенте(одно из направленийAuto-Batching)</t>
  </si>
  <si>
    <t>Нейронная сеть (на основе опыта дилеров), которая будет готовитьпредложения по формированию батчей для последующего перекрытия ОВП для максимизации PnL. В интерфейсе появитсяновый стакан батчинга или подсказки, которые будут отображатьданные пакеты с вероятным PnL с учетом перекрытия внутрибанка и относительно рынка сейчас и в будущем.
Цель улучшить работу бизнеса, увеличить PnL, ускоритьперекрытие сделок там, где необходимо.
Первоначальное обучение будет происходить на историческихданных и выявляться паттерны. При данном обучении мы хотелибы учесть приобретенный опыт бизнеса и учесть его в разработкенейронки.
В процессе будут выявлены паттерны, на основе которых далеемодель начнет дообучаться онлайн без привлечения безнеса.
Следующим этапом будет уже привлечение бизнеса к обучениюмодели — к этому этапу модель уже должна будет предлагатьболее менее рациональные решения.
В идеале нейронка должна:
предлагать варианты батчевания
уведомлять о необходимости срочно отреагировать на какие топозиции
предлагать варианты формирования выгодных синтетическихпреобразований</t>
  </si>
  <si>
    <t xml:space="preserve">Анисимов С.Н. snanisimov@vtb.ru
Гашников Д.О. dgashnikov@vtb.ru
</t>
  </si>
  <si>
    <t>Принятия решений по запросам на преодоление блокировок по платежным документам (арест-арбитраж)</t>
  </si>
  <si>
    <t>Цифровой помощник должен на основании представленных данных (реквизиты платежа, текст исключения из исполнительного документа) принимать решение о возможности одобрить или отказать в проведении платежного документа</t>
  </si>
  <si>
    <t>Контроль заполнения распознанных полей по запросам ФССП, поступивших в бумажном виде</t>
  </si>
  <si>
    <t xml:space="preserve">Цифровой помощник должен проверифицировать распознанные документы для качественного выделения необходимых атрибутов (полей).
 На текущий момент сотрудник на станции верификации просматривает атрибуты (поля) с низкой долей уверенности извлечения и сравнивает с изображением скана документа. Вручную вносит исправления
</t>
  </si>
  <si>
    <t>Контроль заполнения распознанных полей по запросам ФОИВ</t>
  </si>
  <si>
    <t xml:space="preserve">Цифровой помощник должен проверифицировать распознанные документы для качественного выделения необходимых атрибутов (полей).
 На текущий момент сотрудник при исполнении задачи «Верификация структурированного документа» просматривает атрибуты (поля) и сравнивает с изображением скана документа. Вручную вносит исправления
</t>
  </si>
  <si>
    <t>Верификация состава документа и правомерность принятия к исполнению запросов ФОИВ</t>
  </si>
  <si>
    <t xml:space="preserve">Цифровой помощник должен на основании представленных данных (пакет сканов документов) принимать решение о полноте предоставленного пакета и о возможности проведения или отказа в исполнении запроса. 
На текущий момент сотрудник при каждой обработке запроса перечитывает тест документов из пакета и принимает решение. Задача подпадает на разных сотрудников и решения могут разниться в зависимости от сложности описания и степени компетентности сотрудника
</t>
  </si>
  <si>
    <t>Дообагащение ответа  данными не извлечёнными из витрин ФОИВ</t>
  </si>
  <si>
    <t xml:space="preserve">Цифровой помощник должен на основании представленных данных (пакет сканов документов и подготовленных ответов) принимать решение о полноте и корректности предоставленного ответа и о необходимости дообагащения ответа  данными не извлечёнными из витрин ФОИВ. 
На текущий момент сотрудник при каждой обработке запроса перечитывает тест документов из пакета, сверяет с подготовленными данными и принимает решение. Задача подпадает на разных сотрудников и решения могут разниться в зависимости от сложности описания и степени компетентности сотрудника
</t>
  </si>
  <si>
    <t xml:space="preserve">Контроль второй рукой созданных платежных документов по исполнительному производству на суммы свыше 100 т. р. </t>
  </si>
  <si>
    <t xml:space="preserve">Цифровой помощник должен на основании представленных данных (исполнительный документ о взыскании и заявление взыскателя) принимать решение о корректности заполнения платежного документа (реквизиты получателя, рассчитанная сумма, назначение платежа). 
На текущий момент сотрудник при каждом проведении платежа перечитывает текст исполнительного документа. Пересчитывает сумму взыскания. Задача подпадает на разных сотрудников и решения могут разниться в зависимости от сложности описания и степени компетентности сотрудника. На текущий момент SLA второй руки составляет 2 часа
</t>
  </si>
  <si>
    <t>Проверка полноты и корректности подготовленных ответов на запросы ФОИВ</t>
  </si>
  <si>
    <t xml:space="preserve">Цифровой помощник должен на основании представленных данных (пакет сканов документов и подготовленных ответов) принимать решение о полноте и корректности предоставленного ответа и о возможности отправки ответ или о доисполнении запроса. 
На текущий момент сотрудник при каждой обработке запроса перечитывает тест документов из пакета, сверяет с подготовленными данными и принимает решение. Задача подпадает на разных сотрудников и решения могут разниться в зависимости от сложности описания и степени компетентности сотрудника
</t>
  </si>
  <si>
    <t xml:space="preserve">Департамент технологического развития систем поддержки бизнеса
Управление развития сберегательных и кредитных продуктов ФЛ
Стрим кредиты и документарные операции ФЛ
</t>
  </si>
  <si>
    <t>Газаров Виталий Христофорович
Захарова Татьяна Владимировна</t>
  </si>
  <si>
    <t>Агент корректировки кредитных договоров</t>
  </si>
  <si>
    <t xml:space="preserve">Описание ЦП:
• Диагностика ошибок по кредитам: Определяет, какая ошибка и в какой сущности зафиксирована по выбранному кредиту
Рекомендация: Подбирает сценарий корректировки и предлагает его пользователю
</t>
  </si>
  <si>
    <t>Головная организация Банка ВТБ, Депозитарий</t>
  </si>
  <si>
    <t>Альцева Анастасия Анатольевна &lt;alceva@vtb.ru&gt;</t>
  </si>
  <si>
    <t>ГО</t>
  </si>
  <si>
    <t>Агент СДО - Интеллектуальный помощник</t>
  </si>
  <si>
    <r>
      <t xml:space="preserve">Переиспользовать интеграцию с СДО из Нексус:
</t>
    </r>
    <r>
      <rPr>
        <sz val="10"/>
        <rFont val="Calibri"/>
        <family val="2"/>
        <charset val="204"/>
        <scheme val="minor"/>
      </rPr>
      <t>Агент интегрирован в СДО.  
Понимает содержание документов, знает контекст деятельности, умеет инициировать дальнейшие действия</t>
    </r>
  </si>
  <si>
    <t>Агент БТ</t>
  </si>
  <si>
    <t xml:space="preserve">1. Промты.
2. Создание RAG - базы знаний (т.е. индексирование применимой документации, например, Требований к ИС (ТИС), Архитектуры Решения, операционных регламентов и т.д.).
3. Агент может обращаться к требованиям информационной безопасности, архитектурным требованиям, списку контрольных процедур, анализ влияния на смежные процессы, контакты смежных подразделений и т.д.
</t>
  </si>
  <si>
    <t>Консультант сотрудника (без доступа к информации по клиентам)</t>
  </si>
  <si>
    <t xml:space="preserve">Возможны различные варианты: по продукту, по законодательству, по внутренним документам Банка. </t>
  </si>
  <si>
    <t>Департамент интегрированного управления рисками, Управление операционных рисков</t>
  </si>
  <si>
    <t xml:space="preserve">Варакин Сергей Михайлович, Светличный Олег Игоревич
</t>
  </si>
  <si>
    <t>Подразделения поддержки и контроля</t>
  </si>
  <si>
    <t>ИИ-ассистент риск-координатора по идентификации операционных рисков</t>
  </si>
  <si>
    <t>Оперативно (за минуты) с помощью ИИ-ассистента получить рекомендацию по наличию риск-причин из описания риска и на основании базы типовых причин в АСУОР-3</t>
  </si>
  <si>
    <t>Развитие ПР-4161 Предиктивная аналитика</t>
  </si>
  <si>
    <t>Департамент клиентского обслуживания, Управление "Контактный центр"</t>
  </si>
  <si>
    <t>Развитие ПР-4161 Предиктивная аналитика. Также участвует стрим Потоковые данные - задача строка 46</t>
  </si>
  <si>
    <t>Обновление версий моделей LLM</t>
  </si>
  <si>
    <t>Развитие механизмов защиты Больших языковых моделей (guardrails)</t>
  </si>
  <si>
    <t>Реализация пространства тестирования Больших языковых моделей в dev-контуре</t>
  </si>
  <si>
    <t>Развитие Генеративных ИИ</t>
  </si>
  <si>
    <t>И-3872 Импортозамещение витрин ОВЮЛ (КИХ) на целевую архитектуру - ДАДМ</t>
  </si>
  <si>
    <t>Регрессионное тестирование витрин и процессов (обновление ADH)</t>
  </si>
  <si>
    <t>Платформа качества моделей и цифровых помощников</t>
  </si>
  <si>
    <t>AI Lake</t>
  </si>
  <si>
    <t>Мониторинг качества данных модельных витрин</t>
  </si>
  <si>
    <t>Развитие Платформы цифровых агентов</t>
  </si>
  <si>
    <t>Хранилище данных для цифровых агентов и помощников (DataHub)</t>
  </si>
  <si>
    <t>Инструмент создания модельных прототипов с GUI</t>
  </si>
  <si>
    <t>ЦП разработчика в среде разработке моделей</t>
  </si>
  <si>
    <t>Data linage</t>
  </si>
  <si>
    <t>Интеграция сум со сферой.Знания, СФЕРА.Задачи</t>
  </si>
  <si>
    <t>Развитие ML платформы</t>
  </si>
  <si>
    <t>Развитие Иснтрументов анализа данных и моделирования</t>
  </si>
  <si>
    <t>Развитие MLOPS конвейера</t>
  </si>
  <si>
    <t>Создание канального приложения ML платформы</t>
  </si>
  <si>
    <t>Миграция моделей антифрод на mission-critical (фаза 4)</t>
  </si>
  <si>
    <t>Повышение технологической зрелости информационных систем</t>
  </si>
  <si>
    <t>Обновление стэка потоковой обработки на актуальные версии</t>
  </si>
  <si>
    <t>Платформа потоковой обработки (фаза 1)</t>
  </si>
  <si>
    <t>Платформа потоковой обработки (фаза 2)</t>
  </si>
  <si>
    <t>Стрим Цифровые Агенты</t>
  </si>
  <si>
    <t>СУМ.Интеграция СУМ и Сфера.Cервисы</t>
  </si>
  <si>
    <t>СУМ.Внедрение модельных спецификаций в СУМ</t>
  </si>
  <si>
    <t>СУМ. Импортозамещение Camunda</t>
  </si>
  <si>
    <t>СУМ. Изменение инструментов и подходов к  синхронизации между СУМ и СУРМ</t>
  </si>
  <si>
    <t>СУМ. Интеграция СУМ и Сфера. Команда</t>
  </si>
  <si>
    <t>СУМ. Интеграция СУМ и Сфера.Архитектура</t>
  </si>
  <si>
    <t>СУМ. Интеграция СУМ и Сфера.Конфигурация</t>
  </si>
  <si>
    <t xml:space="preserve">СУМ. Рефакторинг ролевой модели </t>
  </si>
  <si>
    <t>СУМ. Реалзация модуля отчетности.</t>
  </si>
  <si>
    <t xml:space="preserve">AirFlow. Разграничение прав доступа к запуску DAG на урове ОС </t>
  </si>
  <si>
    <t>AirFlow.Обновление версии Airflow до 3.*</t>
  </si>
  <si>
    <t>SSDP. Внедрения модуля проведения пилотов.</t>
  </si>
  <si>
    <t>SSDP. Создание Spark-кластера SSDP.</t>
  </si>
  <si>
    <t xml:space="preserve">SSDP. Внедрение Self-service инструмента управления инфраструктурой обучения и инференса моделей. </t>
  </si>
  <si>
    <t>SSDP.Разработка модуля управления очередями и ресурсами.</t>
  </si>
  <si>
    <t>MLOps. Обеспечение механизмов тестирования модельных решений со смежными решениями и потребителями на тестовых средах.</t>
  </si>
  <si>
    <t>MLOps. Реализация пайплайнов и сервисов автоматической доставки модельных решений на тестовые и промышленные сегменты.</t>
  </si>
  <si>
    <t>MLOps. Автоматизированный сбор и учет событий инструментов конвейера и отправка уведомлений</t>
  </si>
  <si>
    <t>MLOps. Доработки инструмента Сфера.Код под специфику разработки моделей</t>
  </si>
  <si>
    <t>MLOps. Добавление в конвейер инструмента Сфера.АТ</t>
  </si>
  <si>
    <t xml:space="preserve">Маркер.Перевод прикладного ПО Apache Superset с v.4 на v.6 </t>
  </si>
  <si>
    <t>Маркер.Реализовать функцию Экспорт Snapshot для экспорта больших объемов размеченных данных (50-100 тыс.)</t>
  </si>
  <si>
    <t>Маркер.Реструктуризация существующей ролевой модели: добавление новых ролей и изменение процесса управления проектами в системе</t>
  </si>
  <si>
    <t>Маркер.Обновление Label Studio до мажорной версии</t>
  </si>
  <si>
    <t>Маркер. Реализация механизмов автоматической разметки.</t>
  </si>
  <si>
    <t>Графы. Реализация Фабрики Графовых Признаков</t>
  </si>
  <si>
    <t>Репозиторий моделей. Доработка структуры и функций хранилища артефактов моделей.</t>
  </si>
  <si>
    <t>Репозиторий моделей. Разработка UI интерфейса Для работы с репозиториями.</t>
  </si>
  <si>
    <t>Хранилище признаков. Ролевая модель с разграничением прав доступа к основным сущностям: Проект, Набор данных, набор признаков</t>
  </si>
  <si>
    <t>Хранилище признаков. Интеграция с Системой управления моделей.</t>
  </si>
  <si>
    <t>Хранилище признаков. Разработка UI интерфейса пользователя.</t>
  </si>
  <si>
    <t>Хранилище признаков.  Создание Spark-кластера расчета признаков.</t>
  </si>
  <si>
    <t>Хранилище признаков.  Реализация механизмов контроля качества данных используемы в признаках..</t>
  </si>
  <si>
    <t>ПИМ. Реализация механизмов A/B тестирования и canary релизов.</t>
  </si>
  <si>
    <t>ПИМ. Разработка административной панели управления конфигурацией и запумком модельных сервисов.</t>
  </si>
  <si>
    <t>ПИМ.  Serverless управление ресурсами.</t>
  </si>
  <si>
    <t>ПИМ. Разработка инструментов автоматизированной сборки и внедрения моделей в промышленные контура.</t>
  </si>
  <si>
    <t>Канальное приложение. Переход на единую ролевую модель.</t>
  </si>
  <si>
    <t>Канальное приложение. Разработка общего сервиса аутентификации.</t>
  </si>
  <si>
    <t>Канальное приложение. Создание дизайн системы.</t>
  </si>
  <si>
    <t>Канальное приложение. Разработка шины данных и событий.</t>
  </si>
  <si>
    <t>Канальное приложение. Адаптация модулей управления жизненным циклом.</t>
  </si>
  <si>
    <t>Канальное приложение. Адаптация инструментов разработки и внедрения.</t>
  </si>
  <si>
    <t>Канальное приложение. Адаптация модулей инференса.</t>
  </si>
  <si>
    <t>Канальное приложение. Разработка общих сервисов безопасности и надежности.</t>
  </si>
  <si>
    <t>Единая процедура обновления версий больших языковых моделей
Задачи:
- Настройка сервиса по обновлению версий моделей 
- Реализация процедуры обновления моделей
- Произведение обновления моделей на регулярной основе (ежеквартально)
Эффект:
- Повышение эффективности реализации проектов за счет последних версий моделей
- Сокращение издержек на GPU за счет использования более производительных моделей
- Снижение рисков деградации больших моделей за счет использования последних версий, менее подверженных ухудшению качества</t>
  </si>
  <si>
    <t>Платформенные инструменты защиты Больших языковых моделей
Задачи:
- Внедрение и тестирование механизмов защиты моделей от негативного внешнего влияния, некорректных действий пользователей, нарушения банковских стандартов и правил
Эффект:
- Рост числа реализованных проектов за счет повышения уровня защиты данных для LLM
- Снижение издержек на инциденты 
- Снижение затрат на разбор инцидентов</t>
  </si>
  <si>
    <t>Реализация пространства тестирования больших языковых моделей с предоставлением бенчмаркинга и метрик моделей
Задачи:
- Реализация пространства тестирования в DEV-контуре
- Деплой дефолтных моделей для тестирования
- Реализация сервиса по нагрузочному тестированию и проверке метрик эффективности моделей
Эффект:
- Сокращение TTM проектов за счет выбора оптимальных моделей, проверенных до активной фазы проекта
- Сокращение закупок GPU-оборудования за счет подбора оптимальных для задачи модели
- Уменьшение рисков запроса неоптимальных моделей</t>
  </si>
  <si>
    <t>Масштабирование возможностей генеративного ИИ в банке. Проактивный анализ новых моделей или новых версий моделей, сравнение с бэнчмарками, составление рекомендаций к эталонному тестированию, подключение моделей для использования в применении ЦП.
Закупка достаточного оборудования для прототипирования и более оперативного выделения оборудования на проекты (около 800млн.р.)
Разработка биллинга токенов и выстраивание очередей по приоритетам обработки.</t>
  </si>
  <si>
    <t>Импортозамещение витрин ОВЮЛ (КИХ) на целевую архитектуру</t>
  </si>
  <si>
    <t xml:space="preserve">Тестирование модельных процессов в новой версии ADH </t>
  </si>
  <si>
    <t>Единая платформа качества моделей и ЦП с общей системой хранения результатов (классические модели + ЦП), YTsaurus и self-service BI для бизнеса
Задачи:
1) Единая система хранения результатов моделей и ЦП. 
2) Подключение всех моделей и ЦП и тракт сбора/обработки результатов. 
3) Модуль расчета технико-экономической стоимости. 
4) Self-service BI (Superset). 
5) Пилот и миграция 2152 на YTsaurus, тестовый контур НТ.
Эффект:
1) Рост конверсии и дохода от продуктов за счет прозрачного мониторинга эффективности моделей/ЦП и фокуса инвестиций на высокоэффективные сценарии.
2) Снижение риска неверных решений по продуктам и клиентам благодаря контролю качества, истории работы моделей и тестовому контуру НТ.
3) Оптимизация инфраструктурных и лицензионных затрат через учет стоимости работы моделей и консолидацию хранения данных.
4) Рост выручки + снижение потерь + оптимизация OPEX
Потенциальный KPI:
1) Доля моделей/ЦП с рассчитанным эффектом и стоимостью, %. 
2) Дополнительный доход от масштабируемых сценариев, млн ₽/год. 
3) Экономия инфраструктурных затрат, %.</t>
  </si>
  <si>
    <t>Контроль паттернов ИИ, качества моделей и дрейфа данных, включая маскирование и мониторинг чувствительных данных
Задачи:
1) Каталог паттернов применения ИИ. 
2) Мониторинг качества моделей и ЦП. 
3) Детекторы дрейфа данных/модели. 
4) Маскирование персональных данных в трейсе. 
5) Мониторинг маскирования и отчётность для НТ/ИБ.
Эффект:
1) Косвенный рост выручки за счет снижения доли ошибочных решений (меньше отказов хорошим клиентам, меньше ошибочных блокировок).
2) Снижение операционных и регуляторных рисков: раннее выявление деградации моделей, контроль дрейфа и корректности маскирования.
3) Снижение затрат на инциденты и ручную проверку решений ИИ через автоматизированный мониторинг.
4) Снижение потерь и штрафов, уменьшение затрат на разбор инцидентов
Потенциальный KPI:
1) Снижение финансовых потерь/штрафов по ошибкам моделей и нарушениям ИИ, %. 
2) Доля моделей с активным мониторингом дрейфа и качества, %. 
3) Кол-во инцидентов по данным и ИИ-решениям, шт./год.</t>
  </si>
  <si>
    <t>Стандартный SDK для интеграции моделей и ЦП с банковскими системами и "Сферой"
Задачи:
1) Инвентаризация текущих интеграций моделей/ЦП. 
2) Проектирование SDK: интерфейсы, контракты данных, логирование, мониторинг, поддержка паттернов, интеграция с "Сферой". 
3) Разработка SDK и адаптеров, пилоты. 
4) Документация, стандартизация и обучение.
Эффект:
1) Ускорение вывода ИИ-функций: новые цифровые продукты и сценарии монетизации запускаются быстрее.
2) Снижение технологических рисков интеграции благодаря единым стандартам и встроенному мониторингу/логированию.
3) Минимизация затрат на разработку и сопровождение интеграций за счет повторного использования стандартных компонентов.
4) Рост выручки + сокращение CAPEX/OPEX разработки
Потенциальный KPI:
1) Среднее время подключения новой модели/ЦП к боевому процессу, дни. 
2) Доля интеграций через стандартный SDK, %. 
3) Снижение стоимости реализации интеграции на один сценарий, %.</t>
  </si>
  <si>
    <t>Управляющий модуль обратной связи по моделям и ЦП (клиенты, бизнес, НТ)
Задачи:
1) Модель данных и классификация фидбэка. 
2) Интеграция каналов сбора обратной связи в клиентские интерфейсы, порталы и контур НТ. 
3) Реализация управляющего модуля: маршрутизация, SLA, статусы, отчётность. 
4) Включение фидбэка в управление жизненным циклом моделей/ЦП.
Эффект:
1) Рост выручки через повышение качества сервисов: увеличение конверсии, удержания и удовлетворенности клиентов.
2) Снижение репутационных и операционных рисков через контроль негативных сигналов и быстрое реагирование.
3) Оптимизация затрат на поддержку и развитие за счет фокуса на изменениях с подтвержденным эффектом.
4) Рост дохода + снижение репутационных рисков + оптимизация затрат на развитие
Потенциальный KPI:
1) Изменение CSAT/NPS на каналах с ЦП и ИИ-сервисами, п.п. 
2) Среднее время реакции на критичный сигнал по модели/ЦП, дни. 
3) Доля доработок моделей/ЦП с подтвержденным положительным бизнес-эффектом, %.</t>
  </si>
  <si>
    <t>Миграция процессов обработки данных для моделей и ЦП на современные высокопроизводительные инструменты (DAPP и др.)
Задачи:
1) Инвентаризация существующих пайплайнов данных для моделей и ЦП. 
2) Проектирование целевой архитектуры обработки данных на DAPP/новой платформе. 
3) Пошаговая миграция логики и интеграций, параллельный прогон old vs new, отключение старых решений. 
4) Настройка мониторинга производительности, задержек и отказов, оптимизация ресурсов.
Эффект:
1) Косвенный рост выручки за счет повышения доступности ИИ-сервисов и уменьшения простоев в клиентских каналах.
2) Снижение операционных рисков и вероятности критичных инцидентов из-за отказов/задержек в системах обработки данных.
3) Экономия инфраструктурных затрат за счет более эффективного использования ресурсов и снижения стоимости владения стеком данных.
4) Снижение OPEX и потерь от простоя, улучшение устойчивости
Потенциальный KPI:
1) Уровень доступности (uptime) ключевых ИИ-сервисов и ЦП, %. 
2) Снижение средней задержки обработки критичных пайплайнов данных, % к базовому уровню. 
3) Экономия инфраструктурных затрат на обработку данных, %.</t>
  </si>
  <si>
    <t>Создание хранилища признаков для AI моделей, с использованием технологий для гибкого управления ресурсами Compute и Storage</t>
  </si>
  <si>
    <t xml:space="preserve">Мониторинг качества данных модельных витрин:
- построение платформенного взаимодействия с СУМ в части DL и DQ витрин и их источников
- развитие DQ модельных витрин
- автоматизация процессов в связи с изменениями на ЦЕХ
- автоматизация контроля качества фичей входящих в модели
- автоматизация контроля требований регулятора </t>
  </si>
  <si>
    <t>Проактивное развитие платформы, занос новых технологий (например, qwenCode, DeepEval) для улучшения пользовательского пути, ускорения и улучшения качества тестирования ЦП и агентов.</t>
  </si>
  <si>
    <t>Масштабирование возможностей генративного ИИ в банке. Проактивный анализ новых моделей или новых версий моделей, сравнение с бэнчмарками, составление рекомендаций к эталонному тестированию, подключение моделей для использования в применении ЦП.
Закупка достаточного оборудования для прототипирования и более оперативного выделения оборудования на проекты (около 800млн.р.)
Разработка биллинга токенов и выстраивание очередей по приоритетам обработки.</t>
  </si>
  <si>
    <t>Организация пространства с разными слоями хранения информации по клиенту - ФЛ для работы цифровых помощников и агентов. Разработка модели данных, разворачивание инфраструктуры, разработка типовых форматов подключения (в том числе MCP протоколы), единое место для ведения контекста по взаимодействию с клиентом (КЦ, ВТБО, ВТБПРО, банкоматы и тд).
Подключение источников может быть вынесено в бизнес проекты.
Требуется первичная закупка оборудования (около 300-400 млн.р)</t>
  </si>
  <si>
    <t>Необходима возможность создавать силами модельного стрима (DS/MlOps) прототип модельного решения с GUI для демонстрации заказчику. При этом у заказчика должна быть возможность получить доступ и самому использовать прототип</t>
  </si>
  <si>
    <t xml:space="preserve">Необходима среда разработки для моделей и цифровых помощников с полным доступом DS/MLE/DE. 
Внедрение в среду JupyterHub AI-ассистента/ ai-агента для работы с кодом, репозиторием кода (аналог claude code), генерации запросов, обьяснения ошибок и создание документации. </t>
  </si>
  <si>
    <t>Необходим иструмент автоматического построения data linage для DAPP и проч. платформ данных
Возможность получать данные о планируемых изменениях структур данных, используемых ML-моделями.
Необходимо доработать внутреннюю модель данных, а внешние также API - чтобы можно было использовать систему в качестве инструмента оперативного управления качеством модельных данных.
Позволит видеть влияние инцидентов качества данных на модели.
Исходящая интеграция / API позволит организовать анализ влияния качества данных на качество работы моделей.</t>
  </si>
  <si>
    <t>Необходимо доработать сум, чтобы он автоматически подтягивал информацию из сферы.знания, сфера.задачи вместо ручного заполнения. Переход к управлению жизненным циклом на остнове workflow организации процесса разработки моделей в Сфера.Задачи.</t>
  </si>
  <si>
    <t>Реорганизация связей модельных решений и структуры сервисов банка, актуализация информации о связях сервисов, определение актуальных владельцев моделей.</t>
  </si>
  <si>
    <t>Позволит автоматизировать построение DataLineage модельных данных в СУМ (сейчас модельные спецификации ведутся в Сфера. Знания и их содержимое не используется при построении DataLineage).</t>
  </si>
  <si>
    <t>Отказ от использования продукта Camunda, с изменением функций ядра СУМ по управлению жизненным цмклом моделей.</t>
  </si>
  <si>
    <t>Измение интеграций и внутренних механизмов актуализации и отчетности Системы управления реестром моделей банка.</t>
  </si>
  <si>
    <t xml:space="preserve">Синхронизация составов команд участвующих в создании и внедрении модельных решений. </t>
  </si>
  <si>
    <t>Синхронизация данных о архитектуре системы и модельно сервиса.</t>
  </si>
  <si>
    <t>Установление взаимосвязей между модельными сервисами и учетными конфигурационными еденицами.</t>
  </si>
  <si>
    <t>Разработка и внедрение гибкой системы управления доступами и видимостью информации и артефактов модельных решений.</t>
  </si>
  <si>
    <t>Создание инструмента конфигурируемых дашбордов и динамических метрик</t>
  </si>
  <si>
    <t>Реализация механизмов изоляции доступа к коду в зависимости от класа критичности модельных решений.</t>
  </si>
  <si>
    <t>Обновление на новую версию с расширеной функциональностью. Текущая версия не поддерживается community.</t>
  </si>
  <si>
    <t xml:space="preserve">Иметь возможность создавать силами модельного стрима (DS/MlOps) прототип модельного решения с GUI для демонстрации заказчику. Прототип создается вне проектов в условиях отсутствия (либо крайне ограниченного) финансирования, поэтому затраты и сроки должны быть минимизированы. </t>
  </si>
  <si>
    <t>Создание Spark-кластера для того, чтобы пользователи не стояли в очереди на ресурсы в DAPP.</t>
  </si>
  <si>
    <t>Интеграция позволит заказывать ресурсы и создавать заявки в Cloud из интрефейса Master App SSDP, а так же гибко бронировать ресурсы под конкретные задачи (менее ресурсоемкие/более ресурсоемкие). Таким образом пользователи будут гибкими в выборе машины и конфигурации, а на уровне ИС будет легче управлять утилизацией ресурсов.</t>
  </si>
  <si>
    <t>Создание в ИС 1648 ресурсного хаба CoreHub, представляющего собой центральный оркестратор заданий, управляющий вычислительными ресурсами. Он обеспечивает распределение и очередность задач, мониторинг и эффективное использование мощностей в тч GPU</t>
  </si>
  <si>
    <t>Изменение процессов разработки и CI/CD модельных решений c разделением процессов и инструментов разработки моделей.</t>
  </si>
  <si>
    <t>Разработка набора инструментов автоматизированного CI/CD Внедрения ML решений.</t>
  </si>
  <si>
    <t>Создание инструмента сбора и анализа метик конвейера и отслеживания жизненного цикла модельных решений.</t>
  </si>
  <si>
    <t>Доработки инструмента для корректного отображения синтаксиса и поиска Jupyter ноутбуков, реорганизация процессов работы с сабмодулями и библиотеками, доработки ролевой модели Сфера.Код</t>
  </si>
  <si>
    <t>Внедрение в процесс разработки модельных решений инструмента автоматизированного тестирования.</t>
  </si>
  <si>
    <t>Новые функциональные возможности прикладного ПО, улучшение производительности и рендеринга дашбордов, поддержка новых баз данных</t>
  </si>
  <si>
    <t>Отсутствие необходимости дробить данные на мелкие партии в проектах, снижение трудозатрат пользователей на задачу экспорта данных, снижение нагрузки на инфраструктуру системы (за счет фоновой подготовки данных для экспорта)</t>
  </si>
  <si>
    <t>Приведение технологического процесса разметки к банковскому бизнес-процессу разметки, снижение трудозатрат бизнеса и  прикладной поддержки (на создание и управление проектами)</t>
  </si>
  <si>
    <t>Новые функциональные возможности прикладного ПО, выполнение более широкого спектра прикладных задач и создание более точных обучающих датасетов, обеспечение масштабируемости под рост числа пользователей и объем размечаемых данных</t>
  </si>
  <si>
    <t>Внедрение в Label Studio базовых моделей разметки данных  и интеграция с LLM для функций ассистента и о-разметчика пользователю платформы.</t>
  </si>
  <si>
    <t>Реализация конвейера расчета связей обьекта и представления формирования связей в признаки для моделей.</t>
  </si>
  <si>
    <t>Расширение перечня хранимых и управляемых артефактов, конфигурации структуры и глубины хранения.</t>
  </si>
  <si>
    <t>Интерфейс управления артефактами и структурой хранилища.</t>
  </si>
  <si>
    <t>Создание "личного кабинета" команды для работы с признаками и управления жизненным циклом признаков.</t>
  </si>
  <si>
    <t>Создание связей модельных решений и используемых признаков, формирование модельного Data Lineage c учетом постобработки данных.</t>
  </si>
  <si>
    <t>Создание кластера соответствующего класа критичности с отсутствием зависимости от вычислительных ресурсов DAPP.</t>
  </si>
  <si>
    <t>Создание инструментов настройки правил качества данных, ручного и автоматизированного запуска проверок качества данных, сохранение и визуализация метрик качества данных.</t>
  </si>
  <si>
    <t>Механизмы перераспределения трафика между разными релизными версиями модельных решений, с целью проведения анализа и принятия решения о полноценном внедрении.</t>
  </si>
  <si>
    <t xml:space="preserve">Реализация self service инструмента управления жизненным циклом инференса, создания и конфирации сервиса и его масштабирования. </t>
  </si>
  <si>
    <t>Реализация подхода Scale-to-Zero позволяет высвобождать ресурсы кластера если модели нет запросов.</t>
  </si>
  <si>
    <t>Реализация конвейера преобразования декларативного модельного пайплайна в промышленный сервис.</t>
  </si>
  <si>
    <t>Разработка единой ролевой модели для всех компонентов платформы, конфигурируемую под особенности разгранечения функций каждого модуля.</t>
  </si>
  <si>
    <t>Разработка общего сервиса аутентификации и авторизации пользователей.</t>
  </si>
  <si>
    <t>Создание единого приемственного дизайна для всех модулей платформы.</t>
  </si>
  <si>
    <t>Реализация единого механизма передачи событий и данных между модулями экосистемы.</t>
  </si>
  <si>
    <t>Переключение модулей ЖЦ на общие сервисы и переход на единый дизайн.</t>
  </si>
  <si>
    <t>Переключение инструментов разработки на общие сервисы и переход на единый дизайн.</t>
  </si>
  <si>
    <t>Переключение модулей инференса  на общие сервисы и переход на единый дизайн.</t>
  </si>
  <si>
    <t>Разработка общих компонентов наблюдаемости для всех модулей.</t>
  </si>
  <si>
    <t>Перевод текущих моделей на уровень исполнения mission-critical, для соответствия бизнес процессу СПМ</t>
  </si>
  <si>
    <t>Повышение наблюдаемости систем и качества логирования, обнадеживание ИС, развитие технологического стандарта Apache Flink и его применение в Платформах потоковой обработки данных</t>
  </si>
  <si>
    <t>Тестирование и миграция контуров на Flink 1.20 и обновление библиотек</t>
  </si>
  <si>
    <t>Платформа обработки потоков данных в режиме близком к реальному времени в с настройкой в режиме самообслуживания, фаза 1 включает в себя реализацию ядра системы, портала самообслуживания и функционала фильтрации</t>
  </si>
  <si>
    <t>Реализация детекции аномалий на потоках и доработка портала самообслуживания для этого функционала</t>
  </si>
  <si>
    <t>В поиске</t>
  </si>
  <si>
    <t>УПА ДРКР</t>
  </si>
  <si>
    <t>Розница, Департамент развития и координации розничного бизнеса</t>
  </si>
  <si>
    <t/>
  </si>
  <si>
    <t>Стрим МАиО</t>
  </si>
  <si>
    <t>Управление омниканальных решений КИБ</t>
  </si>
  <si>
    <t>Блок Т Департамент технологического развития розничного бизнеса</t>
  </si>
  <si>
    <t>Блок Т Управление автоматизации хранилища данных и отчетности</t>
  </si>
  <si>
    <t>Управление локальных сетей служба ЛВС ГО</t>
  </si>
  <si>
    <t>Департамент технологического развития систем поддержки бизнеса 
или
ДОПБ</t>
  </si>
  <si>
    <t>ДТРОС, Стрим «Операционные риски»</t>
  </si>
  <si>
    <t>Студия инноваций ВТБ</t>
  </si>
  <si>
    <t>нет информации</t>
  </si>
  <si>
    <t>ДОМЦР</t>
  </si>
  <si>
    <t>УВЭД, УЦКБ</t>
  </si>
  <si>
    <t>Управление Государственные услуги и сервисы для бизнеса ДКЦБ</t>
  </si>
  <si>
    <t>Голицына М.А.</t>
  </si>
  <si>
    <t>Дерипаско Анна Александровна &lt;deripasko@vtb.ru&gt;, лидер стрима МАиО
Александр Языков &lt;yazykov@vtb.ru&gt;, ИТ-лидер стрима МАиО</t>
  </si>
  <si>
    <t>Шатуров Максим Сергеевич/Аналитик</t>
  </si>
  <si>
    <t>Максим Карасев
Пустовалов Андрей Николаевич</t>
  </si>
  <si>
    <t>Невоструев Сергей</t>
  </si>
  <si>
    <t>Луцук Юрий</t>
  </si>
  <si>
    <t>Ханин Максим Витальевич</t>
  </si>
  <si>
    <t>Баранов Михаил Петрович</t>
  </si>
  <si>
    <t xml:space="preserve">Кривошей Артем Витальевич
krivosheiav@vtb.ru </t>
  </si>
  <si>
    <t xml:space="preserve">Демкин Данила Валериевич
Директор по управлению проектами 
ddemkin@vtb.ru </t>
  </si>
  <si>
    <t xml:space="preserve">Светличный Олег Игоревич 
Директор по управлению портфелем проектов
osvetlichnyi@vtb.ru 
 </t>
  </si>
  <si>
    <t>Балашов Д.
Ваганова М.</t>
  </si>
  <si>
    <t>eyarushkina@vtb.ru Ярушкина/Барсукова  Екатерина Васильевна 
руководитель проектов</t>
  </si>
  <si>
    <t xml:space="preserve">Михаил Соколенко Вячеславович
Директор проектов УАТП ДОМЦР
+7(910) 428-92-83 </t>
  </si>
  <si>
    <t>Ачеусов Андрей Алексеевич</t>
  </si>
  <si>
    <t xml:space="preserve">Кольцова Мария Сергеевна 
kolcovam@vtb.ru </t>
  </si>
  <si>
    <t>Управление перспективных алгоритмов машинного обучения</t>
  </si>
  <si>
    <t>Cлужба автоматизации внутренних процессов и сервисов</t>
  </si>
  <si>
    <t xml:space="preserve">Cлужба автоматизации внутренних процессов и сервисов </t>
  </si>
  <si>
    <t>Управление автоматизации хранилища данных и отчетности</t>
  </si>
  <si>
    <t>Cлужба обучения и развития персонала</t>
  </si>
  <si>
    <t xml:space="preserve">Отдел методологии дистанционного обучения </t>
  </si>
  <si>
    <t xml:space="preserve">Управление перспективных алгоритмов машинного обучения </t>
  </si>
  <si>
    <t>Управление "Фабрика данных"</t>
  </si>
  <si>
    <t xml:space="preserve"> Стрим «Операционные риски»</t>
  </si>
  <si>
    <t xml:space="preserve">Служба автоматизации внутренних процессов и сервисов </t>
  </si>
  <si>
    <t xml:space="preserve">Служба развития кредитного процесса </t>
  </si>
  <si>
    <t>Управление "Цифровые помощники"</t>
  </si>
  <si>
    <t>Серякова О.А.</t>
  </si>
  <si>
    <t>Управление Цифровые помощники</t>
  </si>
  <si>
    <t>Стрим «Цифровые помощники РБ», направление «Создание ЦФА»</t>
  </si>
  <si>
    <t>Синенко Р.Н., Устюгов А.А.</t>
  </si>
  <si>
    <t>Управление «Расти с ВТБ», Управление Цифровые помощники</t>
  </si>
  <si>
    <t>Управление "Состоятельные клиенты"</t>
  </si>
  <si>
    <t>Волков Д. В., Лидирует от ДРКБ УЦП Э.Г. Петрова</t>
  </si>
  <si>
    <t xml:space="preserve">Елисеев Виталий Вадимович
лидирует от ДРКБ УЦП Э.Г. Петрова </t>
  </si>
  <si>
    <t>А. А. Генкин 
лидирует от ДРКБ УЦП Э.Г. Петрова</t>
  </si>
  <si>
    <t xml:space="preserve">ДП УППБ </t>
  </si>
  <si>
    <t xml:space="preserve">Устюгов А.
 </t>
  </si>
  <si>
    <t xml:space="preserve">Щепотин Денис Владимирович
schepotin@vtb.ru 
</t>
  </si>
  <si>
    <t>Колесников Кирилл Андреевич, 
Чундоков Тимур Муратович, 
Кириленко Ксения Андреевна</t>
  </si>
  <si>
    <t>Е.В. Склярова 
лидирует от ДРКБ УЦП Э.Г. Петрова</t>
  </si>
  <si>
    <t xml:space="preserve">ДКО Управление «Голосовой ассистент» </t>
  </si>
  <si>
    <t>ИИ помощник руководителя</t>
  </si>
  <si>
    <t>Оценка инициативы - ДКО - создание агентов</t>
  </si>
  <si>
    <t>ДКО - создание чит-чата по мошенничеству</t>
  </si>
  <si>
    <t>Чат-бот в Бизнес-Википедию</t>
  </si>
  <si>
    <t>ЦА. ДКО - Модель общей суммаризации</t>
  </si>
  <si>
    <t>Агент для PIX BI</t>
  </si>
  <si>
    <t>Забота о клиентах 
Когорты</t>
  </si>
  <si>
    <t>НСПК</t>
  </si>
  <si>
    <t>ПЦА</t>
  </si>
  <si>
    <t>Агент толстого клиента SmartZone</t>
  </si>
  <si>
    <t>Пилот ИИ ассистента риск-координатора</t>
  </si>
  <si>
    <t>ИИ агент УО ФД КИБ</t>
  </si>
  <si>
    <t>Graph/RAG агент подключен к статической базе данных ЕГРЮЛ
(поиск бенефициаров)</t>
  </si>
  <si>
    <t>Агент для проверки полноты документов для БП открытия дополнительного счета юр.лицом
(Помощник по документам)</t>
  </si>
  <si>
    <t xml:space="preserve">Помощник руководителя проектов </t>
  </si>
  <si>
    <t>ИИ агенты для ДОМЦР</t>
  </si>
  <si>
    <t>Цифр.помощник по оценке правстатуса кллиентов СМБ
Доработка бэка СУБО ЦП для осуществления процессов</t>
  </si>
  <si>
    <t>Цифр.помощник по оценке правстатуса кллиентов СМБ
Разработка экранных форм для осуществления процессов (встраивание отдельными модулями на портале СТАРТ)</t>
  </si>
  <si>
    <t>РБ. 572 чат-бот в Бизнес Википедии
Интеграция чат-бота с RAG-сервисом (реализовано в пр 3222) в БВ (ИС 572)</t>
  </si>
  <si>
    <t>Автоматизация процессов электронного документооборота Банка ВТБ</t>
  </si>
  <si>
    <t xml:space="preserve">Оценка модели по формированию структурного перечня залогов на основании предоставленных клиентом документов </t>
  </si>
  <si>
    <t>Агент генерация бизнес-метаданных оценка</t>
  </si>
  <si>
    <t xml:space="preserve">Внедрение переводчика в переписку между клиентами филиалов в ДБО </t>
  </si>
  <si>
    <t xml:space="preserve">Перевод ДБО ВТБ Бизнес на английский, китайский языки </t>
  </si>
  <si>
    <t>Банковский помощник</t>
  </si>
  <si>
    <t>Цифровой консультант по развитию премиальных клиентов - Заявка на разработку ЦП</t>
  </si>
  <si>
    <t>Цифровой консьерж для состоятельных клиентов по сервисам Лайфстайл -Заявка на разработку ЦП</t>
  </si>
  <si>
    <t xml:space="preserve">Штрыков Ростислав Романович
shtrkov@vtb.ru 
</t>
  </si>
  <si>
    <t xml:space="preserve">Штрыков Ростислав Романович
shtrkov@vtb.ru 
</t>
  </si>
  <si>
    <t xml:space="preserve">Пудовкина Анна Юрьевна
pudovkina@vtb.ru </t>
  </si>
  <si>
    <t>Терешин Михаил Олегович tereshin@vtb.ru</t>
  </si>
  <si>
    <t xml:space="preserve">Штрыков Ростислав Романович
shtrkov@vtb.ru </t>
  </si>
  <si>
    <t xml:space="preserve">Пудовкина Анна Юрьевна
pudovkina@vtb.ru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</si>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</sst>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lt;=9999999]###\-####;\(###\)\ ###\-####"/>
    <numFmt numFmtId="165" formatCode="_-* #,##0.00_-;\-* #,##0.00_-;_-* \-??_-;_-@_-"/>
  </numFmts>
  <fonts count="76" x14ac:knownFonts="1">
    <font>
      <sz val="11"/>
      <name val="Calibri"/>
    </font>
    <font>
      <sz val="11"/>
      <color theme="1"/>
      <name val="Calibri"/>
      <scheme val="minor"/>
    </font>
    <font>
      <b/>
      <sz val="24"/>
      <color rgb="FFD92020"/>
      <name val="Calibri"/>
      <scheme val="minor"/>
    </font>
    <font>
      <sz val="11"/>
      <color theme="1"/>
      <name val="Calibri"/>
    </font>
    <font>
      <b/>
      <sz val="11"/>
      <color theme="1"/>
      <name val="Calibri"/>
    </font>
    <font>
      <sz val="8"/>
      <color theme="1"/>
      <name val="Calibri"/>
      <scheme val="minor"/>
    </font>
    <font>
      <sz val="8"/>
      <color theme="0" tint="-0.14996795556505021"/>
      <name val="Calibri"/>
      <scheme val="minor"/>
    </font>
    <font>
      <sz val="10"/>
      <color theme="1"/>
      <name val="Calibri"/>
      <scheme val="minor"/>
    </font>
    <font>
      <b/>
      <sz val="8"/>
      <color rgb="FF000000"/>
      <name val="Calibri"/>
    </font>
    <font>
      <b/>
      <sz val="8"/>
      <color theme="0"/>
      <name val="Calibri"/>
    </font>
    <font>
      <b/>
      <sz val="8"/>
      <color theme="0"/>
      <name val="Calibri"/>
      <scheme val="minor"/>
    </font>
    <font>
      <b/>
      <sz val="8"/>
      <color theme="1"/>
      <name val="Calibri"/>
    </font>
    <font>
      <b/>
      <sz val="8"/>
      <color theme="1"/>
      <name val="Calibri"/>
      <scheme val="minor"/>
    </font>
    <font>
      <b/>
      <sz val="8"/>
      <color rgb="FF000000"/>
      <name val="Times New Roman"/>
    </font>
    <font>
      <sz val="10"/>
      <color rgb="FF1F497D"/>
      <name val="Times New Roman"/>
    </font>
    <font>
      <b/>
      <sz val="10"/>
      <color rgb="FF00B050"/>
      <name val="Calibri"/>
    </font>
    <font>
      <sz val="10"/>
      <color rgb="FFFF0000"/>
      <name val="Calibri"/>
      <scheme val="minor"/>
    </font>
    <font>
      <b/>
      <sz val="10"/>
      <color rgb="FF00B050"/>
      <name val="Calibri"/>
      <scheme val="minor"/>
    </font>
    <font>
      <sz val="10"/>
      <color rgb="FF000000"/>
      <name val="Calibri"/>
      <scheme val="minor"/>
    </font>
    <font>
      <sz val="10"/>
      <color rgb="FF0070C0"/>
      <name val="Calibri"/>
      <scheme val="minor"/>
    </font>
    <font>
      <sz val="10"/>
      <color rgb="FF000000"/>
      <name val="Arial"/>
    </font>
    <font>
      <sz val="10"/>
      <color rgb="FF232431"/>
      <name val="Arial"/>
    </font>
    <font>
      <sz val="10"/>
      <color rgb="FF2C2D2E"/>
      <name val="Arial"/>
    </font>
    <font>
      <sz val="10"/>
      <color rgb="FF2C2D2E"/>
      <name val="Calibri"/>
      <scheme val="minor"/>
    </font>
    <font>
      <b/>
      <sz val="10"/>
      <color rgb="FF000000"/>
      <name val="Times New Roman"/>
    </font>
    <font>
      <sz val="10"/>
      <color rgb="FF000000"/>
      <name val="Times New Roman"/>
    </font>
    <font>
      <b/>
      <i/>
      <sz val="10"/>
      <color rgb="FF000000"/>
      <name val="Times New Roman"/>
    </font>
    <font>
      <sz val="8"/>
      <color theme="1"/>
      <name val="Arial"/>
    </font>
    <font>
      <b/>
      <sz val="8"/>
      <color theme="1"/>
      <name val="Arial"/>
    </font>
    <font>
      <sz val="11"/>
      <color theme="0" tint="-0.249977111117893"/>
      <name val="Calibri"/>
      <scheme val="minor"/>
    </font>
    <font>
      <sz val="8"/>
      <color theme="4" tint="-0.249977111117893"/>
      <name val="Arial"/>
    </font>
    <font>
      <sz val="9"/>
      <color theme="1"/>
      <name val="Arial"/>
    </font>
    <font>
      <sz val="10"/>
      <color theme="1"/>
      <name val="Arial"/>
    </font>
    <font>
      <b/>
      <sz val="10"/>
      <color theme="0"/>
      <name val="Arial"/>
    </font>
    <font>
      <sz val="9"/>
      <color theme="1"/>
      <name val="Calibri"/>
      <scheme val="minor"/>
    </font>
    <font>
      <b/>
      <sz val="10"/>
      <color theme="1"/>
      <name val="Arial"/>
    </font>
    <font>
      <b/>
      <sz val="9"/>
      <color theme="1"/>
      <name val="Arial"/>
    </font>
    <font>
      <sz val="11"/>
      <color rgb="FFC00000"/>
      <name val="Calibri"/>
      <scheme val="minor"/>
    </font>
    <font>
      <b/>
      <sz val="12"/>
      <color theme="0"/>
      <name val="Calibri"/>
      <scheme val="minor"/>
    </font>
    <font>
      <b/>
      <sz val="11"/>
      <color theme="1"/>
      <name val="Calibri"/>
      <scheme val="minor"/>
    </font>
    <font>
      <sz val="7"/>
      <color rgb="FF000000"/>
      <name val="Times New Roman"/>
    </font>
    <font>
      <sz val="11"/>
      <color rgb="FF000000"/>
      <name val="Calibri"/>
    </font>
    <font>
      <b/>
      <sz val="7"/>
      <color rgb="FF000000"/>
      <name val="Times New Roman"/>
    </font>
    <font>
      <b/>
      <sz val="11"/>
      <color rgb="FF000000"/>
      <name val="Calibri"/>
    </font>
    <font>
      <u/>
      <sz val="11"/>
      <color rgb="FF000000"/>
      <name val="Calibri"/>
    </font>
    <font>
      <b/>
      <sz val="8"/>
      <color rgb="FFC00000"/>
      <name val="Times New Roman"/>
    </font>
    <font>
      <b/>
      <sz val="10"/>
      <color rgb="FF7030A0"/>
      <name val="Calibri"/>
      <scheme val="minor"/>
    </font>
    <font>
      <u/>
      <sz val="10"/>
      <color rgb="FF000000"/>
      <name val="Calibri"/>
      <scheme val="minor"/>
    </font>
    <font>
      <b/>
      <sz val="10"/>
      <color rgb="FF000000"/>
      <name val="Calibri"/>
      <scheme val="minor"/>
    </font>
    <font>
      <sz val="10"/>
      <color rgb="FF22242A"/>
      <name val="Arial"/>
    </font>
    <font>
      <i/>
      <sz val="10"/>
      <color rgb="FF000000"/>
      <name val="Arial"/>
    </font>
    <font>
      <b/>
      <sz val="10"/>
      <color rgb="FFC00000"/>
      <name val="Times New Roman"/>
    </font>
    <font>
      <sz val="9"/>
      <color rgb="FF000000"/>
      <name val="Tahoma"/>
    </font>
    <font>
      <b/>
      <sz val="9"/>
      <color rgb="FF000000"/>
      <name val="Tahoma"/>
    </font>
    <font>
      <sz val="10"/>
      <color theme="1"/>
      <name val="Calibri"/>
      <family val="2"/>
      <charset val="204"/>
      <scheme val="minor"/>
    </font>
    <font>
      <sz val="11"/>
      <name val="Calibri"/>
    </font>
    <font>
      <sz val="8"/>
      <color theme="1"/>
      <name val="Calibri"/>
      <family val="2"/>
      <charset val="204"/>
      <scheme val="minor"/>
    </font>
    <font>
      <sz val="10"/>
      <color rgb="FF232431"/>
      <name val="Arial"/>
      <family val="2"/>
      <charset val="204"/>
    </font>
    <font>
      <sz val="10"/>
      <color rgb="FF000000"/>
      <name val="Arial"/>
      <family val="2"/>
      <charset val="204"/>
    </font>
    <font>
      <sz val="10"/>
      <color rgb="FF1F497D"/>
      <name val="Times New Roman"/>
      <family val="1"/>
      <charset val="204"/>
    </font>
    <font>
      <b/>
      <sz val="10"/>
      <color rgb="FF00B050"/>
      <name val="Calibri"/>
      <family val="2"/>
      <charset val="204"/>
    </font>
    <font>
      <b/>
      <sz val="10"/>
      <color rgb="FF00B050"/>
      <name val="Calibri"/>
      <family val="2"/>
      <charset val="204"/>
      <scheme val="minor"/>
    </font>
    <font>
      <sz val="10"/>
      <color rgb="FF000000"/>
      <name val="Calibri"/>
      <family val="2"/>
      <charset val="204"/>
      <scheme val="minor"/>
    </font>
    <font>
      <sz val="10"/>
      <color rgb="FF2C2D2E"/>
      <name val="Calibri"/>
      <family val="2"/>
      <charset val="204"/>
      <scheme val="minor"/>
    </font>
    <font>
      <b/>
      <sz val="10"/>
      <color rgb="FF7030A0"/>
      <name val="Calibri"/>
      <family val="2"/>
      <charset val="204"/>
      <scheme val="minor"/>
    </font>
    <font>
      <u/>
      <sz val="10"/>
      <color rgb="FF000000"/>
      <name val="Calibri"/>
      <family val="2"/>
      <charset val="204"/>
      <scheme val="minor"/>
    </font>
    <font>
      <sz val="10"/>
      <color rgb="FFFF0000"/>
      <name val="Calibri"/>
      <family val="2"/>
      <charset val="204"/>
      <scheme val="minor"/>
    </font>
    <font>
      <sz val="10"/>
      <color rgb="FF0070C0"/>
      <name val="Calibri"/>
      <family val="2"/>
      <charset val="204"/>
      <scheme val="minor"/>
    </font>
    <font>
      <b/>
      <sz val="10"/>
      <color rgb="FF000000"/>
      <name val="Calibri"/>
      <family val="2"/>
      <charset val="204"/>
      <scheme val="minor"/>
    </font>
    <font>
      <sz val="10"/>
      <color rgb="FF22242A"/>
      <name val="Arial"/>
      <family val="2"/>
      <charset val="204"/>
    </font>
    <font>
      <sz val="10"/>
      <color rgb="FF2C2D2E"/>
      <name val="Arial"/>
      <family val="2"/>
      <charset val="204"/>
    </font>
    <font>
      <i/>
      <sz val="10"/>
      <color rgb="FF000000"/>
      <name val="Arial"/>
      <family val="2"/>
      <charset val="204"/>
    </font>
    <font>
      <b/>
      <u/>
      <sz val="10"/>
      <color theme="1"/>
      <name val="Calibri"/>
      <family val="2"/>
      <charset val="204"/>
      <scheme val="minor"/>
    </font>
    <font>
      <b/>
      <u val="double"/>
      <sz val="10"/>
      <color theme="1"/>
      <name val="Calibri"/>
      <family val="2"/>
      <charset val="204"/>
      <scheme val="minor"/>
    </font>
    <font>
      <b/>
      <sz val="10"/>
      <color theme="1"/>
      <name val="Calibri"/>
      <family val="2"/>
      <charset val="204"/>
      <scheme val="minor"/>
    </font>
    <font>
      <sz val="10"/>
      <name val="Calibri"/>
      <family val="2"/>
      <charset val="204"/>
      <scheme val="minor"/>
    </font>
  </fonts>
  <fills count="20">
    <fill>
      <patternFill patternType="none"/>
    </fill>
    <fill>
      <patternFill patternType="gray125"/>
    </fill>
    <fill>
      <patternFill patternType="solid">
        <fgColor theme="0"/>
      </patternFill>
    </fill>
    <fill>
      <patternFill patternType="solid">
        <fgColor theme="5" tint="-0.499984740745262"/>
        <bgColor indexed="65"/>
      </patternFill>
    </fill>
    <fill>
      <patternFill patternType="solid">
        <fgColor theme="4" tint="-0.499984740745262"/>
        <bgColor indexed="65"/>
      </patternFill>
    </fill>
    <fill>
      <patternFill patternType="solid">
        <fgColor theme="7" tint="-0.499984740745262"/>
        <bgColor indexed="65"/>
      </patternFill>
    </fill>
    <fill>
      <patternFill patternType="solid">
        <fgColor theme="6" tint="-0.499984740745262"/>
        <bgColor indexed="65"/>
      </patternFill>
    </fill>
    <fill>
      <patternFill patternType="solid">
        <fgColor theme="9" tint="-0.249977111117893"/>
        <bgColor indexed="65"/>
      </patternFill>
    </fill>
    <fill>
      <patternFill patternType="solid">
        <fgColor theme="9" tint="0.79998168889431442"/>
        <bgColor indexed="65"/>
      </patternFill>
    </fill>
    <fill>
      <patternFill patternType="solid">
        <fgColor rgb="FFFFFF00"/>
      </patternFill>
    </fill>
    <fill>
      <patternFill patternType="solid">
        <fgColor rgb="FF99CCFF"/>
      </patternFill>
    </fill>
    <fill>
      <patternFill patternType="solid">
        <fgColor theme="5" tint="0.59999389629810485"/>
        <bgColor indexed="65"/>
      </patternFill>
    </fill>
    <fill>
      <patternFill patternType="solid">
        <fgColor rgb="FFCCCCFF"/>
      </patternFill>
    </fill>
    <fill>
      <patternFill patternType="solid">
        <fgColor theme="2"/>
      </patternFill>
    </fill>
    <fill>
      <patternFill patternType="solid">
        <fgColor theme="4" tint="0.79998168889431442"/>
        <bgColor indexed="65"/>
      </patternFill>
    </fill>
    <fill>
      <patternFill patternType="solid">
        <fgColor theme="6"/>
      </patternFill>
    </fill>
    <fill>
      <patternFill patternType="solid">
        <fgColor rgb="FF00B050"/>
      </patternFill>
    </fill>
    <fill>
      <patternFill patternType="solid">
        <fgColor rgb="FFFF0000"/>
      </patternFill>
    </fill>
    <fill>
      <patternFill patternType="solid">
        <fgColor theme="4" tint="0.79998168889431442"/>
        <bgColor indexed="65"/>
      </patternFill>
    </fill>
    <fill>
      <patternFill patternType="solid">
        <fgColor theme="6" tint="0.59999389629810485"/>
        <bgColor indexed="64"/>
      </patternFill>
    </fill>
  </fills>
  <borders count="19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2" tint="-0.749992370372631"/>
      </left>
      <right style="thin">
        <color theme="2" tint="-0.749992370372631"/>
      </right>
      <top style="thin">
        <color theme="2" tint="-0.74999237037263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theme="0" tint="-0.499984740745262"/>
      </left>
      <right/>
      <top style="thin">
        <color theme="0" tint="-0.499984740745262"/>
      </top>
      <bottom/>
      <diagonal/>
    </border>
    <border>
      <left style="thin">
        <color rgb="FF000000"/>
      </left>
      <right style="thin">
        <color rgb="FF000000"/>
      </right>
      <top/>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right style="medium">
        <color rgb="FF000000"/>
      </right>
      <top/>
      <bottom style="medium">
        <color rgb="FF000000"/>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style="medium">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style="medium">
        <color rgb="FF000000"/>
      </left>
      <right style="thin">
        <color rgb="FF000000"/>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applyFont="0" applyFill="0" applyBorder="0"/>
    <xf numFmtId="43" fontId="55" fillId="0" borderId="0" applyFont="0" applyFill="0" applyBorder="0" applyAlignment="0" applyProtection="0"/>
  </cellStyleXfs>
  <cellXfs count="379">
    <xf numFmtId="0" fontId="1" fillId="0" borderId="0" xfId="0" applyNumberFormat="1" applyFont="1"/>
    <xf numFmtId="0" fontId="1" fillId="0" borderId="0" xfId="0" applyNumberFormat="1" applyFont="1" applyAlignment="1">
      <alignment horizontal="left" indent="1"/>
    </xf>
    <xf numFmtId="0" fontId="1" fillId="0" borderId="0" xfId="0" applyNumberFormat="1" applyFont="1" applyAlignment="1">
      <alignment horizontal="left" indent="3"/>
    </xf>
    <xf numFmtId="165" fontId="1" fillId="0" borderId="0" xfId="0" applyNumberFormat="1" applyFont="1"/>
    <xf numFmtId="0" fontId="1" fillId="0" borderId="0" xfId="0" applyNumberFormat="1" applyFont="1" applyAlignment="1">
      <alignment horizontal="left" indent="4"/>
    </xf>
    <xf numFmtId="0" fontId="1" fillId="0" borderId="0" xfId="0" applyNumberFormat="1" applyFont="1" applyAlignment="1">
      <alignment horizontal="left" indent="2"/>
    </xf>
    <xf numFmtId="0" fontId="1" fillId="0" borderId="0" xfId="0" applyNumberFormat="1" applyFont="1" applyAlignment="1">
      <alignment horizontal="left"/>
    </xf>
    <xf numFmtId="0" fontId="1" fillId="0" borderId="0" xfId="0" applyNumberFormat="1" applyFont="1" applyAlignment="1">
      <alignment wrapText="1"/>
    </xf>
    <xf numFmtId="0" fontId="2" fillId="0" borderId="0" xfId="0" applyNumberFormat="1" applyFont="1" applyAlignment="1">
      <alignment vertical="center" wrapText="1"/>
    </xf>
    <xf numFmtId="0" fontId="3" fillId="0" borderId="0" xfId="0" applyNumberFormat="1" applyFont="1" applyAlignment="1">
      <alignment horizontal="left" vertical="center" wrapText="1"/>
    </xf>
    <xf numFmtId="0" fontId="4" fillId="0" borderId="0" xfId="0" applyNumberFormat="1" applyFont="1" applyAlignment="1">
      <alignment horizontal="left" vertical="center" wrapText="1"/>
    </xf>
    <xf numFmtId="0" fontId="5" fillId="0" borderId="0" xfId="0" applyNumberFormat="1" applyFont="1"/>
    <xf numFmtId="0" fontId="5" fillId="0" borderId="0" xfId="0" applyNumberFormat="1" applyFont="1" applyAlignment="1">
      <alignment vertical="top"/>
    </xf>
    <xf numFmtId="0" fontId="5" fillId="0" borderId="0" xfId="0" applyNumberFormat="1" applyFont="1" applyAlignment="1">
      <alignment horizontal="center"/>
    </xf>
    <xf numFmtId="0" fontId="5" fillId="0" borderId="0" xfId="0" applyNumberFormat="1" applyFont="1" applyAlignment="1">
      <alignment wrapText="1"/>
    </xf>
    <xf numFmtId="0" fontId="6" fillId="0" borderId="0" xfId="0" applyNumberFormat="1" applyFont="1"/>
    <xf numFmtId="0" fontId="7" fillId="0" borderId="0" xfId="0" applyNumberFormat="1" applyFont="1"/>
    <xf numFmtId="0" fontId="5" fillId="2" borderId="0" xfId="0" applyNumberFormat="1" applyFont="1" applyFill="1" applyAlignment="1" applyProtection="1">
      <alignment horizontal="center" vertical="center"/>
      <protection locked="0"/>
    </xf>
    <xf numFmtId="0" fontId="7" fillId="0" borderId="1" xfId="0" applyNumberFormat="1" applyFont="1" applyBorder="1"/>
    <xf numFmtId="0" fontId="7" fillId="0" borderId="3" xfId="0" applyNumberFormat="1" applyFont="1" applyBorder="1" applyAlignment="1">
      <alignment wrapText="1"/>
    </xf>
    <xf numFmtId="0" fontId="5" fillId="0" borderId="0" xfId="0" applyNumberFormat="1" applyFont="1" applyAlignment="1">
      <alignment horizontal="center" wrapText="1"/>
    </xf>
    <xf numFmtId="0" fontId="8" fillId="0" borderId="0" xfId="0" applyNumberFormat="1" applyFont="1" applyAlignment="1">
      <alignment vertical="center" wrapText="1"/>
    </xf>
    <xf numFmtId="0" fontId="8" fillId="0" borderId="0" xfId="0" applyNumberFormat="1" applyFont="1" applyAlignment="1">
      <alignment horizontal="center" vertical="center" wrapText="1"/>
    </xf>
    <xf numFmtId="0" fontId="8" fillId="0" borderId="0" xfId="0" applyNumberFormat="1" applyFont="1" applyAlignment="1">
      <alignment horizontal="center" vertical="top" wrapText="1"/>
    </xf>
    <xf numFmtId="0" fontId="8" fillId="0" borderId="0" xfId="0" applyNumberFormat="1" applyFont="1" applyAlignment="1">
      <alignment vertical="top" wrapText="1"/>
    </xf>
    <xf numFmtId="0" fontId="10" fillId="7" borderId="0" xfId="0" applyNumberFormat="1" applyFont="1" applyFill="1" applyAlignment="1">
      <alignment horizontal="center" vertical="center"/>
    </xf>
    <xf numFmtId="0" fontId="8" fillId="8" borderId="0" xfId="0" applyNumberFormat="1" applyFont="1" applyFill="1" applyAlignment="1">
      <alignment horizontal="center" vertical="center" wrapText="1"/>
    </xf>
    <xf numFmtId="0" fontId="11" fillId="8" borderId="0" xfId="0" applyNumberFormat="1" applyFont="1" applyFill="1" applyAlignment="1">
      <alignment horizontal="center" vertical="center" wrapText="1"/>
    </xf>
    <xf numFmtId="0" fontId="8" fillId="8" borderId="0" xfId="0" applyNumberFormat="1" applyFont="1" applyFill="1" applyAlignment="1">
      <alignment horizontal="center" vertical="top" wrapText="1"/>
    </xf>
    <xf numFmtId="0" fontId="8" fillId="8" borderId="0" xfId="0" applyNumberFormat="1" applyFont="1" applyFill="1" applyAlignment="1">
      <alignment vertical="center" wrapText="1"/>
    </xf>
    <xf numFmtId="0" fontId="8" fillId="10" borderId="1" xfId="0" applyNumberFormat="1" applyFont="1" applyFill="1" applyBorder="1" applyAlignment="1">
      <alignment horizontal="center" vertical="center" wrapText="1"/>
    </xf>
    <xf numFmtId="0" fontId="13" fillId="10" borderId="1" xfId="0" applyNumberFormat="1" applyFont="1" applyFill="1" applyBorder="1" applyAlignment="1">
      <alignment vertical="center" wrapText="1"/>
    </xf>
    <xf numFmtId="0" fontId="13" fillId="11" borderId="1" xfId="0" applyNumberFormat="1" applyFont="1" applyFill="1" applyBorder="1" applyAlignment="1">
      <alignment horizontal="center" vertical="center" wrapText="1"/>
    </xf>
    <xf numFmtId="0" fontId="13" fillId="11" borderId="1" xfId="0" applyNumberFormat="1" applyFont="1" applyFill="1" applyBorder="1" applyAlignment="1">
      <alignment horizontal="center" vertical="top" wrapText="1"/>
    </xf>
    <xf numFmtId="0" fontId="13" fillId="0" borderId="1" xfId="0" applyNumberFormat="1" applyFont="1" applyBorder="1" applyAlignment="1">
      <alignment horizontal="center" vertical="center" wrapText="1"/>
    </xf>
    <xf numFmtId="0" fontId="8" fillId="10" borderId="32" xfId="0" applyNumberFormat="1" applyFont="1" applyFill="1" applyBorder="1" applyAlignment="1">
      <alignment horizontal="center" vertical="center" wrapText="1"/>
    </xf>
    <xf numFmtId="0" fontId="13" fillId="9" borderId="33" xfId="0" applyNumberFormat="1" applyFont="1" applyFill="1" applyBorder="1" applyAlignment="1">
      <alignment vertical="center" wrapText="1"/>
    </xf>
    <xf numFmtId="0" fontId="13" fillId="9" borderId="4" xfId="0" applyNumberFormat="1" applyFont="1" applyFill="1" applyBorder="1" applyAlignment="1">
      <alignment horizontal="center" vertical="center" wrapText="1"/>
    </xf>
    <xf numFmtId="0" fontId="13" fillId="12" borderId="33" xfId="0" applyNumberFormat="1" applyFont="1" applyFill="1" applyBorder="1" applyAlignment="1">
      <alignment vertical="center" wrapText="1"/>
    </xf>
    <xf numFmtId="0" fontId="13" fillId="12" borderId="1" xfId="0" applyNumberFormat="1" applyFont="1" applyFill="1" applyBorder="1" applyAlignment="1">
      <alignment vertical="center" wrapText="1"/>
    </xf>
    <xf numFmtId="0" fontId="5" fillId="0" borderId="1" xfId="0" applyNumberFormat="1" applyFont="1" applyBorder="1"/>
    <xf numFmtId="0" fontId="7" fillId="0" borderId="1" xfId="0" applyNumberFormat="1" applyFont="1" applyBorder="1" applyAlignment="1">
      <alignment horizontal="left" vertical="top" wrapText="1"/>
    </xf>
    <xf numFmtId="0" fontId="7" fillId="0" borderId="1" xfId="0" applyNumberFormat="1" applyFont="1" applyBorder="1" applyAlignment="1" applyProtection="1">
      <alignment horizontal="left" vertical="top" wrapText="1"/>
      <protection locked="0"/>
    </xf>
    <xf numFmtId="0" fontId="7" fillId="0" borderId="1" xfId="0" quotePrefix="1" applyNumberFormat="1" applyFont="1" applyBorder="1" applyAlignment="1">
      <alignment horizontal="left" vertical="top" wrapText="1"/>
    </xf>
    <xf numFmtId="0" fontId="7" fillId="0" borderId="4" xfId="0" applyNumberFormat="1" applyFont="1" applyBorder="1"/>
    <xf numFmtId="0" fontId="5" fillId="14" borderId="4" xfId="0" applyNumberFormat="1" applyFont="1" applyFill="1" applyBorder="1" applyAlignment="1">
      <alignment wrapText="1"/>
    </xf>
    <xf numFmtId="0" fontId="5" fillId="14" borderId="1" xfId="0" applyNumberFormat="1" applyFont="1" applyFill="1" applyBorder="1" applyAlignment="1">
      <alignment wrapText="1"/>
    </xf>
    <xf numFmtId="0" fontId="5" fillId="0" borderId="34" xfId="0" applyNumberFormat="1" applyFont="1" applyBorder="1"/>
    <xf numFmtId="0" fontId="5" fillId="0" borderId="35" xfId="0" applyNumberFormat="1" applyFont="1" applyBorder="1" applyAlignment="1">
      <alignment wrapText="1"/>
    </xf>
    <xf numFmtId="0" fontId="14" fillId="0" borderId="1" xfId="0" applyNumberFormat="1" applyFont="1" applyBorder="1" applyAlignment="1">
      <alignment horizontal="left" vertical="top" wrapText="1"/>
    </xf>
    <xf numFmtId="0" fontId="14" fillId="0" borderId="4" xfId="0" applyNumberFormat="1" applyFont="1" applyBorder="1"/>
    <xf numFmtId="0" fontId="14" fillId="0" borderId="1" xfId="0" applyNumberFormat="1" applyFont="1" applyBorder="1"/>
    <xf numFmtId="0" fontId="7" fillId="0" borderId="1" xfId="0" applyNumberFormat="1" applyFont="1" applyBorder="1" applyAlignment="1">
      <alignment horizontal="left" vertical="top"/>
    </xf>
    <xf numFmtId="0" fontId="7" fillId="14" borderId="1" xfId="0" applyNumberFormat="1" applyFont="1" applyFill="1" applyBorder="1" applyAlignment="1">
      <alignment horizontal="left" vertical="top" wrapText="1"/>
    </xf>
    <xf numFmtId="0" fontId="15" fillId="0" borderId="39" xfId="0" applyNumberFormat="1" applyFont="1" applyBorder="1" applyAlignment="1" applyProtection="1">
      <alignment horizontal="left" vertical="top" wrapText="1"/>
      <protection locked="0"/>
    </xf>
    <xf numFmtId="0" fontId="15" fillId="0" borderId="1" xfId="0" applyNumberFormat="1" applyFont="1" applyBorder="1" applyAlignment="1" applyProtection="1">
      <alignment horizontal="left" vertical="top"/>
      <protection locked="0"/>
    </xf>
    <xf numFmtId="0" fontId="15" fillId="0" borderId="39" xfId="0" applyNumberFormat="1" applyFont="1" applyBorder="1" applyAlignment="1">
      <alignment horizontal="left" vertical="top" wrapText="1"/>
    </xf>
    <xf numFmtId="0" fontId="17" fillId="0" borderId="39" xfId="0" applyNumberFormat="1" applyFont="1" applyBorder="1" applyAlignment="1" applyProtection="1">
      <alignment horizontal="left" vertical="top" wrapText="1"/>
      <protection locked="0"/>
    </xf>
    <xf numFmtId="0" fontId="18" fillId="0" borderId="1" xfId="0" applyNumberFormat="1" applyFont="1" applyBorder="1" applyAlignment="1">
      <alignment horizontal="left" vertical="top" wrapText="1"/>
    </xf>
    <xf numFmtId="0" fontId="7" fillId="0" borderId="0" xfId="0" applyNumberFormat="1" applyFont="1" applyAlignment="1">
      <alignment horizontal="left" vertical="top" wrapText="1"/>
    </xf>
    <xf numFmtId="0" fontId="7" fillId="0" borderId="51" xfId="0" applyNumberFormat="1" applyFont="1" applyBorder="1" applyAlignment="1">
      <alignment horizontal="left" vertical="top" wrapText="1"/>
    </xf>
    <xf numFmtId="0" fontId="20" fillId="0" borderId="52" xfId="0" applyNumberFormat="1" applyFont="1" applyBorder="1" applyAlignment="1">
      <alignment horizontal="left" vertical="top" wrapText="1"/>
    </xf>
    <xf numFmtId="0" fontId="7" fillId="14" borderId="1" xfId="0" applyNumberFormat="1" applyFont="1" applyFill="1" applyBorder="1" applyAlignment="1">
      <alignment wrapText="1"/>
    </xf>
    <xf numFmtId="0" fontId="7" fillId="0" borderId="54" xfId="0" applyNumberFormat="1" applyFont="1" applyBorder="1" applyAlignment="1">
      <alignment horizontal="left" vertical="top" wrapText="1"/>
    </xf>
    <xf numFmtId="0" fontId="7" fillId="0" borderId="56" xfId="0" applyNumberFormat="1" applyFont="1" applyBorder="1" applyAlignment="1">
      <alignment horizontal="left" vertical="top" wrapText="1"/>
    </xf>
    <xf numFmtId="0" fontId="7" fillId="0" borderId="27" xfId="0" applyNumberFormat="1" applyFont="1" applyBorder="1"/>
    <xf numFmtId="0" fontId="23" fillId="0" borderId="1" xfId="0" applyNumberFormat="1" applyFont="1" applyBorder="1" applyAlignment="1">
      <alignment horizontal="left" vertical="top" wrapText="1"/>
    </xf>
    <xf numFmtId="0" fontId="7" fillId="0" borderId="59" xfId="0" applyNumberFormat="1" applyFont="1" applyBorder="1" applyAlignment="1">
      <alignment horizontal="left" vertical="top" wrapText="1"/>
    </xf>
    <xf numFmtId="0" fontId="7" fillId="0" borderId="60" xfId="0" applyNumberFormat="1" applyFont="1" applyBorder="1" applyAlignment="1">
      <alignment horizontal="left" vertical="top" wrapText="1"/>
    </xf>
    <xf numFmtId="0" fontId="7" fillId="0" borderId="64" xfId="0" applyNumberFormat="1" applyFont="1" applyBorder="1" applyAlignment="1">
      <alignment horizontal="left" vertical="top" wrapText="1"/>
    </xf>
    <xf numFmtId="0" fontId="7" fillId="0" borderId="66" xfId="0" applyNumberFormat="1" applyFont="1" applyBorder="1" applyAlignment="1">
      <alignment horizontal="left" vertical="top" wrapText="1"/>
    </xf>
    <xf numFmtId="0" fontId="24" fillId="0" borderId="1" xfId="0" applyNumberFormat="1" applyFont="1" applyBorder="1" applyAlignment="1">
      <alignment horizontal="center" vertical="center" wrapText="1"/>
    </xf>
    <xf numFmtId="0" fontId="7" fillId="0" borderId="0" xfId="0" applyNumberFormat="1" applyFont="1" applyAlignment="1">
      <alignment horizontal="center"/>
    </xf>
    <xf numFmtId="0" fontId="25" fillId="0" borderId="0" xfId="0" applyNumberFormat="1" applyFont="1" applyAlignment="1">
      <alignment horizontal="center" vertical="center" wrapText="1"/>
    </xf>
    <xf numFmtId="0" fontId="26" fillId="0" borderId="1" xfId="0" applyNumberFormat="1" applyFont="1" applyBorder="1" applyAlignment="1">
      <alignment horizontal="center" vertical="center" wrapText="1"/>
    </xf>
    <xf numFmtId="17" fontId="25" fillId="0" borderId="0" xfId="0" applyNumberFormat="1" applyFont="1" applyAlignment="1">
      <alignment horizontal="center" vertical="center"/>
    </xf>
    <xf numFmtId="0" fontId="24" fillId="0" borderId="1" xfId="0" applyNumberFormat="1" applyFont="1" applyBorder="1" applyAlignment="1">
      <alignment vertical="center" wrapText="1"/>
    </xf>
    <xf numFmtId="0" fontId="25" fillId="0" borderId="0" xfId="0" applyNumberFormat="1" applyFont="1" applyAlignment="1">
      <alignment vertical="center" wrapText="1"/>
    </xf>
    <xf numFmtId="0" fontId="27" fillId="0" borderId="0" xfId="0" applyNumberFormat="1" applyFont="1"/>
    <xf numFmtId="0" fontId="28" fillId="14" borderId="1" xfId="0" applyNumberFormat="1" applyFont="1" applyFill="1" applyBorder="1" applyAlignment="1">
      <alignment vertical="top"/>
    </xf>
    <xf numFmtId="0" fontId="27" fillId="0" borderId="1" xfId="0" applyNumberFormat="1" applyFont="1" applyBorder="1" applyAlignment="1">
      <alignment vertical="top" wrapText="1"/>
    </xf>
    <xf numFmtId="0" fontId="29" fillId="0" borderId="0" xfId="0" applyNumberFormat="1" applyFont="1"/>
    <xf numFmtId="0" fontId="30" fillId="13" borderId="0" xfId="0" applyNumberFormat="1" applyFont="1" applyFill="1"/>
    <xf numFmtId="0" fontId="27" fillId="13" borderId="0" xfId="0" applyNumberFormat="1" applyFont="1" applyFill="1"/>
    <xf numFmtId="0" fontId="28" fillId="0" borderId="0" xfId="0" applyNumberFormat="1" applyFont="1" applyAlignment="1">
      <alignment vertical="top" wrapText="1"/>
    </xf>
    <xf numFmtId="0" fontId="27" fillId="0" borderId="0" xfId="0" applyNumberFormat="1" applyFont="1" applyAlignment="1">
      <alignment vertical="top" wrapText="1"/>
    </xf>
    <xf numFmtId="0" fontId="27" fillId="13" borderId="0" xfId="0" applyNumberFormat="1" applyFont="1" applyFill="1" applyAlignment="1">
      <alignment vertical="top" wrapText="1"/>
    </xf>
    <xf numFmtId="0" fontId="31" fillId="0" borderId="0" xfId="0" applyNumberFormat="1" applyFont="1" applyAlignment="1">
      <alignment horizontal="left"/>
    </xf>
    <xf numFmtId="0" fontId="31" fillId="0" borderId="0" xfId="0" applyNumberFormat="1" applyFont="1"/>
    <xf numFmtId="0" fontId="32" fillId="0" borderId="0" xfId="0" applyNumberFormat="1" applyFont="1"/>
    <xf numFmtId="0" fontId="33" fillId="15" borderId="115" xfId="0" applyNumberFormat="1" applyFont="1" applyFill="1" applyBorder="1" applyAlignment="1">
      <alignment horizontal="left"/>
    </xf>
    <xf numFmtId="0" fontId="33" fillId="15" borderId="116" xfId="0" applyNumberFormat="1" applyFont="1" applyFill="1" applyBorder="1"/>
    <xf numFmtId="0" fontId="34" fillId="0" borderId="117" xfId="0" applyNumberFormat="1" applyFont="1" applyBorder="1"/>
    <xf numFmtId="0" fontId="34" fillId="0" borderId="123" xfId="0" applyNumberFormat="1" applyFont="1" applyBorder="1"/>
    <xf numFmtId="0" fontId="34" fillId="0" borderId="144" xfId="0" applyNumberFormat="1" applyFont="1" applyBorder="1"/>
    <xf numFmtId="0" fontId="31" fillId="0" borderId="0" xfId="0" applyNumberFormat="1" applyFont="1" applyAlignment="1">
      <alignment horizontal="left" vertical="center" wrapText="1"/>
    </xf>
    <xf numFmtId="164" fontId="36" fillId="0" borderId="0" xfId="0" applyNumberFormat="1" applyFont="1" applyAlignment="1">
      <alignment horizontal="center"/>
    </xf>
    <xf numFmtId="0" fontId="34" fillId="0" borderId="165" xfId="0" applyNumberFormat="1" applyFont="1" applyBorder="1"/>
    <xf numFmtId="0" fontId="37" fillId="0" borderId="0" xfId="0" applyNumberFormat="1" applyFont="1"/>
    <xf numFmtId="0" fontId="38" fillId="7" borderId="1" xfId="0" applyNumberFormat="1" applyFont="1" applyFill="1" applyBorder="1" applyAlignment="1">
      <alignment horizontal="center" vertical="center"/>
    </xf>
    <xf numFmtId="0" fontId="1" fillId="0" borderId="1" xfId="0" applyNumberFormat="1" applyFont="1" applyBorder="1"/>
    <xf numFmtId="0" fontId="25" fillId="0" borderId="0" xfId="0" applyNumberFormat="1" applyFont="1" applyAlignment="1">
      <alignment vertical="center"/>
    </xf>
    <xf numFmtId="0" fontId="1" fillId="0" borderId="1" xfId="0" applyNumberFormat="1" applyFont="1" applyBorder="1" applyAlignment="1">
      <alignment horizontal="center" vertical="center"/>
    </xf>
    <xf numFmtId="0" fontId="1" fillId="2" borderId="0" xfId="0" applyNumberFormat="1" applyFont="1" applyFill="1" applyAlignment="1">
      <alignment vertical="center"/>
    </xf>
    <xf numFmtId="0" fontId="1" fillId="16" borderId="1" xfId="0" applyNumberFormat="1" applyFont="1" applyFill="1" applyBorder="1"/>
    <xf numFmtId="0" fontId="1" fillId="17" borderId="1" xfId="0" applyNumberFormat="1" applyFont="1" applyFill="1" applyBorder="1"/>
    <xf numFmtId="0" fontId="1" fillId="2" borderId="0" xfId="0" applyNumberFormat="1" applyFont="1" applyFill="1"/>
    <xf numFmtId="0" fontId="39" fillId="0" borderId="0" xfId="0" applyNumberFormat="1" applyFont="1"/>
    <xf numFmtId="0" fontId="39" fillId="0" borderId="1" xfId="0" applyNumberFormat="1" applyFont="1" applyBorder="1"/>
    <xf numFmtId="0" fontId="39" fillId="18" borderId="191" xfId="0" applyNumberFormat="1" applyFont="1" applyFill="1" applyBorder="1"/>
    <xf numFmtId="0" fontId="39" fillId="18" borderId="0" xfId="0" applyNumberFormat="1" applyFont="1" applyFill="1"/>
    <xf numFmtId="9" fontId="1" fillId="0" borderId="0" xfId="0" applyNumberFormat="1" applyFont="1"/>
    <xf numFmtId="0" fontId="39" fillId="18" borderId="192" xfId="0" applyNumberFormat="1" applyFont="1" applyFill="1" applyBorder="1" applyAlignment="1">
      <alignment horizontal="left"/>
    </xf>
    <xf numFmtId="0" fontId="39" fillId="18" borderId="192" xfId="0" applyNumberFormat="1" applyFont="1" applyFill="1" applyBorder="1"/>
    <xf numFmtId="0" fontId="7" fillId="0" borderId="55" xfId="0" applyNumberFormat="1" applyFont="1" applyBorder="1"/>
    <xf numFmtId="0" fontId="54" fillId="0" borderId="1" xfId="0" applyNumberFormat="1" applyFont="1" applyBorder="1" applyAlignment="1">
      <alignment horizontal="left" vertical="top" wrapText="1"/>
    </xf>
    <xf numFmtId="0" fontId="1" fillId="0" borderId="0" xfId="0" pivotButton="1" applyNumberFormat="1" applyFont="1"/>
    <xf numFmtId="0" fontId="21" fillId="0" borderId="53" xfId="0" applyNumberFormat="1" applyFont="1" applyBorder="1" applyAlignment="1">
      <alignment horizontal="left" vertical="top" wrapText="1"/>
    </xf>
    <xf numFmtId="0" fontId="22" fillId="0" borderId="55" xfId="0" applyNumberFormat="1" applyFont="1" applyBorder="1" applyAlignment="1">
      <alignment horizontal="left" vertical="top" wrapText="1"/>
    </xf>
    <xf numFmtId="0" fontId="20" fillId="0" borderId="52" xfId="0" applyNumberFormat="1" applyFont="1" applyBorder="1" applyAlignment="1">
      <alignment horizontal="left" vertical="top" wrapText="1"/>
    </xf>
    <xf numFmtId="0" fontId="7" fillId="0" borderId="1" xfId="0" applyNumberFormat="1" applyFont="1" applyBorder="1" applyAlignment="1">
      <alignment horizontal="left" vertical="top" wrapText="1"/>
    </xf>
    <xf numFmtId="0" fontId="7" fillId="0" borderId="1" xfId="0" applyNumberFormat="1" applyFont="1" applyBorder="1" applyAlignment="1">
      <alignment horizontal="left" vertical="top" wrapText="1"/>
    </xf>
    <xf numFmtId="0" fontId="13" fillId="19" borderId="55" xfId="0" applyNumberFormat="1" applyFont="1" applyFill="1" applyBorder="1" applyAlignment="1">
      <alignment horizontal="center" vertical="center" wrapText="1"/>
    </xf>
    <xf numFmtId="0" fontId="7" fillId="19" borderId="1" xfId="0" applyNumberFormat="1" applyFont="1" applyFill="1" applyBorder="1" applyAlignment="1">
      <alignment horizontal="left" vertical="top" wrapText="1"/>
    </xf>
    <xf numFmtId="0" fontId="13" fillId="19" borderId="1" xfId="0" applyNumberFormat="1" applyFont="1" applyFill="1" applyBorder="1" applyAlignment="1">
      <alignment horizontal="center" vertical="center" wrapText="1"/>
    </xf>
    <xf numFmtId="0" fontId="5" fillId="19" borderId="1" xfId="0" applyNumberFormat="1" applyFont="1" applyFill="1" applyBorder="1"/>
    <xf numFmtId="0" fontId="7" fillId="19" borderId="1" xfId="0" applyNumberFormat="1" applyFont="1" applyFill="1" applyBorder="1"/>
    <xf numFmtId="0" fontId="54" fillId="19" borderId="1" xfId="0" applyNumberFormat="1" applyFont="1" applyFill="1" applyBorder="1" applyAlignment="1">
      <alignment horizontal="left" vertical="top" wrapText="1"/>
    </xf>
    <xf numFmtId="0" fontId="7" fillId="0" borderId="1" xfId="0" applyNumberFormat="1" applyFont="1" applyBorder="1" applyAlignment="1" applyProtection="1">
      <alignment horizontal="left" vertical="top"/>
      <protection locked="0"/>
    </xf>
    <xf numFmtId="0" fontId="15" fillId="0" borderId="1" xfId="0" applyNumberFormat="1" applyFont="1" applyBorder="1" applyAlignment="1">
      <alignment horizontal="left" vertical="top" wrapText="1"/>
    </xf>
    <xf numFmtId="0" fontId="17" fillId="0" borderId="1" xfId="0" applyNumberFormat="1" applyFont="1" applyBorder="1" applyAlignment="1" applyProtection="1">
      <alignment horizontal="left" vertical="top"/>
      <protection locked="0"/>
    </xf>
    <xf numFmtId="0" fontId="17" fillId="0" borderId="1" xfId="0" applyNumberFormat="1" applyFont="1" applyBorder="1" applyAlignment="1">
      <alignment horizontal="left" vertical="top" wrapText="1"/>
    </xf>
    <xf numFmtId="0" fontId="16" fillId="0" borderId="1" xfId="0" applyNumberFormat="1" applyFont="1" applyBorder="1" applyAlignment="1" applyProtection="1">
      <alignment horizontal="left" vertical="top"/>
      <protection locked="0"/>
    </xf>
    <xf numFmtId="0" fontId="19" fillId="0" borderId="1" xfId="0" applyNumberFormat="1" applyFont="1" applyBorder="1" applyAlignment="1" applyProtection="1">
      <alignment horizontal="left" vertical="top"/>
      <protection locked="0"/>
    </xf>
    <xf numFmtId="0" fontId="7" fillId="0" borderId="1" xfId="0" quotePrefix="1" applyNumberFormat="1" applyFont="1" applyBorder="1" applyAlignment="1">
      <alignment horizontal="left" vertical="top"/>
    </xf>
    <xf numFmtId="0" fontId="7" fillId="0" borderId="2" xfId="0" applyNumberFormat="1" applyFont="1" applyBorder="1" applyAlignment="1">
      <alignment horizontal="left" vertical="top"/>
    </xf>
    <xf numFmtId="0" fontId="5" fillId="0" borderId="55" xfId="0" applyNumberFormat="1" applyFont="1" applyBorder="1"/>
    <xf numFmtId="0" fontId="7" fillId="19" borderId="55" xfId="0" applyNumberFormat="1" applyFont="1" applyFill="1" applyBorder="1" applyAlignment="1">
      <alignment horizontal="left" vertical="top" wrapText="1"/>
    </xf>
    <xf numFmtId="0" fontId="7" fillId="0" borderId="55" xfId="0" applyNumberFormat="1" applyFont="1" applyBorder="1" applyAlignment="1">
      <alignment horizontal="left" vertical="top" wrapText="1"/>
    </xf>
    <xf numFmtId="0" fontId="7" fillId="0" borderId="55" xfId="0" applyNumberFormat="1" applyFont="1" applyBorder="1" applyAlignment="1">
      <alignment horizontal="left" vertical="top"/>
    </xf>
    <xf numFmtId="0" fontId="17" fillId="0" borderId="55" xfId="0" applyNumberFormat="1" applyFont="1" applyBorder="1" applyAlignment="1" applyProtection="1">
      <alignment horizontal="left" vertical="top"/>
      <protection locked="0"/>
    </xf>
    <xf numFmtId="0" fontId="17" fillId="0" borderId="55" xfId="0" applyNumberFormat="1" applyFont="1" applyBorder="1" applyAlignment="1" applyProtection="1">
      <alignment horizontal="left" vertical="top" wrapText="1"/>
      <protection locked="0"/>
    </xf>
    <xf numFmtId="0" fontId="7" fillId="0" borderId="55" xfId="0" quotePrefix="1" applyNumberFormat="1" applyFont="1" applyBorder="1" applyAlignment="1">
      <alignment horizontal="left" vertical="top" wrapText="1"/>
    </xf>
    <xf numFmtId="0" fontId="7" fillId="0" borderId="26" xfId="0" applyNumberFormat="1" applyFont="1" applyBorder="1"/>
    <xf numFmtId="0" fontId="5" fillId="14" borderId="26" xfId="0" applyNumberFormat="1" applyFont="1" applyFill="1" applyBorder="1" applyAlignment="1">
      <alignment wrapText="1"/>
    </xf>
    <xf numFmtId="0" fontId="5" fillId="14" borderId="55" xfId="0" applyNumberFormat="1" applyFont="1" applyFill="1" applyBorder="1" applyAlignment="1">
      <alignment wrapText="1"/>
    </xf>
    <xf numFmtId="43" fontId="7" fillId="0" borderId="55" xfId="1" applyFont="1" applyBorder="1" applyAlignment="1">
      <alignment horizontal="left" vertical="top" wrapText="1"/>
    </xf>
    <xf numFmtId="0" fontId="7" fillId="0" borderId="26" xfId="0" applyNumberFormat="1" applyFont="1" applyBorder="1" applyAlignment="1">
      <alignment wrapText="1"/>
    </xf>
    <xf numFmtId="0" fontId="56" fillId="19" borderId="55" xfId="0" applyNumberFormat="1" applyFont="1" applyFill="1" applyBorder="1"/>
    <xf numFmtId="0" fontId="54" fillId="19" borderId="55" xfId="0" applyNumberFormat="1" applyFont="1" applyFill="1" applyBorder="1" applyAlignment="1">
      <alignment horizontal="left" vertical="top" wrapText="1"/>
    </xf>
    <xf numFmtId="0" fontId="54" fillId="0" borderId="55" xfId="0" applyNumberFormat="1" applyFont="1" applyBorder="1" applyAlignment="1">
      <alignment horizontal="left" vertical="top" wrapText="1"/>
    </xf>
    <xf numFmtId="0" fontId="54" fillId="0" borderId="55" xfId="0" applyNumberFormat="1" applyFont="1" applyBorder="1" applyAlignment="1">
      <alignment horizontal="left" vertical="top"/>
    </xf>
    <xf numFmtId="0" fontId="54" fillId="0" borderId="55" xfId="0" applyNumberFormat="1" applyFont="1" applyBorder="1" applyAlignment="1" applyProtection="1">
      <alignment horizontal="left" vertical="top"/>
      <protection locked="0"/>
    </xf>
    <xf numFmtId="0" fontId="54" fillId="0" borderId="55" xfId="0" applyNumberFormat="1" applyFont="1" applyBorder="1" applyAlignment="1" applyProtection="1">
      <alignment horizontal="left" vertical="top" wrapText="1"/>
      <protection locked="0"/>
    </xf>
    <xf numFmtId="0" fontId="54" fillId="0" borderId="55" xfId="0" quotePrefix="1" applyNumberFormat="1" applyFont="1" applyBorder="1" applyAlignment="1">
      <alignment horizontal="left" vertical="top" wrapText="1"/>
    </xf>
    <xf numFmtId="0" fontId="54" fillId="0" borderId="26" xfId="0" applyNumberFormat="1" applyFont="1" applyBorder="1"/>
    <xf numFmtId="0" fontId="54" fillId="0" borderId="55" xfId="0" applyNumberFormat="1" applyFont="1" applyBorder="1"/>
    <xf numFmtId="0" fontId="59" fillId="0" borderId="55" xfId="0" applyNumberFormat="1" applyFont="1" applyBorder="1" applyAlignment="1">
      <alignment horizontal="left" vertical="top" wrapText="1"/>
    </xf>
    <xf numFmtId="0" fontId="59" fillId="0" borderId="26" xfId="0" applyNumberFormat="1" applyFont="1" applyBorder="1"/>
    <xf numFmtId="0" fontId="59" fillId="0" borderId="55" xfId="0" applyNumberFormat="1" applyFont="1" applyBorder="1"/>
    <xf numFmtId="0" fontId="60" fillId="0" borderId="55" xfId="0" applyNumberFormat="1" applyFont="1" applyBorder="1" applyAlignment="1" applyProtection="1">
      <alignment horizontal="left" vertical="top"/>
      <protection locked="0"/>
    </xf>
    <xf numFmtId="0" fontId="60" fillId="0" borderId="55" xfId="0" applyNumberFormat="1" applyFont="1" applyBorder="1" applyAlignment="1" applyProtection="1">
      <alignment horizontal="left" vertical="top" wrapText="1"/>
      <protection locked="0"/>
    </xf>
    <xf numFmtId="0" fontId="60" fillId="0" borderId="55" xfId="0" applyNumberFormat="1" applyFont="1" applyBorder="1" applyAlignment="1">
      <alignment horizontal="left" vertical="top" wrapText="1"/>
    </xf>
    <xf numFmtId="0" fontId="61" fillId="0" borderId="55" xfId="0" applyNumberFormat="1" applyFont="1" applyBorder="1" applyAlignment="1" applyProtection="1">
      <alignment horizontal="left" vertical="top"/>
      <protection locked="0"/>
    </xf>
    <xf numFmtId="0" fontId="61" fillId="0" borderId="55" xfId="0" applyNumberFormat="1" applyFont="1" applyBorder="1" applyAlignment="1" applyProtection="1">
      <alignment horizontal="left" vertical="top" wrapText="1"/>
      <protection locked="0"/>
    </xf>
    <xf numFmtId="43" fontId="54" fillId="0" borderId="55" xfId="1" applyFont="1" applyBorder="1" applyAlignment="1">
      <alignment horizontal="left" vertical="top" wrapText="1"/>
    </xf>
    <xf numFmtId="0" fontId="54" fillId="0" borderId="26" xfId="0" applyNumberFormat="1" applyFont="1" applyBorder="1" applyAlignment="1">
      <alignment wrapText="1"/>
    </xf>
    <xf numFmtId="0" fontId="62" fillId="0" borderId="55" xfId="0" applyNumberFormat="1" applyFont="1" applyBorder="1" applyAlignment="1">
      <alignment horizontal="left" vertical="top" wrapText="1"/>
    </xf>
    <xf numFmtId="0" fontId="54" fillId="0" borderId="0" xfId="0" applyNumberFormat="1" applyFont="1" applyAlignment="1">
      <alignment horizontal="left" vertical="top" wrapText="1"/>
    </xf>
    <xf numFmtId="0" fontId="54" fillId="0" borderId="51" xfId="0" applyNumberFormat="1" applyFont="1" applyBorder="1" applyAlignment="1">
      <alignment horizontal="left" vertical="top" wrapText="1"/>
    </xf>
    <xf numFmtId="0" fontId="61" fillId="0" borderId="55" xfId="0" applyNumberFormat="1" applyFont="1" applyBorder="1" applyAlignment="1">
      <alignment horizontal="left" vertical="top" wrapText="1"/>
    </xf>
    <xf numFmtId="0" fontId="54" fillId="0" borderId="54" xfId="0" applyNumberFormat="1" applyFont="1" applyBorder="1" applyAlignment="1">
      <alignment horizontal="left" vertical="top" wrapText="1"/>
    </xf>
    <xf numFmtId="0" fontId="54" fillId="0" borderId="59" xfId="0" applyNumberFormat="1" applyFont="1" applyBorder="1" applyAlignment="1">
      <alignment horizontal="left" vertical="top" wrapText="1"/>
    </xf>
    <xf numFmtId="0" fontId="54" fillId="0" borderId="60" xfId="0" applyNumberFormat="1" applyFont="1" applyBorder="1" applyAlignment="1">
      <alignment horizontal="left" vertical="top" wrapText="1"/>
    </xf>
    <xf numFmtId="0" fontId="54" fillId="0" borderId="64" xfId="0" applyNumberFormat="1" applyFont="1" applyBorder="1" applyAlignment="1">
      <alignment horizontal="left" vertical="top" wrapText="1"/>
    </xf>
    <xf numFmtId="0" fontId="54" fillId="0" borderId="66" xfId="0" applyNumberFormat="1" applyFont="1" applyBorder="1" applyAlignment="1">
      <alignment horizontal="left" vertical="top" wrapText="1"/>
    </xf>
    <xf numFmtId="0" fontId="54" fillId="0" borderId="56" xfId="0" applyNumberFormat="1" applyFont="1" applyBorder="1" applyAlignment="1">
      <alignment horizontal="left" vertical="top" wrapText="1"/>
    </xf>
    <xf numFmtId="0" fontId="63" fillId="0" borderId="55" xfId="0" applyNumberFormat="1" applyFont="1" applyBorder="1" applyAlignment="1">
      <alignment horizontal="left" vertical="top" wrapText="1"/>
    </xf>
    <xf numFmtId="0" fontId="54" fillId="0" borderId="55" xfId="0" applyNumberFormat="1" applyFont="1" applyBorder="1" applyAlignment="1">
      <alignment horizontal="left" vertical="top" wrapText="1"/>
    </xf>
    <xf numFmtId="0" fontId="54" fillId="18" borderId="55" xfId="0" applyNumberFormat="1" applyFont="1" applyFill="1" applyBorder="1" applyAlignment="1">
      <alignment horizontal="left" vertical="top" wrapText="1"/>
    </xf>
    <xf numFmtId="0" fontId="66" fillId="0" borderId="55" xfId="0" applyNumberFormat="1" applyFont="1" applyBorder="1" applyAlignment="1" applyProtection="1">
      <alignment horizontal="left" vertical="top"/>
      <protection locked="0"/>
    </xf>
    <xf numFmtId="0" fontId="67" fillId="0" borderId="55" xfId="0" applyNumberFormat="1" applyFont="1" applyBorder="1" applyAlignment="1" applyProtection="1">
      <alignment horizontal="left" vertical="top"/>
      <protection locked="0"/>
    </xf>
    <xf numFmtId="0" fontId="54" fillId="19" borderId="55" xfId="0" applyNumberFormat="1" applyFont="1" applyFill="1" applyBorder="1"/>
    <xf numFmtId="0" fontId="58" fillId="0" borderId="55" xfId="0" applyNumberFormat="1" applyFont="1" applyBorder="1" applyAlignment="1">
      <alignment horizontal="left" vertical="top" wrapText="1"/>
    </xf>
    <xf numFmtId="0" fontId="57" fillId="0" borderId="55" xfId="0" applyNumberFormat="1" applyFont="1" applyBorder="1" applyAlignment="1">
      <alignment horizontal="left" vertical="top" wrapText="1"/>
    </xf>
    <xf numFmtId="0" fontId="70" fillId="0" borderId="55" xfId="0" applyNumberFormat="1" applyFont="1" applyBorder="1" applyAlignment="1">
      <alignment horizontal="left" vertical="top" wrapText="1"/>
    </xf>
    <xf numFmtId="0" fontId="54" fillId="0" borderId="55" xfId="0" quotePrefix="1" applyNumberFormat="1" applyFont="1" applyBorder="1" applyAlignment="1">
      <alignment horizontal="left" vertical="top"/>
    </xf>
    <xf numFmtId="0" fontId="54" fillId="0" borderId="55" xfId="0" applyNumberFormat="1" applyFont="1" applyBorder="1" applyAlignment="1">
      <alignment vertical="top"/>
    </xf>
    <xf numFmtId="0" fontId="54" fillId="0" borderId="55" xfId="0" applyNumberFormat="1" applyFont="1" applyBorder="1" applyAlignment="1">
      <alignment horizontal="center"/>
    </xf>
    <xf numFmtId="0" fontId="66" fillId="0" borderId="55" xfId="0" applyNumberFormat="1" applyFont="1" applyBorder="1" applyAlignment="1">
      <alignment horizontal="left" vertical="top" wrapText="1"/>
    </xf>
    <xf numFmtId="0" fontId="75" fillId="0" borderId="55" xfId="0" applyNumberFormat="1" applyFont="1" applyBorder="1" applyAlignment="1">
      <alignment horizontal="left" vertical="top" wrapText="1"/>
    </xf>
    <xf numFmtId="0" fontId="54" fillId="0" borderId="55" xfId="0" applyNumberFormat="1" applyFont="1" applyBorder="1" applyAlignment="1">
      <alignment wrapText="1"/>
    </xf>
    <xf numFmtId="0" fontId="54" fillId="0" borderId="55" xfId="0" applyNumberFormat="1" applyFont="1" applyBorder="1" applyAlignment="1">
      <alignment horizontal="left" vertical="top" wrapText="1"/>
    </xf>
    <xf numFmtId="0" fontId="9" fillId="5" borderId="1" xfId="0" applyNumberFormat="1" applyFont="1" applyFill="1" applyBorder="1" applyAlignment="1">
      <alignment horizontal="center" vertical="center" wrapText="1"/>
    </xf>
    <xf numFmtId="0" fontId="9" fillId="5" borderId="16" xfId="0" applyNumberFormat="1" applyFont="1" applyFill="1" applyBorder="1" applyAlignment="1">
      <alignment horizontal="center" vertical="center" wrapText="1"/>
    </xf>
    <xf numFmtId="0" fontId="9" fillId="5" borderId="17" xfId="0" applyNumberFormat="1" applyFont="1" applyFill="1" applyBorder="1" applyAlignment="1">
      <alignment horizontal="center" vertical="center" wrapText="1"/>
    </xf>
    <xf numFmtId="0" fontId="9" fillId="5" borderId="18" xfId="0" applyNumberFormat="1" applyFont="1" applyFill="1" applyBorder="1" applyAlignment="1">
      <alignment horizontal="center" vertical="center" wrapText="1"/>
    </xf>
    <xf numFmtId="0" fontId="9" fillId="5" borderId="19" xfId="0" applyNumberFormat="1" applyFont="1" applyFill="1" applyBorder="1" applyAlignment="1">
      <alignment horizontal="center" vertical="center" wrapText="1"/>
    </xf>
    <xf numFmtId="0" fontId="9" fillId="5" borderId="20" xfId="0" applyNumberFormat="1" applyFont="1" applyFill="1" applyBorder="1" applyAlignment="1">
      <alignment horizontal="center" vertical="center" wrapText="1"/>
    </xf>
    <xf numFmtId="0" fontId="9" fillId="6" borderId="1" xfId="0" applyNumberFormat="1" applyFont="1" applyFill="1" applyBorder="1" applyAlignment="1">
      <alignment horizontal="center" vertical="center" wrapText="1"/>
    </xf>
    <xf numFmtId="0" fontId="9" fillId="6" borderId="21" xfId="0" applyNumberFormat="1" applyFont="1" applyFill="1" applyBorder="1" applyAlignment="1">
      <alignment horizontal="center" vertical="center" wrapText="1"/>
    </xf>
    <xf numFmtId="0" fontId="9" fillId="6" borderId="22" xfId="0" applyNumberFormat="1" applyFont="1" applyFill="1" applyBorder="1" applyAlignment="1">
      <alignment horizontal="center" vertical="center" wrapText="1"/>
    </xf>
    <xf numFmtId="0" fontId="9" fillId="6" borderId="23" xfId="0" applyNumberFormat="1" applyFont="1" applyFill="1" applyBorder="1" applyAlignment="1">
      <alignment horizontal="center" vertical="center" wrapText="1"/>
    </xf>
    <xf numFmtId="0" fontId="9" fillId="6" borderId="24" xfId="0" applyNumberFormat="1" applyFont="1" applyFill="1" applyBorder="1" applyAlignment="1">
      <alignment horizontal="center" vertical="center" wrapText="1"/>
    </xf>
    <xf numFmtId="0" fontId="9" fillId="6" borderId="25" xfId="0" applyNumberFormat="1" applyFont="1" applyFill="1" applyBorder="1" applyAlignment="1">
      <alignment horizontal="center" vertical="center" wrapText="1"/>
    </xf>
    <xf numFmtId="0" fontId="9" fillId="6" borderId="26" xfId="0" applyNumberFormat="1" applyFont="1" applyFill="1" applyBorder="1" applyAlignment="1">
      <alignment horizontal="center" vertical="center" wrapText="1"/>
    </xf>
    <xf numFmtId="0" fontId="12" fillId="9" borderId="27" xfId="0" applyNumberFormat="1" applyFont="1" applyFill="1" applyBorder="1" applyAlignment="1">
      <alignment horizontal="center" wrapText="1"/>
    </xf>
    <xf numFmtId="0" fontId="12" fillId="9" borderId="29" xfId="0" applyNumberFormat="1" applyFont="1" applyFill="1" applyBorder="1" applyAlignment="1">
      <alignment horizontal="center" wrapText="1"/>
    </xf>
    <xf numFmtId="0" fontId="12" fillId="9" borderId="30" xfId="0" applyNumberFormat="1" applyFont="1" applyFill="1" applyBorder="1" applyAlignment="1">
      <alignment horizontal="center" wrapText="1"/>
    </xf>
    <xf numFmtId="0" fontId="12" fillId="9" borderId="31" xfId="0" applyNumberFormat="1" applyFont="1" applyFill="1" applyBorder="1" applyAlignment="1">
      <alignment horizontal="center" wrapText="1"/>
    </xf>
    <xf numFmtId="0" fontId="7" fillId="0" borderId="1" xfId="0" applyNumberFormat="1" applyFont="1" applyBorder="1" applyAlignment="1">
      <alignment horizontal="left" vertical="top" wrapText="1"/>
    </xf>
    <xf numFmtId="0" fontId="7" fillId="0" borderId="36" xfId="0" applyNumberFormat="1" applyFont="1" applyBorder="1" applyAlignment="1">
      <alignment horizontal="left" vertical="top" wrapText="1"/>
    </xf>
    <xf numFmtId="0" fontId="7" fillId="0" borderId="37" xfId="0" applyNumberFormat="1" applyFont="1" applyBorder="1" applyAlignment="1">
      <alignment horizontal="left" vertical="top" wrapText="1"/>
    </xf>
    <xf numFmtId="0" fontId="7" fillId="0" borderId="38" xfId="0" applyNumberFormat="1" applyFont="1" applyBorder="1" applyAlignment="1">
      <alignment horizontal="left" vertical="top" wrapText="1"/>
    </xf>
    <xf numFmtId="0" fontId="7" fillId="0" borderId="40" xfId="0" applyNumberFormat="1" applyFont="1" applyBorder="1" applyAlignment="1">
      <alignment horizontal="left" vertical="top" wrapText="1"/>
    </xf>
    <xf numFmtId="0" fontId="7" fillId="0" borderId="41" xfId="0" applyNumberFormat="1" applyFont="1" applyBorder="1" applyAlignment="1">
      <alignment horizontal="left" vertical="top" wrapText="1"/>
    </xf>
    <xf numFmtId="0" fontId="7" fillId="0" borderId="42" xfId="0" applyNumberFormat="1" applyFont="1" applyBorder="1" applyAlignment="1">
      <alignment horizontal="left" vertical="top" wrapText="1"/>
    </xf>
    <xf numFmtId="0" fontId="7" fillId="0" borderId="43" xfId="0" applyNumberFormat="1" applyFont="1" applyBorder="1" applyAlignment="1">
      <alignment horizontal="left" vertical="top" wrapText="1"/>
    </xf>
    <xf numFmtId="0" fontId="7" fillId="0" borderId="44" xfId="0" applyNumberFormat="1" applyFont="1" applyBorder="1" applyAlignment="1">
      <alignment horizontal="left" vertical="top" wrapText="1"/>
    </xf>
    <xf numFmtId="0" fontId="7" fillId="0" borderId="45" xfId="0" applyNumberFormat="1" applyFont="1" applyBorder="1" applyAlignment="1">
      <alignment horizontal="left" vertical="top" wrapText="1"/>
    </xf>
    <xf numFmtId="0" fontId="9" fillId="3" borderId="4" xfId="0" applyNumberFormat="1" applyFont="1" applyFill="1" applyBorder="1" applyAlignment="1">
      <alignment horizontal="center" vertical="center" wrapText="1"/>
    </xf>
    <xf numFmtId="0" fontId="9" fillId="3" borderId="5" xfId="0" applyNumberFormat="1" applyFont="1" applyFill="1" applyBorder="1" applyAlignment="1">
      <alignment horizontal="center" vertical="center" wrapText="1"/>
    </xf>
    <xf numFmtId="0" fontId="9" fillId="3" borderId="6" xfId="0" applyNumberFormat="1" applyFont="1" applyFill="1" applyBorder="1" applyAlignment="1">
      <alignment horizontal="center" vertical="center" wrapText="1"/>
    </xf>
    <xf numFmtId="0" fontId="9" fillId="3" borderId="7" xfId="0" applyNumberFormat="1" applyFont="1" applyFill="1" applyBorder="1" applyAlignment="1">
      <alignment horizontal="center" vertical="center" wrapText="1"/>
    </xf>
    <xf numFmtId="0" fontId="9" fillId="3" borderId="8" xfId="0" applyNumberFormat="1" applyFont="1" applyFill="1" applyBorder="1" applyAlignment="1">
      <alignment horizontal="center" vertical="center" wrapText="1"/>
    </xf>
    <xf numFmtId="0" fontId="9" fillId="3" borderId="9" xfId="0" applyNumberFormat="1" applyFont="1" applyFill="1" applyBorder="1" applyAlignment="1">
      <alignment horizontal="center" vertical="center" wrapText="1"/>
    </xf>
    <xf numFmtId="0" fontId="9" fillId="3" borderId="10" xfId="0" applyNumberFormat="1" applyFont="1" applyFill="1" applyBorder="1" applyAlignment="1">
      <alignment horizontal="center" vertical="center" wrapText="1"/>
    </xf>
    <xf numFmtId="0" fontId="9" fillId="4" borderId="1" xfId="0" applyNumberFormat="1" applyFont="1" applyFill="1" applyBorder="1" applyAlignment="1">
      <alignment horizontal="center" vertical="center" wrapText="1"/>
    </xf>
    <xf numFmtId="0" fontId="9" fillId="4" borderId="11" xfId="0" applyNumberFormat="1" applyFont="1" applyFill="1" applyBorder="1" applyAlignment="1">
      <alignment horizontal="center" vertical="center" wrapText="1"/>
    </xf>
    <xf numFmtId="0" fontId="9" fillId="4" borderId="12" xfId="0" applyNumberFormat="1" applyFont="1" applyFill="1" applyBorder="1" applyAlignment="1">
      <alignment horizontal="center" vertical="center" wrapText="1"/>
    </xf>
    <xf numFmtId="0" fontId="9" fillId="4" borderId="13" xfId="0" applyNumberFormat="1" applyFont="1" applyFill="1" applyBorder="1" applyAlignment="1">
      <alignment horizontal="center" vertical="center" wrapText="1"/>
    </xf>
    <xf numFmtId="0" fontId="9" fillId="4" borderId="14" xfId="0" applyNumberFormat="1" applyFont="1" applyFill="1" applyBorder="1" applyAlignment="1">
      <alignment horizontal="center" vertical="center" wrapText="1"/>
    </xf>
    <xf numFmtId="0" fontId="9" fillId="4" borderId="15" xfId="0" applyNumberFormat="1" applyFont="1" applyFill="1" applyBorder="1" applyAlignment="1">
      <alignment horizontal="center" vertical="center" wrapText="1"/>
    </xf>
    <xf numFmtId="0" fontId="7" fillId="0" borderId="46" xfId="0" applyNumberFormat="1" applyFont="1" applyBorder="1" applyAlignment="1">
      <alignment horizontal="left" vertical="top" wrapText="1"/>
    </xf>
    <xf numFmtId="0" fontId="7" fillId="0" borderId="47" xfId="0" applyNumberFormat="1" applyFont="1" applyBorder="1" applyAlignment="1">
      <alignment horizontal="left" vertical="top" wrapText="1"/>
    </xf>
    <xf numFmtId="0" fontId="7" fillId="0" borderId="48" xfId="0" applyNumberFormat="1" applyFont="1" applyBorder="1" applyAlignment="1">
      <alignment horizontal="left" vertical="top" wrapText="1"/>
    </xf>
    <xf numFmtId="0" fontId="7" fillId="0" borderId="49" xfId="0" applyNumberFormat="1" applyFont="1" applyBorder="1" applyAlignment="1">
      <alignment horizontal="left" vertical="top" wrapText="1"/>
    </xf>
    <xf numFmtId="0" fontId="7" fillId="0" borderId="50" xfId="0" applyNumberFormat="1" applyFont="1" applyBorder="1" applyAlignment="1">
      <alignment horizontal="left" vertical="top" wrapText="1"/>
    </xf>
    <xf numFmtId="0" fontId="8" fillId="8" borderId="27" xfId="0" applyNumberFormat="1" applyFont="1" applyFill="1" applyBorder="1" applyAlignment="1">
      <alignment horizontal="center" vertical="center" wrapText="1"/>
    </xf>
    <xf numFmtId="0" fontId="8" fillId="8" borderId="28" xfId="0" applyNumberFormat="1" applyFont="1" applyFill="1" applyBorder="1" applyAlignment="1">
      <alignment horizontal="center" vertical="center" wrapText="1"/>
    </xf>
    <xf numFmtId="0" fontId="57" fillId="0" borderId="55" xfId="0" applyNumberFormat="1" applyFont="1" applyBorder="1" applyAlignment="1">
      <alignment horizontal="left" vertical="top" wrapText="1"/>
    </xf>
    <xf numFmtId="0" fontId="57" fillId="0" borderId="108" xfId="0" applyNumberFormat="1" applyFont="1" applyBorder="1" applyAlignment="1">
      <alignment horizontal="left" vertical="top" wrapText="1"/>
    </xf>
    <xf numFmtId="0" fontId="57" fillId="0" borderId="111" xfId="0" applyNumberFormat="1" applyFont="1" applyBorder="1" applyAlignment="1">
      <alignment horizontal="left" vertical="top" wrapText="1"/>
    </xf>
    <xf numFmtId="0" fontId="70" fillId="0" borderId="55" xfId="0" applyNumberFormat="1" applyFont="1" applyBorder="1" applyAlignment="1">
      <alignment horizontal="left" vertical="top" wrapText="1"/>
    </xf>
    <xf numFmtId="0" fontId="70" fillId="0" borderId="108" xfId="0" applyNumberFormat="1" applyFont="1" applyBorder="1" applyAlignment="1">
      <alignment horizontal="left" vertical="top" wrapText="1"/>
    </xf>
    <xf numFmtId="0" fontId="70" fillId="0" borderId="111" xfId="0" applyNumberFormat="1" applyFont="1" applyBorder="1" applyAlignment="1">
      <alignment horizontal="left" vertical="top" wrapText="1"/>
    </xf>
    <xf numFmtId="0" fontId="21" fillId="0" borderId="53" xfId="0" applyNumberFormat="1" applyFont="1" applyBorder="1" applyAlignment="1">
      <alignment horizontal="left" vertical="top" wrapText="1"/>
    </xf>
    <xf numFmtId="0" fontId="21" fillId="0" borderId="57" xfId="0" applyNumberFormat="1" applyFont="1" applyBorder="1" applyAlignment="1">
      <alignment horizontal="left" vertical="top" wrapText="1"/>
    </xf>
    <xf numFmtId="0" fontId="21" fillId="0" borderId="62" xfId="0" applyNumberFormat="1" applyFont="1" applyBorder="1" applyAlignment="1">
      <alignment horizontal="left" vertical="top" wrapText="1"/>
    </xf>
    <xf numFmtId="0" fontId="21" fillId="0" borderId="67" xfId="0" applyNumberFormat="1" applyFont="1" applyBorder="1" applyAlignment="1">
      <alignment horizontal="left" vertical="top" wrapText="1"/>
    </xf>
    <xf numFmtId="0" fontId="21" fillId="0" borderId="70" xfId="0" applyNumberFormat="1" applyFont="1" applyBorder="1" applyAlignment="1">
      <alignment horizontal="left" vertical="top" wrapText="1"/>
    </xf>
    <xf numFmtId="0" fontId="21" fillId="0" borderId="73" xfId="0" applyNumberFormat="1" applyFont="1" applyBorder="1" applyAlignment="1">
      <alignment horizontal="left" vertical="top" wrapText="1"/>
    </xf>
    <xf numFmtId="0" fontId="21" fillId="0" borderId="76" xfId="0" applyNumberFormat="1" applyFont="1" applyBorder="1" applyAlignment="1">
      <alignment horizontal="left" vertical="top" wrapText="1"/>
    </xf>
    <xf numFmtId="0" fontId="21" fillId="0" borderId="79" xfId="0" applyNumberFormat="1" applyFont="1" applyBorder="1" applyAlignment="1">
      <alignment horizontal="left" vertical="top" wrapText="1"/>
    </xf>
    <xf numFmtId="0" fontId="21" fillId="0" borderId="82" xfId="0" applyNumberFormat="1" applyFont="1" applyBorder="1" applyAlignment="1">
      <alignment horizontal="left" vertical="top" wrapText="1"/>
    </xf>
    <xf numFmtId="0" fontId="21" fillId="0" borderId="85" xfId="0" applyNumberFormat="1" applyFont="1" applyBorder="1" applyAlignment="1">
      <alignment horizontal="left" vertical="top" wrapText="1"/>
    </xf>
    <xf numFmtId="0" fontId="21" fillId="0" borderId="88" xfId="0" applyNumberFormat="1" applyFont="1" applyBorder="1" applyAlignment="1">
      <alignment horizontal="left" vertical="top" wrapText="1"/>
    </xf>
    <xf numFmtId="0" fontId="21" fillId="0" borderId="91" xfId="0" applyNumberFormat="1" applyFont="1" applyBorder="1" applyAlignment="1">
      <alignment horizontal="left" vertical="top" wrapText="1"/>
    </xf>
    <xf numFmtId="0" fontId="21" fillId="0" borderId="94" xfId="0" applyNumberFormat="1" applyFont="1" applyBorder="1" applyAlignment="1">
      <alignment horizontal="left" vertical="top" wrapText="1"/>
    </xf>
    <xf numFmtId="0" fontId="21" fillId="0" borderId="97" xfId="0" applyNumberFormat="1" applyFont="1" applyBorder="1" applyAlignment="1">
      <alignment horizontal="left" vertical="top" wrapText="1"/>
    </xf>
    <xf numFmtId="0" fontId="21" fillId="0" borderId="100" xfId="0" applyNumberFormat="1" applyFont="1" applyBorder="1" applyAlignment="1">
      <alignment horizontal="left" vertical="top" wrapText="1"/>
    </xf>
    <xf numFmtId="0" fontId="21" fillId="0" borderId="103" xfId="0" applyNumberFormat="1" applyFont="1" applyBorder="1" applyAlignment="1">
      <alignment horizontal="left" vertical="top" wrapText="1"/>
    </xf>
    <xf numFmtId="0" fontId="21" fillId="0" borderId="106" xfId="0" applyNumberFormat="1" applyFont="1" applyBorder="1" applyAlignment="1">
      <alignment horizontal="left" vertical="top" wrapText="1"/>
    </xf>
    <xf numFmtId="0" fontId="21" fillId="0" borderId="109" xfId="0" applyNumberFormat="1" applyFont="1" applyBorder="1" applyAlignment="1">
      <alignment horizontal="left" vertical="top" wrapText="1"/>
    </xf>
    <xf numFmtId="0" fontId="22" fillId="0" borderId="55" xfId="0" applyNumberFormat="1" applyFont="1" applyBorder="1" applyAlignment="1">
      <alignment horizontal="left" vertical="top" wrapText="1"/>
    </xf>
    <xf numFmtId="0" fontId="22" fillId="0" borderId="58" xfId="0" applyNumberFormat="1" applyFont="1" applyBorder="1" applyAlignment="1">
      <alignment horizontal="left" vertical="top" wrapText="1"/>
    </xf>
    <xf numFmtId="0" fontId="22" fillId="0" borderId="63" xfId="0" applyNumberFormat="1" applyFont="1" applyBorder="1" applyAlignment="1">
      <alignment horizontal="left" vertical="top" wrapText="1"/>
    </xf>
    <xf numFmtId="0" fontId="22" fillId="0" borderId="68" xfId="0" applyNumberFormat="1" applyFont="1" applyBorder="1" applyAlignment="1">
      <alignment horizontal="left" vertical="top" wrapText="1"/>
    </xf>
    <xf numFmtId="0" fontId="22" fillId="0" borderId="71" xfId="0" applyNumberFormat="1" applyFont="1" applyBorder="1" applyAlignment="1">
      <alignment horizontal="left" vertical="top" wrapText="1"/>
    </xf>
    <xf numFmtId="0" fontId="22" fillId="0" borderId="74" xfId="0" applyNumberFormat="1" applyFont="1" applyBorder="1" applyAlignment="1">
      <alignment horizontal="left" vertical="top" wrapText="1"/>
    </xf>
    <xf numFmtId="0" fontId="22" fillId="0" borderId="77" xfId="0" applyNumberFormat="1" applyFont="1" applyBorder="1" applyAlignment="1">
      <alignment horizontal="left" vertical="top" wrapText="1"/>
    </xf>
    <xf numFmtId="0" fontId="22" fillId="0" borderId="80" xfId="0" applyNumberFormat="1" applyFont="1" applyBorder="1" applyAlignment="1">
      <alignment horizontal="left" vertical="top" wrapText="1"/>
    </xf>
    <xf numFmtId="0" fontId="22" fillId="0" borderId="83" xfId="0" applyNumberFormat="1" applyFont="1" applyBorder="1" applyAlignment="1">
      <alignment horizontal="left" vertical="top" wrapText="1"/>
    </xf>
    <xf numFmtId="0" fontId="22" fillId="0" borderId="86" xfId="0" applyNumberFormat="1" applyFont="1" applyBorder="1" applyAlignment="1">
      <alignment horizontal="left" vertical="top" wrapText="1"/>
    </xf>
    <xf numFmtId="0" fontId="22" fillId="0" borderId="89" xfId="0" applyNumberFormat="1" applyFont="1" applyBorder="1" applyAlignment="1">
      <alignment horizontal="left" vertical="top" wrapText="1"/>
    </xf>
    <xf numFmtId="0" fontId="22" fillId="0" borderId="92" xfId="0" applyNumberFormat="1" applyFont="1" applyBorder="1" applyAlignment="1">
      <alignment horizontal="left" vertical="top" wrapText="1"/>
    </xf>
    <xf numFmtId="0" fontId="22" fillId="0" borderId="95" xfId="0" applyNumberFormat="1" applyFont="1" applyBorder="1" applyAlignment="1">
      <alignment horizontal="left" vertical="top" wrapText="1"/>
    </xf>
    <xf numFmtId="0" fontId="22" fillId="0" borderId="98" xfId="0" applyNumberFormat="1" applyFont="1" applyBorder="1" applyAlignment="1">
      <alignment horizontal="left" vertical="top" wrapText="1"/>
    </xf>
    <xf numFmtId="0" fontId="22" fillId="0" borderId="101" xfId="0" applyNumberFormat="1" applyFont="1" applyBorder="1" applyAlignment="1">
      <alignment horizontal="left" vertical="top" wrapText="1"/>
    </xf>
    <xf numFmtId="0" fontId="22" fillId="0" borderId="104" xfId="0" applyNumberFormat="1" applyFont="1" applyBorder="1" applyAlignment="1">
      <alignment horizontal="left" vertical="top" wrapText="1"/>
    </xf>
    <xf numFmtId="0" fontId="22" fillId="0" borderId="107" xfId="0" applyNumberFormat="1" applyFont="1" applyBorder="1" applyAlignment="1">
      <alignment horizontal="left" vertical="top" wrapText="1"/>
    </xf>
    <xf numFmtId="0" fontId="22" fillId="0" borderId="110" xfId="0" applyNumberFormat="1" applyFont="1" applyBorder="1" applyAlignment="1">
      <alignment horizontal="left" vertical="top" wrapText="1"/>
    </xf>
    <xf numFmtId="0" fontId="20" fillId="0" borderId="52" xfId="0" applyNumberFormat="1" applyFont="1" applyBorder="1" applyAlignment="1">
      <alignment horizontal="left" vertical="top" wrapText="1"/>
    </xf>
    <xf numFmtId="0" fontId="20" fillId="0" borderId="61" xfId="0" applyNumberFormat="1" applyFont="1" applyBorder="1" applyAlignment="1">
      <alignment horizontal="left" vertical="top" wrapText="1"/>
    </xf>
    <xf numFmtId="0" fontId="20" fillId="0" borderId="65" xfId="0" applyNumberFormat="1" applyFont="1" applyBorder="1" applyAlignment="1">
      <alignment horizontal="left" vertical="top" wrapText="1"/>
    </xf>
    <xf numFmtId="0" fontId="20" fillId="0" borderId="69" xfId="0" applyNumberFormat="1" applyFont="1" applyBorder="1" applyAlignment="1">
      <alignment horizontal="left" vertical="top" wrapText="1"/>
    </xf>
    <xf numFmtId="0" fontId="20" fillId="0" borderId="72" xfId="0" applyNumberFormat="1" applyFont="1" applyBorder="1" applyAlignment="1">
      <alignment horizontal="left" vertical="top" wrapText="1"/>
    </xf>
    <xf numFmtId="0" fontId="20" fillId="0" borderId="75" xfId="0" applyNumberFormat="1" applyFont="1" applyBorder="1" applyAlignment="1">
      <alignment horizontal="left" vertical="top" wrapText="1"/>
    </xf>
    <xf numFmtId="0" fontId="20" fillId="0" borderId="78" xfId="0" applyNumberFormat="1" applyFont="1" applyBorder="1" applyAlignment="1">
      <alignment horizontal="left" vertical="top" wrapText="1"/>
    </xf>
    <xf numFmtId="0" fontId="20" fillId="0" borderId="81" xfId="0" applyNumberFormat="1" applyFont="1" applyBorder="1" applyAlignment="1">
      <alignment horizontal="left" vertical="top" wrapText="1"/>
    </xf>
    <xf numFmtId="0" fontId="20" fillId="0" borderId="84" xfId="0" applyNumberFormat="1" applyFont="1" applyBorder="1" applyAlignment="1">
      <alignment horizontal="left" vertical="top" wrapText="1"/>
    </xf>
    <xf numFmtId="0" fontId="20" fillId="0" borderId="87" xfId="0" applyNumberFormat="1" applyFont="1" applyBorder="1" applyAlignment="1">
      <alignment horizontal="left" vertical="top" wrapText="1"/>
    </xf>
    <xf numFmtId="0" fontId="20" fillId="0" borderId="90" xfId="0" applyNumberFormat="1" applyFont="1" applyBorder="1" applyAlignment="1">
      <alignment horizontal="left" vertical="top" wrapText="1"/>
    </xf>
    <xf numFmtId="0" fontId="20" fillId="0" borderId="93" xfId="0" applyNumberFormat="1" applyFont="1" applyBorder="1" applyAlignment="1">
      <alignment horizontal="left" vertical="top" wrapText="1"/>
    </xf>
    <xf numFmtId="0" fontId="20" fillId="0" borderId="96" xfId="0" applyNumberFormat="1" applyFont="1" applyBorder="1" applyAlignment="1">
      <alignment horizontal="left" vertical="top" wrapText="1"/>
    </xf>
    <xf numFmtId="0" fontId="20" fillId="0" borderId="99" xfId="0" applyNumberFormat="1" applyFont="1" applyBorder="1" applyAlignment="1">
      <alignment horizontal="left" vertical="top" wrapText="1"/>
    </xf>
    <xf numFmtId="0" fontId="20" fillId="0" borderId="102" xfId="0" applyNumberFormat="1" applyFont="1" applyBorder="1" applyAlignment="1">
      <alignment horizontal="left" vertical="top" wrapText="1"/>
    </xf>
    <xf numFmtId="0" fontId="20" fillId="0" borderId="105" xfId="0" applyNumberFormat="1" applyFont="1" applyBorder="1" applyAlignment="1">
      <alignment horizontal="left" vertical="top" wrapText="1"/>
    </xf>
    <xf numFmtId="0" fontId="20" fillId="0" borderId="108" xfId="0" applyNumberFormat="1" applyFont="1" applyBorder="1" applyAlignment="1">
      <alignment horizontal="left" vertical="top" wrapText="1"/>
    </xf>
    <xf numFmtId="0" fontId="20" fillId="0" borderId="111" xfId="0" applyNumberFormat="1" applyFont="1" applyBorder="1" applyAlignment="1">
      <alignment horizontal="left" vertical="top" wrapText="1"/>
    </xf>
    <xf numFmtId="0" fontId="58" fillId="0" borderId="55" xfId="0" applyNumberFormat="1" applyFont="1" applyBorder="1" applyAlignment="1">
      <alignment horizontal="left" vertical="top" wrapText="1"/>
    </xf>
    <xf numFmtId="0" fontId="58" fillId="0" borderId="108" xfId="0" applyNumberFormat="1" applyFont="1" applyBorder="1" applyAlignment="1">
      <alignment horizontal="left" vertical="top" wrapText="1"/>
    </xf>
    <xf numFmtId="0" fontId="58" fillId="0" borderId="111" xfId="0" applyNumberFormat="1" applyFont="1" applyBorder="1" applyAlignment="1">
      <alignment horizontal="left" vertical="top" wrapText="1"/>
    </xf>
    <xf numFmtId="0" fontId="54" fillId="0" borderId="55" xfId="0" applyNumberFormat="1" applyFont="1" applyBorder="1" applyAlignment="1">
      <alignment horizontal="left" vertical="top" wrapText="1"/>
    </xf>
    <xf numFmtId="0" fontId="54" fillId="0" borderId="108" xfId="0" applyNumberFormat="1" applyFont="1" applyBorder="1" applyAlignment="1">
      <alignment horizontal="left" vertical="top" wrapText="1"/>
    </xf>
    <xf numFmtId="0" fontId="54" fillId="0" borderId="111" xfId="0" applyNumberFormat="1" applyFont="1" applyBorder="1" applyAlignment="1">
      <alignment horizontal="left" vertical="top" wrapText="1"/>
    </xf>
    <xf numFmtId="0" fontId="35" fillId="0" borderId="162" xfId="0" applyNumberFormat="1" applyFont="1" applyBorder="1" applyAlignment="1">
      <alignment horizontal="left" vertical="center"/>
    </xf>
    <xf numFmtId="0" fontId="35" fillId="0" borderId="168" xfId="0" applyNumberFormat="1" applyFont="1" applyBorder="1" applyAlignment="1">
      <alignment horizontal="left" vertical="center"/>
    </xf>
    <xf numFmtId="0" fontId="35" fillId="0" borderId="172" xfId="0" applyNumberFormat="1" applyFont="1" applyBorder="1" applyAlignment="1">
      <alignment horizontal="left" vertical="center"/>
    </xf>
    <xf numFmtId="0" fontId="35" fillId="0" borderId="177" xfId="0" applyNumberFormat="1" applyFont="1" applyBorder="1" applyAlignment="1">
      <alignment horizontal="left" vertical="center"/>
    </xf>
    <xf numFmtId="0" fontId="35" fillId="0" borderId="182" xfId="0" applyNumberFormat="1" applyFont="1" applyBorder="1" applyAlignment="1">
      <alignment horizontal="left" vertical="center"/>
    </xf>
    <xf numFmtId="0" fontId="1" fillId="0" borderId="114" xfId="0" applyFont="1" applyBorder="1" applyAlignment="1">
      <alignment vertical="center"/>
    </xf>
    <xf numFmtId="0" fontId="1" fillId="0" borderId="121" xfId="0" applyFont="1" applyBorder="1" applyAlignment="1">
      <alignment vertical="center"/>
    </xf>
    <xf numFmtId="0" fontId="35" fillId="0" borderId="126" xfId="0" applyNumberFormat="1" applyFont="1" applyBorder="1" applyAlignment="1">
      <alignment horizontal="left" vertical="center"/>
    </xf>
    <xf numFmtId="0" fontId="35" fillId="0" borderId="174" xfId="0" applyNumberFormat="1" applyFont="1" applyBorder="1" applyAlignment="1">
      <alignment horizontal="left" vertical="center"/>
    </xf>
    <xf numFmtId="0" fontId="35" fillId="0" borderId="179" xfId="0" applyNumberFormat="1" applyFont="1" applyBorder="1" applyAlignment="1">
      <alignment horizontal="left" vertical="center"/>
    </xf>
    <xf numFmtId="0" fontId="35" fillId="0" borderId="184" xfId="0" applyNumberFormat="1" applyFont="1" applyBorder="1" applyAlignment="1">
      <alignment horizontal="left" vertical="center"/>
    </xf>
    <xf numFmtId="0" fontId="1" fillId="0" borderId="166" xfId="0" applyFont="1" applyBorder="1" applyAlignment="1">
      <alignment vertical="center"/>
    </xf>
    <xf numFmtId="0" fontId="1" fillId="0" borderId="170" xfId="0" applyFont="1" applyBorder="1" applyAlignment="1">
      <alignment vertical="center"/>
    </xf>
    <xf numFmtId="0" fontId="35" fillId="0" borderId="175" xfId="0" applyNumberFormat="1" applyFont="1" applyBorder="1" applyAlignment="1">
      <alignment horizontal="left" vertical="center"/>
    </xf>
    <xf numFmtId="0" fontId="35" fillId="0" borderId="180" xfId="0" applyNumberFormat="1" applyFont="1" applyBorder="1" applyAlignment="1">
      <alignment horizontal="left" vertical="center"/>
    </xf>
    <xf numFmtId="0" fontId="35" fillId="0" borderId="181" xfId="0" applyNumberFormat="1" applyFont="1" applyBorder="1" applyAlignment="1">
      <alignment horizontal="left" vertical="center"/>
    </xf>
    <xf numFmtId="0" fontId="35" fillId="0" borderId="186" xfId="0" applyNumberFormat="1" applyFont="1" applyBorder="1" applyAlignment="1">
      <alignment horizontal="left" vertical="center"/>
    </xf>
    <xf numFmtId="0" fontId="1" fillId="0" borderId="113" xfId="0" applyFont="1" applyBorder="1" applyAlignment="1">
      <alignment vertical="center"/>
    </xf>
    <xf numFmtId="0" fontId="1" fillId="0" borderId="122" xfId="0" applyFont="1" applyBorder="1" applyAlignment="1">
      <alignment vertical="center"/>
    </xf>
    <xf numFmtId="0" fontId="1" fillId="0" borderId="127" xfId="0" applyFont="1" applyBorder="1" applyAlignment="1">
      <alignment vertical="center"/>
    </xf>
    <xf numFmtId="0" fontId="1" fillId="0" borderId="132" xfId="0" applyFont="1" applyBorder="1" applyAlignment="1">
      <alignment vertical="center"/>
    </xf>
    <xf numFmtId="0" fontId="1" fillId="0" borderId="137" xfId="0" applyFont="1" applyBorder="1" applyAlignment="1">
      <alignment vertical="center"/>
    </xf>
    <xf numFmtId="0" fontId="1" fillId="0" borderId="141" xfId="0" applyFont="1" applyBorder="1" applyAlignment="1">
      <alignment vertical="center"/>
    </xf>
    <xf numFmtId="0" fontId="1" fillId="0" borderId="146" xfId="0" applyFont="1" applyBorder="1" applyAlignment="1">
      <alignment vertical="center"/>
    </xf>
    <xf numFmtId="0" fontId="1" fillId="0" borderId="150" xfId="0" applyFont="1" applyBorder="1" applyAlignment="1">
      <alignment vertical="center"/>
    </xf>
    <xf numFmtId="0" fontId="1" fillId="0" borderId="155" xfId="0" applyFont="1" applyBorder="1" applyAlignment="1">
      <alignment vertical="center"/>
    </xf>
    <xf numFmtId="0" fontId="1" fillId="0" borderId="160" xfId="0" applyFont="1" applyBorder="1" applyAlignment="1">
      <alignment vertical="center"/>
    </xf>
    <xf numFmtId="0" fontId="1" fillId="0" borderId="163" xfId="0" applyFont="1" applyBorder="1" applyAlignment="1">
      <alignment vertical="center"/>
    </xf>
    <xf numFmtId="0" fontId="1" fillId="0" borderId="169" xfId="0" applyFont="1" applyBorder="1" applyAlignment="1">
      <alignment vertical="center"/>
    </xf>
    <xf numFmtId="0" fontId="35" fillId="0" borderId="173" xfId="0" applyNumberFormat="1" applyFont="1" applyBorder="1" applyAlignment="1">
      <alignment horizontal="left" vertical="center"/>
    </xf>
    <xf numFmtId="0" fontId="35" fillId="0" borderId="178" xfId="0" applyNumberFormat="1" applyFont="1" applyBorder="1" applyAlignment="1">
      <alignment horizontal="left" vertical="center"/>
    </xf>
    <xf numFmtId="0" fontId="35" fillId="0" borderId="183" xfId="0" applyNumberFormat="1" applyFont="1" applyBorder="1" applyAlignment="1">
      <alignment horizontal="left" vertical="center"/>
    </xf>
    <xf numFmtId="0" fontId="35" fillId="0" borderId="185" xfId="0" applyNumberFormat="1" applyFont="1" applyBorder="1" applyAlignment="1">
      <alignment horizontal="left" vertical="center"/>
    </xf>
    <xf numFmtId="0" fontId="35" fillId="0" borderId="190" xfId="0" applyNumberFormat="1" applyFont="1" applyBorder="1" applyAlignment="1">
      <alignment horizontal="left" vertical="center"/>
    </xf>
    <xf numFmtId="0" fontId="35" fillId="0" borderId="187" xfId="0" applyNumberFormat="1" applyFont="1" applyBorder="1" applyAlignment="1">
      <alignment horizontal="left" vertical="center"/>
    </xf>
    <xf numFmtId="0" fontId="35" fillId="0" borderId="188" xfId="0" applyNumberFormat="1" applyFont="1" applyBorder="1" applyAlignment="1">
      <alignment horizontal="left" vertical="center"/>
    </xf>
    <xf numFmtId="0" fontId="35" fillId="0" borderId="189" xfId="0" applyNumberFormat="1" applyFont="1" applyBorder="1" applyAlignment="1">
      <alignment horizontal="left" vertical="center"/>
    </xf>
    <xf numFmtId="0" fontId="1" fillId="0" borderId="112" xfId="0" applyFont="1" applyBorder="1" applyAlignment="1">
      <alignment vertical="center"/>
    </xf>
    <xf numFmtId="0" fontId="1" fillId="0" borderId="120" xfId="0" applyFont="1" applyBorder="1" applyAlignment="1">
      <alignment vertical="center"/>
    </xf>
    <xf numFmtId="0" fontId="1" fillId="0" borderId="125" xfId="0" applyFont="1" applyBorder="1" applyAlignment="1">
      <alignment vertical="center"/>
    </xf>
    <xf numFmtId="0" fontId="1" fillId="0" borderId="130" xfId="0" applyFont="1" applyBorder="1" applyAlignment="1">
      <alignment vertical="center"/>
    </xf>
    <xf numFmtId="0" fontId="1" fillId="0" borderId="134" xfId="0" applyFont="1" applyBorder="1" applyAlignment="1">
      <alignment vertical="center"/>
    </xf>
    <xf numFmtId="0" fontId="1" fillId="0" borderId="142" xfId="0" applyFont="1" applyBorder="1" applyAlignment="1">
      <alignment vertical="center"/>
    </xf>
    <xf numFmtId="0" fontId="1" fillId="0" borderId="147" xfId="0" applyFont="1" applyBorder="1" applyAlignment="1">
      <alignment vertical="center"/>
    </xf>
    <xf numFmtId="0" fontId="1" fillId="0" borderId="151" xfId="0" applyFont="1" applyBorder="1" applyAlignment="1">
      <alignment vertical="center"/>
    </xf>
    <xf numFmtId="0" fontId="1" fillId="0" borderId="153" xfId="0" applyFont="1" applyBorder="1" applyAlignment="1">
      <alignment vertical="center"/>
    </xf>
    <xf numFmtId="0" fontId="1" fillId="0" borderId="158" xfId="0" applyFont="1" applyBorder="1" applyAlignment="1">
      <alignment vertical="center"/>
    </xf>
    <xf numFmtId="0" fontId="1" fillId="0" borderId="119" xfId="0" applyFont="1" applyBorder="1" applyAlignment="1">
      <alignment vertical="center"/>
    </xf>
    <xf numFmtId="0" fontId="1" fillId="0" borderId="129" xfId="0" applyFont="1" applyBorder="1" applyAlignment="1">
      <alignment vertical="center"/>
    </xf>
    <xf numFmtId="0" fontId="1" fillId="0" borderId="136" xfId="0" applyFont="1" applyBorder="1" applyAlignment="1">
      <alignment vertical="center"/>
    </xf>
    <xf numFmtId="0" fontId="1" fillId="0" borderId="139" xfId="0" applyFont="1" applyBorder="1" applyAlignment="1">
      <alignment vertical="center"/>
    </xf>
    <xf numFmtId="0" fontId="35" fillId="0" borderId="118" xfId="0" applyNumberFormat="1" applyFont="1" applyBorder="1" applyAlignment="1">
      <alignment horizontal="left" vertical="center"/>
    </xf>
    <xf numFmtId="0" fontId="35" fillId="0" borderId="124" xfId="0" applyNumberFormat="1" applyFont="1" applyBorder="1" applyAlignment="1">
      <alignment horizontal="left" vertical="center"/>
    </xf>
    <xf numFmtId="0" fontId="35" fillId="0" borderId="128" xfId="0" applyNumberFormat="1" applyFont="1" applyBorder="1" applyAlignment="1">
      <alignment horizontal="left" vertical="center"/>
    </xf>
    <xf numFmtId="0" fontId="35" fillId="0" borderId="133" xfId="0" applyNumberFormat="1" applyFont="1" applyBorder="1" applyAlignment="1">
      <alignment horizontal="left" vertical="center"/>
    </xf>
    <xf numFmtId="0" fontId="35" fillId="0" borderId="138" xfId="0" applyNumberFormat="1" applyFont="1" applyBorder="1" applyAlignment="1">
      <alignment horizontal="left" vertical="center"/>
    </xf>
    <xf numFmtId="0" fontId="35" fillId="0" borderId="143" xfId="0" applyNumberFormat="1" applyFont="1" applyBorder="1" applyAlignment="1">
      <alignment horizontal="left" vertical="center"/>
    </xf>
    <xf numFmtId="0" fontId="35" fillId="0" borderId="148" xfId="0" applyNumberFormat="1" applyFont="1" applyBorder="1" applyAlignment="1">
      <alignment horizontal="left" vertical="center"/>
    </xf>
    <xf numFmtId="0" fontId="35" fillId="0" borderId="152" xfId="0" applyNumberFormat="1" applyFont="1" applyBorder="1" applyAlignment="1">
      <alignment horizontal="left" vertical="center"/>
    </xf>
    <xf numFmtId="0" fontId="35" fillId="0" borderId="157" xfId="0" applyNumberFormat="1" applyFont="1" applyBorder="1" applyAlignment="1">
      <alignment horizontal="left" vertical="center"/>
    </xf>
    <xf numFmtId="0" fontId="35" fillId="0" borderId="156" xfId="0" applyNumberFormat="1" applyFont="1" applyBorder="1" applyAlignment="1">
      <alignment horizontal="left" vertical="center"/>
    </xf>
    <xf numFmtId="0" fontId="35" fillId="0" borderId="161" xfId="0" applyNumberFormat="1" applyFont="1" applyBorder="1" applyAlignment="1">
      <alignment horizontal="left" vertical="center"/>
    </xf>
    <xf numFmtId="0" fontId="35" fillId="0" borderId="167" xfId="0" applyNumberFormat="1" applyFont="1" applyBorder="1" applyAlignment="1">
      <alignment horizontal="left" vertical="center"/>
    </xf>
    <xf numFmtId="0" fontId="35" fillId="0" borderId="171" xfId="0" applyNumberFormat="1" applyFont="1" applyBorder="1" applyAlignment="1">
      <alignment horizontal="left" vertical="center"/>
    </xf>
    <xf numFmtId="0" fontId="35" fillId="0" borderId="176" xfId="0" applyNumberFormat="1" applyFont="1" applyBorder="1" applyAlignment="1">
      <alignment horizontal="left" vertical="center"/>
    </xf>
    <xf numFmtId="0" fontId="35" fillId="0" borderId="131" xfId="0" applyNumberFormat="1" applyFont="1" applyBorder="1" applyAlignment="1">
      <alignment horizontal="left" vertical="center"/>
    </xf>
    <xf numFmtId="0" fontId="35" fillId="0" borderId="135" xfId="0" applyNumberFormat="1" applyFont="1" applyBorder="1" applyAlignment="1">
      <alignment horizontal="left" vertical="center"/>
    </xf>
    <xf numFmtId="0" fontId="35" fillId="0" borderId="140" xfId="0" applyNumberFormat="1" applyFont="1" applyBorder="1" applyAlignment="1">
      <alignment horizontal="left" vertical="center"/>
    </xf>
    <xf numFmtId="0" fontId="35" fillId="0" borderId="145" xfId="0" applyNumberFormat="1" applyFont="1" applyBorder="1" applyAlignment="1">
      <alignment horizontal="left" vertical="center"/>
    </xf>
    <xf numFmtId="0" fontId="35" fillId="0" borderId="149" xfId="0" applyNumberFormat="1" applyFont="1" applyBorder="1" applyAlignment="1">
      <alignment horizontal="left" vertical="center"/>
    </xf>
    <xf numFmtId="0" fontId="35" fillId="0" borderId="154" xfId="0" applyNumberFormat="1" applyFont="1" applyBorder="1" applyAlignment="1">
      <alignment horizontal="left" vertical="center"/>
    </xf>
    <xf numFmtId="0" fontId="35" fillId="0" borderId="159" xfId="0" applyNumberFormat="1" applyFont="1" applyBorder="1" applyAlignment="1">
      <alignment horizontal="left" vertical="center"/>
    </xf>
    <xf numFmtId="0" fontId="35" fillId="0" borderId="164" xfId="0" applyNumberFormat="1" applyFont="1" applyBorder="1" applyAlignment="1">
      <alignment horizontal="left" vertical="center"/>
    </xf>
  </cellXfs>
  <cellStyles count="2">
    <cellStyle name="Обычный" xfId="0" builtinId="0"/>
    <cellStyle name="Финансовый" xfId="1" builtinId="3"/>
  </cellStyles>
  <dxfs count="3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numFmt numFmtId="165" formatCode="_-* #,##0.00_-;\-* #,##0.00_-;_-* \-??_-;_-@_-"/>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vtb70238793\AppData\Roaming\Microsoft\Excel\&#1047;&#1072;&#1076;&#1072;&#1095;&#1080;.%20&#1057;&#1086;&#1089;&#1090;&#1086;&#1103;&#1090;&#1077;&#1083;&#1100;&#1085;&#1099;&#1077;%20&#1082;&#1083;&#1080;&#1077;&#1085;&#1090;&#1099;%2022.07%20(version%201).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0-nm02-vdil-13.region.vtb.ru\fr13\UserFolders\VTB70238793\Desktop\Main\&#1041;&#1050;%202027\&#1041;&#1050;%202027%20Collection%20&#1079;&#1072;&#1076;&#1072;&#1095;&#1080;.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1052;&#1072;&#1089;&#1090;&#1077;&#1088;%20&#1074;&#1077;&#1088;&#1089;&#1080;&#1103;_03.08.26_Rn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тримы"/>
      <sheetName val="Опросник"/>
      <sheetName val="Тип задач"/>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п задач"/>
      <sheetName val="Стримы"/>
      <sheetName val="Опросник"/>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просник"/>
      <sheetName val="Тип задач"/>
      <sheetName val="Стримы"/>
    </sheetNames>
    <sheetDataSet>
      <sheetData sheetId="0" refreshError="1"/>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p0-nm02-vdil-28.region.vtb.ru\fr28\UserFolders\VTB70161317\Downloads\&#1052;&#1072;&#1089;&#1090;&#1077;&#1088;%20&#1074;&#1077;&#1088;&#1089;&#1080;&#1103;%2018.2%20(5).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Date="0" createdVersion="3" refreshedVersion="3" minRefreshableVersion="3" recordCount="234">
  <cacheSource type="worksheet">
    <worksheetSource ref="B4:P73" sheet="БК25 Стрим_свод" r:id="rId2"/>
  </cacheSource>
  <cacheFields count="13">
    <cacheField name="Проект" numFmtId="0">
      <sharedItems containsString="0" containsBlank="1" containsNumber="1" containsInteger="1" count="2">
        <m/>
        <n v="2270"/>
      </sharedItems>
    </cacheField>
    <cacheField name="Наименование задачи" numFmtId="0">
      <sharedItems containsBlank="1" count="3">
        <s v="И1_Задача 1"/>
        <s v="И1_Задача 2"/>
        <m/>
      </sharedItems>
    </cacheField>
    <cacheField name="Стрим" numFmtId="0">
      <sharedItems containsBlank="1" count="4">
        <s v="Контроль качества моделей и модельных данных"/>
        <s v="Моделирование РБ"/>
        <s v="Разработка моделей для КМБ и КСБ сегмента"/>
        <m/>
      </sharedItems>
    </cacheField>
    <cacheField name="Кластер" numFmtId="0">
      <sharedItems containsBlank="1"/>
    </cacheField>
    <cacheField name="Команда" numFmtId="0">
      <sharedItems containsBlank="1"/>
    </cacheField>
    <cacheField name="Роль" numFmtId="0">
      <sharedItems containsBlank="1" count="7">
        <s v="DE"/>
        <s v="DS"/>
        <s v="Scrum"/>
        <s v="Аналитик"/>
        <s v="Железо"/>
        <s v="КУС"/>
        <m/>
      </sharedItems>
    </cacheField>
    <cacheField name="Этап ЖЦМ" numFmtId="0">
      <sharedItems containsBlank="1" count="2">
        <s v="Внедрение"/>
        <m/>
      </sharedItems>
    </cacheField>
    <cacheField name="ФИО" numFmtId="0">
      <sharedItems containsBlank="1"/>
    </cacheField>
    <cacheField name="Грейд" numFmtId="0">
      <sharedItems containsString="0" containsBlank="1" containsNumber="1" containsInteger="1"/>
    </cacheField>
    <cacheField name="Регион" numFmtId="0">
      <sharedItems containsBlank="1"/>
    </cacheField>
    <cacheField name="Тип" numFmtId="0">
      <sharedItems containsBlank="1"/>
    </cacheField>
    <cacheField name="ЧД" numFmtId="0">
      <sharedItems containsString="0" containsBlank="1" containsNumber="1" containsInteger="1"/>
    </cacheField>
    <cacheField name="Сумма" numFmtId="165">
      <sharedItems containsSemiMixedTypes="0" containsString="0" containsNumber="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Романишин Иван Владимирович" refreshedDate="46234.420308564811" createdVersion="6" refreshedVersion="6" minRefreshableVersion="3" recordCount="256">
  <cacheSource type="worksheet">
    <worksheetSource ref="C4:C261" sheet="Оценка Инициативы"/>
  </cacheSource>
  <cacheFields count="1">
    <cacheField name="Департамент" numFmtId="0">
      <sharedItems count="37">
        <s v="Департамент анализа, координации и продуктового развития"/>
        <s v="Департамент корпоративного цифрового бизнеса"/>
        <s v="Департамент по работе с клиентами рыночных отраслей"/>
        <s v="ДВА"/>
        <s v="Департамент андеррайтинга"/>
        <s v="Департамент комплаенс контроля и финансового мониторинга"/>
        <s v="ДОПБ"/>
        <s v="ДККР"/>
        <s v="Департамент продаж продуктов финансовых рынков "/>
        <s v="Департамент транзакционного бизнеса "/>
        <s v="Департамент координации и анализа бизнеса"/>
        <s v="??"/>
        <s v="ДРКБ"/>
        <s v="ДКО"/>
        <s v="ДАДМ"/>
        <s v="ДРПК"/>
        <s v="ДРКР"/>
        <s v="ДФУ"/>
        <s v="Казначейство"/>
        <s v="Департамент розничных продаж"/>
        <s v="ДИУР"/>
        <s v="Департамент инвестиционных продуктов"/>
        <s v="Департамент залогов"/>
        <s v="Департамент по работе с персоналом "/>
        <s v="Департамент сопровождения транзакционных продуктов "/>
        <s v="Департамент налично-денежного обращения и платежной инфраструктуры"/>
        <s v="Административный департамент"/>
        <s v="Департамент ИТ-архитектуры"/>
        <s v="Департамент технологического развития систем поддержки бизнеса "/>
        <s v="ДППСиС"/>
        <s v="Департамент партнерств"/>
        <s v="Департамент продаж продуктов финансовых рынков" u="1"/>
        <s v="ДККФМ" u="1"/>
        <s v="Департамент транзакционного бизнеса" u="1"/>
        <s v="Департамент комплаенс контроля и финансового мониторинга " u="1"/>
        <s v="ДТБ" u="1"/>
        <s v="Департамент по работе с персоналом"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a="http://schemas.openxmlformats.org/drawingml/2006/main" xmlns:a14="http://schemas.microsoft.com/office/drawing/2010/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count="234" mc:Ignorable="co co-ooxml w14 x14 w15">
  <r>
    <x v="1"/>
    <x v="0"/>
    <x v="2"/>
    <m/>
    <s v="Общестримовая команда стрима Разработка моделей для КМБ и КСБ сегмента"/>
    <x v="2"/>
    <x v="0"/>
    <s v="ФИО"/>
    <n v="10"/>
    <s v="МСК"/>
    <s v="Внешний"/>
    <n v="40"/>
    <n v="646908.79999999993"/>
  </r>
  <r>
    <x v="1"/>
    <x v="0"/>
    <x v="2"/>
    <m/>
    <s v="Команда управления стрима"/>
    <x v="5"/>
    <x v="0"/>
    <s v="ФИО"/>
    <n v="11"/>
    <s v="МСК"/>
    <s v="Внешний"/>
    <n v="20"/>
    <n v="375627.20000000001"/>
  </r>
  <r>
    <x v="1"/>
    <x v="0"/>
    <x v="2"/>
    <m/>
    <s v="Модели взыскания и комплайенса"/>
    <x v="5"/>
    <x v="0"/>
    <s v="ФИО"/>
    <n v="12"/>
    <s v="МСК"/>
    <s v="Внешний"/>
    <n v="20"/>
    <n v="410835.19999999995"/>
  </r>
  <r>
    <x v="1"/>
    <x v="0"/>
    <x v="0"/>
    <m/>
    <s v="Контроль модельных данных"/>
    <x v="3"/>
    <x v="0"/>
    <s v="ФИО"/>
    <n v="13"/>
    <s v="МСК"/>
    <s v="Внешний"/>
    <n v="30"/>
    <n v="746956.80000000005"/>
  </r>
  <r>
    <x v="1"/>
    <x v="0"/>
    <x v="0"/>
    <m/>
    <s v="Общестримовая команда стрима Контроль качества моделей и модельных данных"/>
    <x v="2"/>
    <x v="0"/>
    <s v="ФИО"/>
    <n v="14"/>
    <s v="МСК"/>
    <s v="Внешний"/>
    <n v="60"/>
    <n v="1776768"/>
  </r>
  <r>
    <x v="1"/>
    <x v="0"/>
    <x v="1"/>
    <s v="Моделирование для CRM и оптимизации"/>
    <m/>
    <x v="1"/>
    <x v="0"/>
    <s v="ФИО"/>
    <n v="15"/>
    <s v="МСК"/>
    <s v="Внешний"/>
    <n v="70"/>
    <n v="2571805.6000000001"/>
  </r>
  <r>
    <x v="1"/>
    <x v="0"/>
    <x v="1"/>
    <m/>
    <s v="Collection РБ"/>
    <x v="1"/>
    <x v="0"/>
    <s v="ФИО"/>
    <n v="12"/>
    <s v="МСК"/>
    <s v="Внешний"/>
    <n v="50"/>
    <n v="1027087.9999999999"/>
  </r>
  <r>
    <x v="1"/>
    <x v="0"/>
    <x v="2"/>
    <m/>
    <s v="Риск модели КБ"/>
    <x v="0"/>
    <x v="0"/>
    <s v="ФИО"/>
    <n v="16"/>
    <s v="Иное"/>
    <s v="Внешний"/>
    <n v="20"/>
    <n v="724782.40000000002"/>
  </r>
  <r>
    <x v="1"/>
    <x v="0"/>
    <x v="0"/>
    <m/>
    <s v="Технологические"/>
    <x v="4"/>
    <x v="0"/>
    <s v="Сервер"/>
    <m/>
    <m/>
    <m/>
    <m/>
    <n v="500000"/>
  </r>
  <r>
    <x v="1"/>
    <x v="1"/>
    <x v="2"/>
    <m/>
    <s v="Общестримовая команда стрима Разработка моделей для КМБ и КСБ сегмента"/>
    <x v="2"/>
    <x v="0"/>
    <s v="ФИО"/>
    <n v="10"/>
    <s v="МСК"/>
    <s v="Внешний"/>
    <n v="40"/>
    <n v="646908.79999999993"/>
  </r>
  <r>
    <x v="1"/>
    <x v="1"/>
    <x v="2"/>
    <m/>
    <s v="Команда управления стрима"/>
    <x v="5"/>
    <x v="0"/>
    <s v="ФИО"/>
    <n v="11"/>
    <s v="МСК"/>
    <s v="Внешний"/>
    <n v="20"/>
    <n v="375627.20000000001"/>
  </r>
  <r>
    <x v="1"/>
    <x v="1"/>
    <x v="2"/>
    <m/>
    <s v="Модели взыскания и комплайенса"/>
    <x v="5"/>
    <x v="0"/>
    <s v="ФИО"/>
    <n v="12"/>
    <s v="МСК"/>
    <s v="Внешний"/>
    <n v="20"/>
    <n v="410835.19999999995"/>
  </r>
  <r>
    <x v="1"/>
    <x v="1"/>
    <x v="0"/>
    <m/>
    <s v="Контроль модельных данных"/>
    <x v="3"/>
    <x v="0"/>
    <s v="ФИО"/>
    <n v="13"/>
    <s v="МСК"/>
    <s v="Внешний"/>
    <n v="30"/>
    <n v="746956.80000000005"/>
  </r>
  <r>
    <x v="1"/>
    <x v="1"/>
    <x v="0"/>
    <m/>
    <s v="Общестримовая команда стрима Контроль качества моделей и модельных данных"/>
    <x v="2"/>
    <x v="0"/>
    <s v="ФИО"/>
    <n v="14"/>
    <s v="МСК"/>
    <s v="Внешний"/>
    <n v="60"/>
    <n v="1776768"/>
  </r>
  <r>
    <x v="1"/>
    <x v="1"/>
    <x v="1"/>
    <m/>
    <s v="Collection РБ"/>
    <x v="1"/>
    <x v="0"/>
    <s v="ФИО"/>
    <n v="15"/>
    <s v="МСК"/>
    <s v="Внешний"/>
    <n v="70"/>
    <n v="2571805.6000000001"/>
  </r>
  <r>
    <x v="1"/>
    <x v="1"/>
    <x v="1"/>
    <m/>
    <s v="Collection РБ"/>
    <x v="1"/>
    <x v="0"/>
    <s v="ФИО"/>
    <n v="12"/>
    <s v="МСК"/>
    <s v="Внешний"/>
    <n v="50"/>
    <n v="1027087.9999999999"/>
  </r>
  <r>
    <x v="1"/>
    <x v="1"/>
    <x v="2"/>
    <m/>
    <s v="Риск модели КБ"/>
    <x v="0"/>
    <x v="0"/>
    <s v="ФИО"/>
    <n v="16"/>
    <s v="Иное"/>
    <s v="Внешний"/>
    <n v="20"/>
    <n v="724782.40000000002"/>
  </r>
  <r>
    <x v="1"/>
    <x v="1"/>
    <x v="0"/>
    <m/>
    <s v="Технологические"/>
    <x v="4"/>
    <x v="0"/>
    <s v="Сервер"/>
    <m/>
    <m/>
    <m/>
    <m/>
    <n v="50000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r>
    <x v="0"/>
    <x v="2"/>
    <x v="3"/>
    <m/>
    <m/>
    <x v="6"/>
    <x v="1"/>
    <m/>
    <m/>
    <m/>
    <m/>
    <m/>
    <n v="0"/>
  </r>
</pivotCacheRecords>
</file>

<file path=xl/pivotCache/pivotCacheRecords2.xml><?xml version="1.0" encoding="utf-8"?>
<pivotCacheRecords xmlns="http://schemas.openxmlformats.org/spreadsheetml/2006/main" xmlns:r="http://schemas.openxmlformats.org/officeDocument/2006/relationships" count="256">
  <r>
    <x v="0"/>
  </r>
  <r>
    <x v="0"/>
  </r>
  <r>
    <x v="0"/>
  </r>
  <r>
    <x v="0"/>
  </r>
  <r>
    <x v="0"/>
  </r>
  <r>
    <x v="0"/>
  </r>
  <r>
    <x v="1"/>
  </r>
  <r>
    <x v="2"/>
  </r>
  <r>
    <x v="2"/>
  </r>
  <r>
    <x v="2"/>
  </r>
  <r>
    <x v="3"/>
  </r>
  <r>
    <x v="4"/>
  </r>
  <r>
    <x v="4"/>
  </r>
  <r>
    <x v="4"/>
  </r>
  <r>
    <x v="5"/>
  </r>
  <r>
    <x v="5"/>
  </r>
  <r>
    <x v="6"/>
  </r>
  <r>
    <x v="7"/>
  </r>
  <r>
    <x v="7"/>
  </r>
  <r>
    <x v="8"/>
  </r>
  <r>
    <x v="6"/>
  </r>
  <r>
    <x v="9"/>
  </r>
  <r>
    <x v="9"/>
  </r>
  <r>
    <x v="9"/>
  </r>
  <r>
    <x v="9"/>
  </r>
  <r>
    <x v="9"/>
  </r>
  <r>
    <x v="9"/>
  </r>
  <r>
    <x v="9"/>
  </r>
  <r>
    <x v="9"/>
  </r>
  <r>
    <x v="9"/>
  </r>
  <r>
    <x v="10"/>
  </r>
  <r>
    <x v="10"/>
  </r>
  <r>
    <x v="10"/>
  </r>
  <r>
    <x v="10"/>
  </r>
  <r>
    <x v="0"/>
  </r>
  <r>
    <x v="0"/>
  </r>
  <r>
    <x v="0"/>
  </r>
  <r>
    <x v="0"/>
  </r>
  <r>
    <x v="0"/>
  </r>
  <r>
    <x v="0"/>
  </r>
  <r>
    <x v="0"/>
  </r>
  <r>
    <x v="0"/>
  </r>
  <r>
    <x v="11"/>
  </r>
  <r>
    <x v="11"/>
  </r>
  <r>
    <x v="12"/>
  </r>
  <r>
    <x v="13"/>
  </r>
  <r>
    <x v="5"/>
  </r>
  <r>
    <x v="5"/>
  </r>
  <r>
    <x v="14"/>
  </r>
  <r>
    <x v="11"/>
  </r>
  <r>
    <x v="11"/>
  </r>
  <r>
    <x v="10"/>
  </r>
  <r>
    <x v="15"/>
  </r>
  <r>
    <x v="15"/>
  </r>
  <r>
    <x v="15"/>
  </r>
  <r>
    <x v="15"/>
  </r>
  <r>
    <x v="15"/>
  </r>
  <r>
    <x v="15"/>
  </r>
  <r>
    <x v="15"/>
  </r>
  <r>
    <x v="15"/>
  </r>
  <r>
    <x v="15"/>
  </r>
  <r>
    <x v="15"/>
  </r>
  <r>
    <x v="16"/>
  </r>
  <r>
    <x v="16"/>
  </r>
  <r>
    <x v="16"/>
  </r>
  <r>
    <x v="16"/>
  </r>
  <r>
    <x v="16"/>
  </r>
  <r>
    <x v="16"/>
  </r>
  <r>
    <x v="16"/>
  </r>
  <r>
    <x v="16"/>
  </r>
  <r>
    <x v="16"/>
  </r>
  <r>
    <x v="17"/>
  </r>
  <r>
    <x v="17"/>
  </r>
  <r>
    <x v="17"/>
  </r>
  <r>
    <x v="17"/>
  </r>
  <r>
    <x v="17"/>
  </r>
  <r>
    <x v="17"/>
  </r>
  <r>
    <x v="17"/>
  </r>
  <r>
    <x v="17"/>
  </r>
  <r>
    <x v="17"/>
  </r>
  <r>
    <x v="17"/>
  </r>
  <r>
    <x v="17"/>
  </r>
  <r>
    <x v="17"/>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2"/>
  </r>
  <r>
    <x v="12"/>
  </r>
  <r>
    <x v="9"/>
  </r>
  <r>
    <x v="18"/>
  </r>
  <r>
    <x v="19"/>
  </r>
  <r>
    <x v="20"/>
  </r>
  <r>
    <x v="18"/>
  </r>
  <r>
    <x v="19"/>
  </r>
  <r>
    <x v="16"/>
  </r>
  <r>
    <x v="21"/>
  </r>
  <r>
    <x v="21"/>
  </r>
  <r>
    <x v="7"/>
  </r>
  <r>
    <x v="22"/>
  </r>
  <r>
    <x v="23"/>
  </r>
  <r>
    <x v="14"/>
  </r>
  <r>
    <x v="9"/>
  </r>
  <r>
    <x v="24"/>
  </r>
  <r>
    <x v="14"/>
  </r>
  <r>
    <x v="23"/>
  </r>
  <r>
    <x v="25"/>
  </r>
  <r>
    <x v="25"/>
  </r>
  <r>
    <x v="11"/>
  </r>
  <r>
    <x v="26"/>
  </r>
  <r>
    <x v="11"/>
  </r>
  <r>
    <x v="26"/>
  </r>
  <r>
    <x v="27"/>
  </r>
  <r>
    <x v="23"/>
  </r>
  <r>
    <x v="11"/>
  </r>
  <r>
    <x v="26"/>
  </r>
  <r>
    <x v="8"/>
  </r>
  <r>
    <x v="28"/>
  </r>
  <r>
    <x v="29"/>
  </r>
  <r>
    <x v="27"/>
  </r>
  <r>
    <x v="27"/>
  </r>
  <r>
    <x v="12"/>
  </r>
  <r>
    <x v="12"/>
  </r>
  <r>
    <x v="12"/>
  </r>
  <r>
    <x v="12"/>
  </r>
  <r>
    <x v="15"/>
  </r>
  <r>
    <x v="15"/>
  </r>
  <r>
    <x v="15"/>
  </r>
  <r>
    <x v="15"/>
  </r>
  <r>
    <x v="30"/>
  </r>
  <r>
    <x v="12"/>
  </r>
  <r>
    <x v="12"/>
  </r>
  <r>
    <x v="13"/>
  </r>
  <r>
    <x v="12"/>
  </r>
  <r>
    <x v="12"/>
  </r>
  <r>
    <x v="12"/>
  </r>
  <r>
    <x v="5"/>
  </r>
  <r>
    <x v="5"/>
  </r>
  <r>
    <x v="5"/>
  </r>
  <r>
    <x v="5"/>
  </r>
  <r>
    <x v="5"/>
  </r>
  <r>
    <x v="5"/>
  </r>
  <r>
    <x v="5"/>
  </r>
  <r>
    <x v="5"/>
  </r>
  <r>
    <x v="5"/>
  </r>
  <r>
    <x v="5"/>
  </r>
  <r>
    <x v="5"/>
  </r>
  <r>
    <x v="5"/>
  </r>
  <r>
    <x v="5"/>
  </r>
  <r>
    <x v="5"/>
  </r>
  <r>
    <x v="5"/>
  </r>
  <r>
    <x v="5"/>
  </r>
  <r>
    <x v="5"/>
  </r>
  <r>
    <x v="5"/>
  </r>
  <r>
    <x v="22"/>
  </r>
  <r>
    <x v="22"/>
  </r>
  <r>
    <x v="22"/>
  </r>
  <r>
    <x v="11"/>
  </r>
  <r>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0" dataCaption="Значения" missingCaption="" updatedVersion="4" minRefreshableVersion="3" createdVersion="4" indent="0" outline="1" outlineData="1" multipleFieldFilters="0">
  <location ref="A3:C38" firstHeaderRow="0" firstDataRow="1" firstDataCol="1"/>
  <pivotFields count="13">
    <pivotField axis="axisRow" multipleItemSelectionAllowed="1" showAll="0">
      <items count="3">
        <item x="0"/>
        <item x="1"/>
        <item t="default"/>
      </items>
    </pivotField>
    <pivotField axis="axisRow" multipleItemSelectionAllowed="1" showAll="0">
      <items count="4">
        <item x="0"/>
        <item x="1"/>
        <item x="2"/>
        <item t="default"/>
      </items>
    </pivotField>
    <pivotField axis="axisRow" multipleItemSelectionAllowed="1" showAll="0">
      <items count="5">
        <item x="0"/>
        <item x="1"/>
        <item x="2"/>
        <item x="3"/>
        <item t="default"/>
      </items>
    </pivotField>
    <pivotField showAll="0"/>
    <pivotField showAll="0"/>
    <pivotField axis="axisRow" multipleItemSelectionAllowed="1" showAll="0" defaultSubtotal="0">
      <items count="7">
        <item x="0"/>
        <item x="1"/>
        <item x="2"/>
        <item x="3"/>
        <item x="4"/>
        <item x="5"/>
        <item x="6"/>
      </items>
    </pivotField>
    <pivotField axis="axisRow" multipleItemSelectionAllowed="1" showAll="0" defaultSubtotal="0">
      <items count="2">
        <item x="0"/>
        <item x="1"/>
      </items>
    </pivotField>
    <pivotField showAll="0"/>
    <pivotField showAll="0"/>
    <pivotField showAll="0"/>
    <pivotField showAll="0"/>
    <pivotField dataField="1" showAll="0"/>
    <pivotField dataField="1" numFmtId="165" showAll="0"/>
  </pivotFields>
  <rowFields count="5">
    <field x="0"/>
    <field x="1"/>
    <field x="2"/>
    <field x="6"/>
    <field x="5"/>
  </rowFields>
  <rowItems count="35">
    <i>
      <x/>
    </i>
    <i r="1">
      <x v="2"/>
    </i>
    <i r="2">
      <x v="3"/>
    </i>
    <i r="3">
      <x v="1"/>
    </i>
    <i r="4">
      <x v="6"/>
    </i>
    <i>
      <x v="1"/>
    </i>
    <i r="1">
      <x/>
    </i>
    <i r="2">
      <x/>
    </i>
    <i r="3">
      <x/>
    </i>
    <i r="4">
      <x v="2"/>
    </i>
    <i r="4">
      <x v="3"/>
    </i>
    <i r="4">
      <x v="4"/>
    </i>
    <i r="2">
      <x v="1"/>
    </i>
    <i r="3">
      <x/>
    </i>
    <i r="4">
      <x v="1"/>
    </i>
    <i r="2">
      <x v="2"/>
    </i>
    <i r="3">
      <x/>
    </i>
    <i r="4">
      <x/>
    </i>
    <i r="4">
      <x v="2"/>
    </i>
    <i r="4">
      <x v="5"/>
    </i>
    <i r="1">
      <x v="1"/>
    </i>
    <i r="2">
      <x/>
    </i>
    <i r="3">
      <x/>
    </i>
    <i r="4">
      <x v="2"/>
    </i>
    <i r="4">
      <x v="3"/>
    </i>
    <i r="4">
      <x v="4"/>
    </i>
    <i r="2">
      <x v="1"/>
    </i>
    <i r="3">
      <x/>
    </i>
    <i r="4">
      <x v="1"/>
    </i>
    <i r="2">
      <x v="2"/>
    </i>
    <i r="3">
      <x/>
    </i>
    <i r="4">
      <x/>
    </i>
    <i r="4">
      <x v="2"/>
    </i>
    <i r="4">
      <x v="5"/>
    </i>
    <i t="grand">
      <x/>
    </i>
  </rowItems>
  <colFields count="1">
    <field x="-2"/>
  </colFields>
  <colItems count="2">
    <i>
      <x/>
    </i>
    <i i="1">
      <x v="1"/>
    </i>
  </colItems>
  <dataFields count="2">
    <dataField name="Сумма по полю Сумма" fld="12" baseField="0" baseItem="0" numFmtId="165"/>
    <dataField name="Сумма по полю ЧД" fld="11" baseField="2" baseItem="2"/>
  </dataFields>
  <formats count="1">
    <format dxfId="3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Сводная таблица1" cacheId="1"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location ref="A3:B35" firstHeaderRow="1" firstDataRow="1" firstDataCol="1"/>
  <pivotFields count="1">
    <pivotField axis="axisRow" dataField="1" showAll="0">
      <items count="38">
        <item x="11"/>
        <item x="26"/>
        <item x="14"/>
        <item x="3"/>
        <item x="0"/>
        <item x="4"/>
        <item x="22"/>
        <item x="21"/>
        <item x="27"/>
        <item x="5"/>
        <item m="1" x="34"/>
        <item x="10"/>
        <item x="1"/>
        <item x="25"/>
        <item x="30"/>
        <item x="2"/>
        <item m="1" x="36"/>
        <item x="23"/>
        <item m="1" x="31"/>
        <item x="8"/>
        <item x="19"/>
        <item x="24"/>
        <item x="28"/>
        <item m="1" x="33"/>
        <item x="9"/>
        <item x="20"/>
        <item x="7"/>
        <item m="1" x="32"/>
        <item x="13"/>
        <item x="6"/>
        <item x="29"/>
        <item x="12"/>
        <item x="16"/>
        <item x="15"/>
        <item m="1" x="35"/>
        <item x="17"/>
        <item x="18"/>
        <item t="default"/>
      </items>
    </pivotField>
  </pivotFields>
  <rowFields count="1">
    <field x="0"/>
  </rowFields>
  <rowItems count="32">
    <i>
      <x/>
    </i>
    <i>
      <x v="1"/>
    </i>
    <i>
      <x v="2"/>
    </i>
    <i>
      <x v="3"/>
    </i>
    <i>
      <x v="4"/>
    </i>
    <i>
      <x v="5"/>
    </i>
    <i>
      <x v="6"/>
    </i>
    <i>
      <x v="7"/>
    </i>
    <i>
      <x v="8"/>
    </i>
    <i>
      <x v="9"/>
    </i>
    <i>
      <x v="11"/>
    </i>
    <i>
      <x v="12"/>
    </i>
    <i>
      <x v="13"/>
    </i>
    <i>
      <x v="14"/>
    </i>
    <i>
      <x v="15"/>
    </i>
    <i>
      <x v="17"/>
    </i>
    <i>
      <x v="19"/>
    </i>
    <i>
      <x v="20"/>
    </i>
    <i>
      <x v="21"/>
    </i>
    <i>
      <x v="22"/>
    </i>
    <i>
      <x v="24"/>
    </i>
    <i>
      <x v="25"/>
    </i>
    <i>
      <x v="26"/>
    </i>
    <i>
      <x v="28"/>
    </i>
    <i>
      <x v="29"/>
    </i>
    <i>
      <x v="30"/>
    </i>
    <i>
      <x v="31"/>
    </i>
    <i>
      <x v="32"/>
    </i>
    <i>
      <x v="33"/>
    </i>
    <i>
      <x v="35"/>
    </i>
    <i>
      <x v="36"/>
    </i>
    <i t="grand">
      <x/>
    </i>
  </rowItems>
  <colItems count="1">
    <i/>
  </colItems>
  <dataFields count="1">
    <dataField name="Количество по полю Департамент"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majorFont>
      <a:minorFont>
        <a:latin typeface="Calibri"/>
        <a:ea typeface=""/>
        <a:cs typeface=""/>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1047;&#1072;&#1076;&#1072;&#1095;&#1080;\2027\&#1054;&#1094;&#1077;&#1085;&#1082;&#1080;\&#1054;&#1087;&#1077;&#1088;&#1072;&#1094;&#1080;&#1086;&#1085;&#1085;&#1099;&#1077;%20&#1088;&#1080;&#1089;&#1082;&#1080;" TargetMode="Externa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3:C38"/>
  <sheetViews>
    <sheetView workbookViewId="0"/>
  </sheetViews>
  <sheetFormatPr defaultColWidth="9.109375" defaultRowHeight="14.4" x14ac:dyDescent="0.3"/>
  <cols>
    <col min="1" max="1" width="53.5546875" bestFit="1" customWidth="1"/>
    <col min="2" max="2" width="22.5546875" customWidth="1"/>
    <col min="3" max="3" width="18.88671875" customWidth="1"/>
    <col min="4" max="5" width="22.44140625" bestFit="1" customWidth="1"/>
    <col min="6" max="6" width="22.44140625" customWidth="1"/>
  </cols>
  <sheetData>
    <row r="3" spans="1:3" x14ac:dyDescent="0.3">
      <c r="A3" t="s">
        <v>921</v>
      </c>
      <c r="B3" t="s">
        <v>931</v>
      </c>
      <c r="C3" t="s">
        <v>932</v>
      </c>
    </row>
    <row r="4" spans="1:3" x14ac:dyDescent="0.3">
      <c r="A4" s="6" t="s">
        <v>933</v>
      </c>
      <c r="B4" s="3">
        <v>0</v>
      </c>
    </row>
    <row r="5" spans="1:3" x14ac:dyDescent="0.3">
      <c r="A5" s="1" t="s">
        <v>933</v>
      </c>
      <c r="B5" s="3">
        <v>0</v>
      </c>
    </row>
    <row r="6" spans="1:3" x14ac:dyDescent="0.3">
      <c r="A6" s="5" t="s">
        <v>933</v>
      </c>
      <c r="B6" s="3">
        <v>0</v>
      </c>
    </row>
    <row r="7" spans="1:3" x14ac:dyDescent="0.3">
      <c r="A7" s="2" t="s">
        <v>933</v>
      </c>
      <c r="B7" s="3"/>
    </row>
    <row r="8" spans="1:3" x14ac:dyDescent="0.3">
      <c r="A8" s="4" t="s">
        <v>933</v>
      </c>
      <c r="B8" s="3">
        <v>0</v>
      </c>
    </row>
    <row r="9" spans="1:3" x14ac:dyDescent="0.3">
      <c r="A9" s="6">
        <v>2270</v>
      </c>
      <c r="B9" s="3">
        <v>17561544</v>
      </c>
      <c r="C9">
        <v>620</v>
      </c>
    </row>
    <row r="10" spans="1:3" x14ac:dyDescent="0.3">
      <c r="A10" s="1" t="s">
        <v>934</v>
      </c>
      <c r="B10" s="3">
        <v>8780772</v>
      </c>
      <c r="C10">
        <v>310</v>
      </c>
    </row>
    <row r="11" spans="1:3" x14ac:dyDescent="0.3">
      <c r="A11" s="5" t="s">
        <v>680</v>
      </c>
      <c r="B11" s="3">
        <v>3023724.8</v>
      </c>
      <c r="C11">
        <v>90</v>
      </c>
    </row>
    <row r="12" spans="1:3" x14ac:dyDescent="0.3">
      <c r="A12" s="2" t="s">
        <v>935</v>
      </c>
      <c r="B12" s="3"/>
    </row>
    <row r="13" spans="1:3" x14ac:dyDescent="0.3">
      <c r="A13" s="4" t="s">
        <v>936</v>
      </c>
      <c r="B13" s="3">
        <v>1776768</v>
      </c>
      <c r="C13">
        <v>60</v>
      </c>
    </row>
    <row r="14" spans="1:3" x14ac:dyDescent="0.3">
      <c r="A14" s="4" t="s">
        <v>937</v>
      </c>
      <c r="B14" s="3">
        <v>746956.80000000005</v>
      </c>
      <c r="C14">
        <v>30</v>
      </c>
    </row>
    <row r="15" spans="1:3" x14ac:dyDescent="0.3">
      <c r="A15" s="4" t="s">
        <v>938</v>
      </c>
      <c r="B15" s="3">
        <v>500000</v>
      </c>
    </row>
    <row r="16" spans="1:3" x14ac:dyDescent="0.3">
      <c r="A16" s="5" t="s">
        <v>202</v>
      </c>
      <c r="B16" s="3">
        <v>3598893.6</v>
      </c>
      <c r="C16">
        <v>120</v>
      </c>
    </row>
    <row r="17" spans="1:3" x14ac:dyDescent="0.3">
      <c r="A17" s="2" t="s">
        <v>935</v>
      </c>
      <c r="B17" s="3"/>
    </row>
    <row r="18" spans="1:3" x14ac:dyDescent="0.3">
      <c r="A18" s="4" t="s">
        <v>939</v>
      </c>
      <c r="B18" s="3">
        <v>3598893.6</v>
      </c>
      <c r="C18">
        <v>120</v>
      </c>
    </row>
    <row r="19" spans="1:3" x14ac:dyDescent="0.3">
      <c r="A19" s="5" t="s">
        <v>682</v>
      </c>
      <c r="B19" s="3">
        <v>2158153.5999999996</v>
      </c>
      <c r="C19">
        <v>100</v>
      </c>
    </row>
    <row r="20" spans="1:3" x14ac:dyDescent="0.3">
      <c r="A20" s="2" t="s">
        <v>935</v>
      </c>
      <c r="B20" s="3"/>
    </row>
    <row r="21" spans="1:3" x14ac:dyDescent="0.3">
      <c r="A21" s="4" t="s">
        <v>940</v>
      </c>
      <c r="B21" s="3">
        <v>724782.4</v>
      </c>
      <c r="C21">
        <v>20</v>
      </c>
    </row>
    <row r="22" spans="1:3" x14ac:dyDescent="0.3">
      <c r="A22" s="4" t="s">
        <v>936</v>
      </c>
      <c r="B22" s="3">
        <v>646908.79999999993</v>
      </c>
      <c r="C22">
        <v>40</v>
      </c>
    </row>
    <row r="23" spans="1:3" x14ac:dyDescent="0.3">
      <c r="A23" s="4" t="s">
        <v>941</v>
      </c>
      <c r="B23" s="3">
        <v>786462.39999999991</v>
      </c>
      <c r="C23">
        <v>40</v>
      </c>
    </row>
    <row r="24" spans="1:3" x14ac:dyDescent="0.3">
      <c r="A24" s="1" t="s">
        <v>942</v>
      </c>
      <c r="B24" s="3">
        <v>8780772</v>
      </c>
      <c r="C24">
        <v>310</v>
      </c>
    </row>
    <row r="25" spans="1:3" x14ac:dyDescent="0.3">
      <c r="A25" s="5" t="s">
        <v>680</v>
      </c>
      <c r="B25" s="3">
        <v>3023724.8</v>
      </c>
      <c r="C25">
        <v>90</v>
      </c>
    </row>
    <row r="26" spans="1:3" x14ac:dyDescent="0.3">
      <c r="A26" s="2" t="s">
        <v>935</v>
      </c>
      <c r="B26" s="3"/>
    </row>
    <row r="27" spans="1:3" x14ac:dyDescent="0.3">
      <c r="A27" s="4" t="s">
        <v>936</v>
      </c>
      <c r="B27" s="3">
        <v>1776768</v>
      </c>
      <c r="C27">
        <v>60</v>
      </c>
    </row>
    <row r="28" spans="1:3" x14ac:dyDescent="0.3">
      <c r="A28" s="4" t="s">
        <v>937</v>
      </c>
      <c r="B28" s="3">
        <v>746956.80000000005</v>
      </c>
      <c r="C28">
        <v>30</v>
      </c>
    </row>
    <row r="29" spans="1:3" x14ac:dyDescent="0.3">
      <c r="A29" s="4" t="s">
        <v>938</v>
      </c>
      <c r="B29" s="3">
        <v>500000</v>
      </c>
    </row>
    <row r="30" spans="1:3" x14ac:dyDescent="0.3">
      <c r="A30" s="5" t="s">
        <v>202</v>
      </c>
      <c r="B30" s="3">
        <v>3598893.6</v>
      </c>
      <c r="C30">
        <v>120</v>
      </c>
    </row>
    <row r="31" spans="1:3" x14ac:dyDescent="0.3">
      <c r="A31" s="2" t="s">
        <v>935</v>
      </c>
      <c r="B31" s="3"/>
    </row>
    <row r="32" spans="1:3" x14ac:dyDescent="0.3">
      <c r="A32" s="4" t="s">
        <v>939</v>
      </c>
      <c r="B32" s="3">
        <v>3598893.6</v>
      </c>
      <c r="C32">
        <v>120</v>
      </c>
    </row>
    <row r="33" spans="1:3" x14ac:dyDescent="0.3">
      <c r="A33" s="5" t="s">
        <v>682</v>
      </c>
      <c r="B33" s="3">
        <v>2158153.5999999996</v>
      </c>
      <c r="C33">
        <v>100</v>
      </c>
    </row>
    <row r="34" spans="1:3" x14ac:dyDescent="0.3">
      <c r="A34" s="2" t="s">
        <v>935</v>
      </c>
      <c r="B34" s="3"/>
    </row>
    <row r="35" spans="1:3" x14ac:dyDescent="0.3">
      <c r="A35" s="4" t="s">
        <v>940</v>
      </c>
      <c r="B35" s="3">
        <v>724782.4</v>
      </c>
      <c r="C35">
        <v>20</v>
      </c>
    </row>
    <row r="36" spans="1:3" x14ac:dyDescent="0.3">
      <c r="A36" s="4" t="s">
        <v>936</v>
      </c>
      <c r="B36" s="3">
        <v>646908.79999999993</v>
      </c>
      <c r="C36">
        <v>40</v>
      </c>
    </row>
    <row r="37" spans="1:3" x14ac:dyDescent="0.3">
      <c r="A37" s="4" t="s">
        <v>941</v>
      </c>
      <c r="B37" s="3">
        <v>786462.39999999991</v>
      </c>
      <c r="C37">
        <v>40</v>
      </c>
    </row>
    <row r="38" spans="1:3" x14ac:dyDescent="0.3">
      <c r="A38" s="6" t="s">
        <v>930</v>
      </c>
      <c r="B38" s="3">
        <v>17561544</v>
      </c>
      <c r="C38">
        <v>620</v>
      </c>
    </row>
  </sheetData>
  <sheetProtection algorithmName="SHA-512" hashValue="5vtDYe2al//jZGAUfyvluARlzMhbkzcBLGRXU+CRxbz6osdByjmp+dDAm2EQEcZ5cft9Lr+r+I9bcufPBAwDzw==" saltValue="mguw/piHoU8KFGr87Uo/ZA==" spinCount="100000" sheet="1" objects="1" scenarios="1"/>
  <pageMargins left="0.70000004768371582" right="0.70000004768371582" top="0.75" bottom="0.75" header="0.30000001192092896" footer="0.300000011920928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3"/>
  <sheetViews>
    <sheetView workbookViewId="0"/>
  </sheetViews>
  <sheetFormatPr defaultColWidth="9.109375" defaultRowHeight="14.4" x14ac:dyDescent="0.3"/>
  <cols>
    <col min="1" max="1" width="116.33203125" style="7" customWidth="1"/>
  </cols>
  <sheetData>
    <row r="1" spans="1:1" ht="31.2" x14ac:dyDescent="0.3">
      <c r="A1" s="8" t="s">
        <v>0</v>
      </c>
    </row>
    <row r="2" spans="1:1" x14ac:dyDescent="0.3">
      <c r="A2" s="9" t="s">
        <v>2</v>
      </c>
    </row>
    <row r="3" spans="1:1" x14ac:dyDescent="0.3">
      <c r="A3" s="9" t="s">
        <v>5</v>
      </c>
    </row>
    <row r="4" spans="1:1" x14ac:dyDescent="0.3">
      <c r="A4" s="10" t="s">
        <v>10</v>
      </c>
    </row>
    <row r="5" spans="1:1" x14ac:dyDescent="0.3">
      <c r="A5" s="10"/>
    </row>
    <row r="6" spans="1:1" ht="31.2" x14ac:dyDescent="0.3">
      <c r="A6" s="8" t="s">
        <v>13</v>
      </c>
    </row>
    <row r="7" spans="1:1" x14ac:dyDescent="0.3">
      <c r="A7" s="10" t="s">
        <v>17</v>
      </c>
    </row>
    <row r="8" spans="1:1" x14ac:dyDescent="0.3">
      <c r="A8" s="9" t="s">
        <v>21</v>
      </c>
    </row>
    <row r="9" spans="1:1" x14ac:dyDescent="0.3">
      <c r="A9" s="9" t="s">
        <v>25</v>
      </c>
    </row>
    <row r="10" spans="1:1" x14ac:dyDescent="0.3">
      <c r="A10" s="9" t="s">
        <v>29</v>
      </c>
    </row>
    <row r="11" spans="1:1" x14ac:dyDescent="0.3">
      <c r="A11" s="10" t="s">
        <v>4</v>
      </c>
    </row>
    <row r="12" spans="1:1" x14ac:dyDescent="0.3">
      <c r="A12" s="9" t="s">
        <v>9</v>
      </c>
    </row>
    <row r="13" spans="1:1" x14ac:dyDescent="0.3">
      <c r="A13" s="10" t="s">
        <v>15</v>
      </c>
    </row>
    <row r="14" spans="1:1" x14ac:dyDescent="0.3">
      <c r="A14" s="9" t="s">
        <v>20</v>
      </c>
    </row>
    <row r="15" spans="1:1" x14ac:dyDescent="0.3">
      <c r="A15" s="10" t="s">
        <v>24</v>
      </c>
    </row>
    <row r="16" spans="1:1" x14ac:dyDescent="0.3">
      <c r="A16" s="9" t="s">
        <v>23</v>
      </c>
    </row>
    <row r="17" spans="1:1" x14ac:dyDescent="0.3">
      <c r="A17" s="10" t="s">
        <v>26</v>
      </c>
    </row>
    <row r="18" spans="1:1" x14ac:dyDescent="0.3">
      <c r="A18" s="9" t="s">
        <v>30</v>
      </c>
    </row>
    <row r="19" spans="1:1" x14ac:dyDescent="0.3">
      <c r="A19" s="10" t="s">
        <v>31</v>
      </c>
    </row>
    <row r="20" spans="1:1" x14ac:dyDescent="0.3">
      <c r="A20" s="9" t="s">
        <v>36</v>
      </c>
    </row>
    <row r="21" spans="1:1" x14ac:dyDescent="0.3">
      <c r="A21" s="9"/>
    </row>
    <row r="22" spans="1:1" x14ac:dyDescent="0.3">
      <c r="A22" s="9" t="s">
        <v>1</v>
      </c>
    </row>
    <row r="23" spans="1:1" x14ac:dyDescent="0.3">
      <c r="A23" s="9"/>
    </row>
    <row r="24" spans="1:1" ht="62.4" x14ac:dyDescent="0.3">
      <c r="A24" s="8" t="s">
        <v>6</v>
      </c>
    </row>
    <row r="25" spans="1:1" x14ac:dyDescent="0.3">
      <c r="A25" s="10" t="s">
        <v>12</v>
      </c>
    </row>
    <row r="26" spans="1:1" x14ac:dyDescent="0.3">
      <c r="A26" s="9" t="s">
        <v>18</v>
      </c>
    </row>
    <row r="27" spans="1:1" x14ac:dyDescent="0.3">
      <c r="A27" s="10" t="s">
        <v>8</v>
      </c>
    </row>
    <row r="28" spans="1:1" x14ac:dyDescent="0.3">
      <c r="A28" s="9" t="s">
        <v>16</v>
      </c>
    </row>
    <row r="29" spans="1:1" x14ac:dyDescent="0.3">
      <c r="A29" s="10" t="s">
        <v>22</v>
      </c>
    </row>
    <row r="30" spans="1:1" x14ac:dyDescent="0.3">
      <c r="A30" s="9" t="s">
        <v>27</v>
      </c>
    </row>
    <row r="31" spans="1:1" x14ac:dyDescent="0.3">
      <c r="A31" s="10" t="s">
        <v>32</v>
      </c>
    </row>
    <row r="32" spans="1:1" x14ac:dyDescent="0.3">
      <c r="A32" s="9" t="s">
        <v>35</v>
      </c>
    </row>
    <row r="33" spans="1:1" x14ac:dyDescent="0.3">
      <c r="A33" s="10" t="s">
        <v>3</v>
      </c>
    </row>
    <row r="34" spans="1:1" x14ac:dyDescent="0.3">
      <c r="A34" s="9" t="s">
        <v>7</v>
      </c>
    </row>
    <row r="35" spans="1:1" x14ac:dyDescent="0.3">
      <c r="A35" s="10" t="s">
        <v>11</v>
      </c>
    </row>
    <row r="36" spans="1:1" x14ac:dyDescent="0.3">
      <c r="A36" s="9" t="s">
        <v>14</v>
      </c>
    </row>
    <row r="37" spans="1:1" x14ac:dyDescent="0.3">
      <c r="A37" s="10" t="s">
        <v>19</v>
      </c>
    </row>
    <row r="38" spans="1:1" x14ac:dyDescent="0.3">
      <c r="A38" s="9" t="s">
        <v>28</v>
      </c>
    </row>
    <row r="39" spans="1:1" x14ac:dyDescent="0.3">
      <c r="A39" s="9" t="s">
        <v>34</v>
      </c>
    </row>
    <row r="40" spans="1:1" x14ac:dyDescent="0.3">
      <c r="A40" s="9" t="s">
        <v>38</v>
      </c>
    </row>
    <row r="41" spans="1:1" x14ac:dyDescent="0.3">
      <c r="A41" s="10" t="s">
        <v>33</v>
      </c>
    </row>
    <row r="42" spans="1:1" x14ac:dyDescent="0.3">
      <c r="A42" s="9" t="s">
        <v>37</v>
      </c>
    </row>
    <row r="43" spans="1:1" x14ac:dyDescent="0.3">
      <c r="A43" s="9"/>
    </row>
  </sheetData>
  <pageMargins left="0.70000004768371582" right="0.70000004768371582" top="0.75" bottom="0.75" header="0.30000001192092896" footer="0.30000001192092896"/>
  <pageSetup paperSize="9" fitToWidth="0" fitToHeight="0"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Z682"/>
  <sheetViews>
    <sheetView tabSelected="1" zoomScaleNormal="100" workbookViewId="0">
      <pane xSplit="1" ySplit="4" topLeftCell="B540" activePane="bottomRight" state="frozen"/>
      <selection pane="topRight"/>
      <selection pane="bottomLeft"/>
      <selection pane="bottomRight" activeCell="G629" sqref="G629"/>
    </sheetView>
  </sheetViews>
  <sheetFormatPr defaultColWidth="9.109375" defaultRowHeight="79.95" customHeight="1" x14ac:dyDescent="0.2"/>
  <cols>
    <col min="1" max="1" width="4.109375" style="11" customWidth="1"/>
    <col min="2" max="3" width="22.109375" style="11" customWidth="1"/>
    <col min="4" max="4" width="26" style="11" customWidth="1"/>
    <col min="5" max="5" width="23.33203125" style="11" customWidth="1"/>
    <col min="6" max="6" width="17.44140625" style="12" bestFit="1" customWidth="1"/>
    <col min="7" max="7" width="15.5546875" style="13" customWidth="1"/>
    <col min="8" max="8" width="25.109375" style="11" customWidth="1"/>
    <col min="9" max="9" width="28.6640625" style="11" customWidth="1"/>
    <col min="10" max="10" width="15.109375" style="12" customWidth="1"/>
    <col min="11" max="11" width="18.33203125" style="13" customWidth="1"/>
    <col min="12" max="12" width="14.6640625" style="13" customWidth="1"/>
    <col min="13" max="13" width="18" style="13" customWidth="1"/>
    <col min="14" max="14" width="19.33203125" style="13" customWidth="1"/>
    <col min="15" max="16" width="17.44140625" style="13" customWidth="1"/>
    <col min="17" max="17" width="15.6640625" style="11" customWidth="1"/>
    <col min="18" max="18" width="14.33203125" style="11" customWidth="1"/>
    <col min="19" max="19" width="22.6640625" style="11" customWidth="1"/>
    <col min="20" max="20" width="13.33203125" style="11" bestFit="1" customWidth="1"/>
    <col min="21" max="22" width="12.109375" style="11" customWidth="1"/>
    <col min="23" max="23" width="15.44140625" style="11" customWidth="1"/>
    <col min="24" max="25" width="12.109375" style="11" customWidth="1"/>
    <col min="26" max="51" width="11" style="14" customWidth="1"/>
    <col min="52" max="52" width="9.109375" style="11" bestFit="1" customWidth="1"/>
    <col min="53" max="16384" width="9.109375" style="11"/>
  </cols>
  <sheetData>
    <row r="1" spans="1:52" ht="10.199999999999999" x14ac:dyDescent="0.2">
      <c r="A1" s="15"/>
      <c r="Z1" s="17">
        <v>9</v>
      </c>
      <c r="AA1" s="17">
        <v>10</v>
      </c>
      <c r="AB1" s="17">
        <v>10</v>
      </c>
      <c r="AC1" s="17">
        <v>10</v>
      </c>
      <c r="AD1" s="17">
        <v>10</v>
      </c>
      <c r="AE1" s="17">
        <v>10</v>
      </c>
      <c r="AF1" s="17">
        <v>10</v>
      </c>
      <c r="AG1" s="17">
        <v>10</v>
      </c>
      <c r="AH1" s="17">
        <v>10</v>
      </c>
      <c r="AI1" s="17">
        <v>10</v>
      </c>
      <c r="AJ1" s="17">
        <v>10</v>
      </c>
      <c r="AK1" s="17">
        <v>10</v>
      </c>
      <c r="AL1" s="17">
        <v>10</v>
      </c>
      <c r="AM1" s="17">
        <v>10</v>
      </c>
      <c r="AN1" s="17">
        <v>10</v>
      </c>
      <c r="AO1" s="17">
        <v>10</v>
      </c>
      <c r="AP1" s="17">
        <v>10</v>
      </c>
      <c r="AQ1" s="17">
        <v>10</v>
      </c>
      <c r="AR1" s="17">
        <v>10</v>
      </c>
      <c r="AS1" s="17">
        <v>10</v>
      </c>
      <c r="AT1" s="17">
        <v>10</v>
      </c>
      <c r="AU1" s="17">
        <v>10</v>
      </c>
      <c r="AV1" s="17">
        <v>10</v>
      </c>
      <c r="AW1" s="17">
        <v>10</v>
      </c>
      <c r="AX1" s="17">
        <v>10</v>
      </c>
      <c r="AY1" s="20">
        <v>10</v>
      </c>
    </row>
    <row r="2" spans="1:52" ht="10.199999999999999" x14ac:dyDescent="0.2">
      <c r="A2" s="21"/>
      <c r="B2" s="22"/>
      <c r="C2" s="22"/>
      <c r="D2" s="22"/>
      <c r="E2" s="22"/>
      <c r="F2" s="23"/>
      <c r="G2" s="22"/>
      <c r="H2" s="21"/>
      <c r="I2" s="21"/>
      <c r="J2" s="24"/>
      <c r="K2" s="22"/>
      <c r="L2" s="22"/>
      <c r="M2" s="22"/>
      <c r="N2" s="22"/>
      <c r="O2" s="22"/>
      <c r="P2" s="22"/>
      <c r="Q2" s="21"/>
      <c r="R2" s="21"/>
      <c r="S2" s="21"/>
      <c r="Z2" s="220" t="s">
        <v>39</v>
      </c>
      <c r="AA2" s="221"/>
      <c r="AB2" s="222"/>
      <c r="AC2" s="223"/>
      <c r="AD2" s="224"/>
      <c r="AE2" s="225"/>
      <c r="AF2" s="226"/>
      <c r="AG2" s="227" t="s">
        <v>40</v>
      </c>
      <c r="AH2" s="228"/>
      <c r="AI2" s="229"/>
      <c r="AJ2" s="230"/>
      <c r="AK2" s="231"/>
      <c r="AL2" s="232"/>
      <c r="AM2" s="193" t="s">
        <v>41</v>
      </c>
      <c r="AN2" s="194"/>
      <c r="AO2" s="195"/>
      <c r="AP2" s="196"/>
      <c r="AQ2" s="197"/>
      <c r="AR2" s="198"/>
      <c r="AS2" s="199" t="s">
        <v>42</v>
      </c>
      <c r="AT2" s="200"/>
      <c r="AU2" s="201"/>
      <c r="AV2" s="202"/>
      <c r="AW2" s="203"/>
      <c r="AX2" s="204"/>
      <c r="AY2" s="205"/>
      <c r="AZ2" s="25">
        <v>2028</v>
      </c>
    </row>
    <row r="3" spans="1:52" ht="79.95" customHeight="1" x14ac:dyDescent="0.2">
      <c r="A3" s="21"/>
      <c r="B3" s="26" t="s">
        <v>43</v>
      </c>
      <c r="C3" s="26"/>
      <c r="D3" s="26"/>
      <c r="E3" s="238" t="s">
        <v>44</v>
      </c>
      <c r="F3" s="239"/>
      <c r="G3" s="26"/>
      <c r="H3" s="27"/>
      <c r="I3" s="26" t="s">
        <v>45</v>
      </c>
      <c r="J3" s="28" t="s">
        <v>46</v>
      </c>
      <c r="K3" s="26"/>
      <c r="L3" s="26" t="s">
        <v>46</v>
      </c>
      <c r="M3" s="26" t="s">
        <v>46</v>
      </c>
      <c r="N3" s="26" t="s">
        <v>46</v>
      </c>
      <c r="O3" s="26" t="s">
        <v>46</v>
      </c>
      <c r="P3" s="26" t="s">
        <v>46</v>
      </c>
      <c r="Q3" s="26" t="s">
        <v>46</v>
      </c>
      <c r="R3" s="29"/>
      <c r="S3" s="26" t="s">
        <v>46</v>
      </c>
      <c r="T3" s="206" t="s">
        <v>47</v>
      </c>
      <c r="U3" s="207"/>
      <c r="V3" s="208"/>
      <c r="W3" s="209"/>
      <c r="Z3" s="30" t="s">
        <v>48</v>
      </c>
      <c r="AA3" s="30" t="s">
        <v>49</v>
      </c>
      <c r="AB3" s="30" t="s">
        <v>50</v>
      </c>
      <c r="AC3" s="30" t="s">
        <v>51</v>
      </c>
      <c r="AD3" s="30" t="s">
        <v>52</v>
      </c>
      <c r="AE3" s="30" t="s">
        <v>53</v>
      </c>
      <c r="AF3" s="30" t="s">
        <v>54</v>
      </c>
      <c r="AG3" s="30" t="s">
        <v>49</v>
      </c>
      <c r="AH3" s="30" t="s">
        <v>50</v>
      </c>
      <c r="AI3" s="30" t="s">
        <v>51</v>
      </c>
      <c r="AJ3" s="30" t="s">
        <v>52</v>
      </c>
      <c r="AK3" s="30" t="s">
        <v>53</v>
      </c>
      <c r="AL3" s="30" t="s">
        <v>54</v>
      </c>
      <c r="AM3" s="30" t="s">
        <v>49</v>
      </c>
      <c r="AN3" s="30" t="s">
        <v>50</v>
      </c>
      <c r="AO3" s="30" t="s">
        <v>51</v>
      </c>
      <c r="AP3" s="30" t="s">
        <v>52</v>
      </c>
      <c r="AQ3" s="30" t="s">
        <v>53</v>
      </c>
      <c r="AR3" s="30" t="s">
        <v>54</v>
      </c>
      <c r="AS3" s="30" t="s">
        <v>49</v>
      </c>
      <c r="AT3" s="30" t="s">
        <v>50</v>
      </c>
      <c r="AU3" s="30" t="s">
        <v>51</v>
      </c>
      <c r="AV3" s="30" t="s">
        <v>52</v>
      </c>
      <c r="AW3" s="30" t="s">
        <v>53</v>
      </c>
      <c r="AX3" s="30" t="s">
        <v>54</v>
      </c>
      <c r="AY3" s="30" t="s">
        <v>55</v>
      </c>
      <c r="AZ3" s="30" t="s">
        <v>56</v>
      </c>
    </row>
    <row r="4" spans="1:52" s="14" customFormat="1" ht="79.95" customHeight="1" x14ac:dyDescent="0.2">
      <c r="A4" s="31" t="s">
        <v>57</v>
      </c>
      <c r="B4" s="124" t="s">
        <v>58</v>
      </c>
      <c r="C4" s="122" t="s">
        <v>761</v>
      </c>
      <c r="D4" s="32" t="s">
        <v>59</v>
      </c>
      <c r="E4" s="32" t="s">
        <v>60</v>
      </c>
      <c r="F4" s="33" t="s">
        <v>61</v>
      </c>
      <c r="G4" s="32" t="s">
        <v>62</v>
      </c>
      <c r="H4" s="32" t="s">
        <v>63</v>
      </c>
      <c r="I4" s="32" t="s">
        <v>64</v>
      </c>
      <c r="J4" s="33" t="s">
        <v>65</v>
      </c>
      <c r="K4" s="34" t="s">
        <v>66</v>
      </c>
      <c r="L4" s="34" t="s">
        <v>67</v>
      </c>
      <c r="M4" s="34" t="s">
        <v>68</v>
      </c>
      <c r="N4" s="34" t="s">
        <v>69</v>
      </c>
      <c r="O4" s="34" t="s">
        <v>70</v>
      </c>
      <c r="P4" s="34" t="s">
        <v>71</v>
      </c>
      <c r="Q4" s="35" t="s">
        <v>72</v>
      </c>
      <c r="R4" s="35" t="s">
        <v>73</v>
      </c>
      <c r="S4" s="35" t="s">
        <v>74</v>
      </c>
      <c r="T4" s="36" t="s">
        <v>75</v>
      </c>
      <c r="U4" s="36" t="s">
        <v>76</v>
      </c>
      <c r="V4" s="36" t="s">
        <v>77</v>
      </c>
      <c r="W4" s="37" t="s">
        <v>78</v>
      </c>
      <c r="X4" s="38" t="s">
        <v>79</v>
      </c>
      <c r="Y4" s="39" t="s">
        <v>80</v>
      </c>
      <c r="Z4" s="30" t="s">
        <v>81</v>
      </c>
      <c r="AA4" s="30" t="s">
        <v>82</v>
      </c>
      <c r="AB4" s="30" t="s">
        <v>83</v>
      </c>
      <c r="AC4" s="30" t="s">
        <v>84</v>
      </c>
      <c r="AD4" s="30" t="s">
        <v>85</v>
      </c>
      <c r="AE4" s="30" t="s">
        <v>86</v>
      </c>
      <c r="AF4" s="30" t="s">
        <v>87</v>
      </c>
      <c r="AG4" s="30" t="s">
        <v>88</v>
      </c>
      <c r="AH4" s="30" t="s">
        <v>89</v>
      </c>
      <c r="AI4" s="30" t="s">
        <v>90</v>
      </c>
      <c r="AJ4" s="30" t="s">
        <v>91</v>
      </c>
      <c r="AK4" s="30" t="s">
        <v>92</v>
      </c>
      <c r="AL4" s="30" t="s">
        <v>93</v>
      </c>
      <c r="AM4" s="30" t="s">
        <v>94</v>
      </c>
      <c r="AN4" s="30" t="s">
        <v>95</v>
      </c>
      <c r="AO4" s="30" t="s">
        <v>96</v>
      </c>
      <c r="AP4" s="30" t="s">
        <v>97</v>
      </c>
      <c r="AQ4" s="30" t="s">
        <v>98</v>
      </c>
      <c r="AR4" s="30" t="s">
        <v>99</v>
      </c>
      <c r="AS4" s="30" t="s">
        <v>100</v>
      </c>
      <c r="AT4" s="30" t="s">
        <v>101</v>
      </c>
      <c r="AU4" s="30" t="s">
        <v>102</v>
      </c>
      <c r="AV4" s="30" t="s">
        <v>103</v>
      </c>
      <c r="AW4" s="30" t="s">
        <v>104</v>
      </c>
      <c r="AX4" s="30" t="s">
        <v>105</v>
      </c>
      <c r="AY4" s="30" t="s">
        <v>106</v>
      </c>
      <c r="AZ4" s="30" t="s">
        <v>107</v>
      </c>
    </row>
    <row r="5" spans="1:52" ht="79.95" customHeight="1" x14ac:dyDescent="0.3">
      <c r="A5" s="40">
        <v>1</v>
      </c>
      <c r="B5" s="125"/>
      <c r="C5" s="123" t="s">
        <v>814</v>
      </c>
      <c r="D5" s="120" t="s">
        <v>108</v>
      </c>
      <c r="E5" s="120" t="s">
        <v>109</v>
      </c>
      <c r="F5" s="52" t="s">
        <v>110</v>
      </c>
      <c r="G5" s="128"/>
      <c r="H5" s="42" t="s">
        <v>111</v>
      </c>
      <c r="I5" s="43" t="s">
        <v>112</v>
      </c>
      <c r="J5" s="128" t="s">
        <v>113</v>
      </c>
      <c r="K5" s="128"/>
      <c r="L5" s="128"/>
      <c r="M5" s="128"/>
      <c r="N5" s="128"/>
      <c r="O5" s="128"/>
      <c r="P5" s="128"/>
      <c r="Q5" s="120" t="s">
        <v>108</v>
      </c>
      <c r="R5" s="41"/>
      <c r="S5" s="41"/>
      <c r="T5" s="41"/>
      <c r="U5" s="41"/>
      <c r="V5" s="41"/>
      <c r="W5" s="44"/>
      <c r="X5" s="18"/>
      <c r="Y5" s="44"/>
      <c r="Z5" s="45"/>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0"/>
    </row>
    <row r="6" spans="1:52" ht="79.95" customHeight="1" x14ac:dyDescent="0.3">
      <c r="A6" s="40">
        <v>2</v>
      </c>
      <c r="B6" s="125"/>
      <c r="C6" s="123" t="s">
        <v>814</v>
      </c>
      <c r="D6" s="120" t="s">
        <v>108</v>
      </c>
      <c r="E6" s="120" t="s">
        <v>114</v>
      </c>
      <c r="F6" s="52" t="s">
        <v>110</v>
      </c>
      <c r="G6" s="128"/>
      <c r="H6" s="42" t="s">
        <v>115</v>
      </c>
      <c r="I6" s="43" t="s">
        <v>116</v>
      </c>
      <c r="J6" s="128" t="s">
        <v>113</v>
      </c>
      <c r="K6" s="128"/>
      <c r="L6" s="128"/>
      <c r="M6" s="128"/>
      <c r="N6" s="128"/>
      <c r="O6" s="128"/>
      <c r="P6" s="128"/>
      <c r="Q6" s="120" t="s">
        <v>108</v>
      </c>
      <c r="R6" s="41"/>
      <c r="S6" s="41"/>
      <c r="T6" s="41"/>
      <c r="U6" s="41"/>
      <c r="V6" s="41"/>
      <c r="W6" s="44"/>
      <c r="X6" s="18"/>
      <c r="Y6" s="44"/>
      <c r="Z6" s="45"/>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0"/>
    </row>
    <row r="7" spans="1:52" ht="79.95" customHeight="1" x14ac:dyDescent="0.3">
      <c r="A7" s="40">
        <v>3</v>
      </c>
      <c r="B7" s="125"/>
      <c r="C7" s="123" t="s">
        <v>814</v>
      </c>
      <c r="D7" s="120" t="s">
        <v>108</v>
      </c>
      <c r="E7" s="120" t="s">
        <v>117</v>
      </c>
      <c r="F7" s="52" t="s">
        <v>110</v>
      </c>
      <c r="G7" s="128"/>
      <c r="H7" s="42" t="s">
        <v>118</v>
      </c>
      <c r="I7" s="43" t="s">
        <v>119</v>
      </c>
      <c r="J7" s="128" t="s">
        <v>113</v>
      </c>
      <c r="K7" s="128"/>
      <c r="L7" s="128"/>
      <c r="M7" s="128"/>
      <c r="N7" s="128"/>
      <c r="O7" s="128"/>
      <c r="P7" s="128"/>
      <c r="Q7" s="120" t="s">
        <v>108</v>
      </c>
      <c r="R7" s="41"/>
      <c r="S7" s="41"/>
      <c r="T7" s="41"/>
      <c r="U7" s="41"/>
      <c r="V7" s="41"/>
      <c r="W7" s="44"/>
      <c r="X7" s="18"/>
      <c r="Y7" s="44"/>
      <c r="Z7" s="45"/>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0"/>
    </row>
    <row r="8" spans="1:52" ht="79.95" customHeight="1" x14ac:dyDescent="0.3">
      <c r="A8" s="40">
        <v>4</v>
      </c>
      <c r="B8" s="125"/>
      <c r="C8" s="123" t="s">
        <v>814</v>
      </c>
      <c r="D8" s="120" t="s">
        <v>108</v>
      </c>
      <c r="E8" s="120" t="s">
        <v>120</v>
      </c>
      <c r="F8" s="52" t="s">
        <v>110</v>
      </c>
      <c r="G8" s="128"/>
      <c r="H8" s="42" t="s">
        <v>121</v>
      </c>
      <c r="I8" s="43" t="s">
        <v>122</v>
      </c>
      <c r="J8" s="128" t="s">
        <v>113</v>
      </c>
      <c r="K8" s="128"/>
      <c r="L8" s="128"/>
      <c r="M8" s="128"/>
      <c r="N8" s="128"/>
      <c r="O8" s="128"/>
      <c r="P8" s="128"/>
      <c r="Q8" s="120" t="s">
        <v>108</v>
      </c>
      <c r="R8" s="41"/>
      <c r="S8" s="41"/>
      <c r="T8" s="41"/>
      <c r="U8" s="41"/>
      <c r="V8" s="41"/>
      <c r="W8" s="44"/>
      <c r="X8" s="18"/>
      <c r="Y8" s="44"/>
      <c r="Z8" s="45"/>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0"/>
    </row>
    <row r="9" spans="1:52" ht="79.95" customHeight="1" x14ac:dyDescent="0.3">
      <c r="A9" s="40">
        <v>5</v>
      </c>
      <c r="B9" s="125"/>
      <c r="C9" s="123" t="s">
        <v>814</v>
      </c>
      <c r="D9" s="120" t="s">
        <v>108</v>
      </c>
      <c r="E9" s="120" t="s">
        <v>123</v>
      </c>
      <c r="F9" s="52" t="s">
        <v>110</v>
      </c>
      <c r="G9" s="128"/>
      <c r="H9" s="42" t="s">
        <v>124</v>
      </c>
      <c r="I9" s="43" t="s">
        <v>125</v>
      </c>
      <c r="J9" s="128" t="s">
        <v>113</v>
      </c>
      <c r="K9" s="128"/>
      <c r="L9" s="128"/>
      <c r="M9" s="128"/>
      <c r="N9" s="128"/>
      <c r="O9" s="128"/>
      <c r="P9" s="128"/>
      <c r="Q9" s="120" t="s">
        <v>108</v>
      </c>
      <c r="R9" s="41"/>
      <c r="S9" s="41"/>
      <c r="T9" s="41"/>
      <c r="U9" s="41"/>
      <c r="V9" s="41"/>
      <c r="W9" s="44"/>
      <c r="X9" s="18"/>
      <c r="Y9" s="44"/>
      <c r="Z9" s="45"/>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0"/>
    </row>
    <row r="10" spans="1:52" ht="79.95" customHeight="1" x14ac:dyDescent="0.3">
      <c r="A10" s="40">
        <v>6</v>
      </c>
      <c r="B10" s="125"/>
      <c r="C10" s="123" t="s">
        <v>814</v>
      </c>
      <c r="D10" s="120" t="s">
        <v>108</v>
      </c>
      <c r="E10" s="120" t="s">
        <v>126</v>
      </c>
      <c r="F10" s="52" t="s">
        <v>110</v>
      </c>
      <c r="G10" s="128"/>
      <c r="H10" s="42" t="s">
        <v>127</v>
      </c>
      <c r="I10" s="43" t="s">
        <v>128</v>
      </c>
      <c r="J10" s="128" t="s">
        <v>113</v>
      </c>
      <c r="K10" s="128"/>
      <c r="L10" s="128"/>
      <c r="M10" s="128"/>
      <c r="N10" s="128"/>
      <c r="O10" s="128"/>
      <c r="P10" s="128"/>
      <c r="Q10" s="120" t="s">
        <v>108</v>
      </c>
      <c r="R10" s="41"/>
      <c r="S10" s="41"/>
      <c r="T10" s="41"/>
      <c r="U10" s="41"/>
      <c r="V10" s="41"/>
      <c r="W10" s="44"/>
      <c r="X10" s="18"/>
      <c r="Y10" s="44"/>
      <c r="Z10" s="45"/>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0"/>
    </row>
    <row r="11" spans="1:52" ht="79.95" customHeight="1" x14ac:dyDescent="0.3">
      <c r="A11" s="40">
        <v>7</v>
      </c>
      <c r="B11" s="125"/>
      <c r="C11" s="123" t="s">
        <v>820</v>
      </c>
      <c r="D11" s="120" t="s">
        <v>108</v>
      </c>
      <c r="E11" s="120" t="s">
        <v>129</v>
      </c>
      <c r="F11" s="52" t="s">
        <v>130</v>
      </c>
      <c r="G11" s="128"/>
      <c r="H11" s="42" t="s">
        <v>131</v>
      </c>
      <c r="I11" s="43" t="s">
        <v>132</v>
      </c>
      <c r="J11" s="128" t="s">
        <v>113</v>
      </c>
      <c r="K11" s="128"/>
      <c r="L11" s="128"/>
      <c r="M11" s="128"/>
      <c r="N11" s="128"/>
      <c r="O11" s="128"/>
      <c r="P11" s="128"/>
      <c r="Q11" s="120" t="s">
        <v>108</v>
      </c>
      <c r="R11" s="41"/>
      <c r="S11" s="41"/>
      <c r="T11" s="41"/>
      <c r="U11" s="41"/>
      <c r="V11" s="41"/>
      <c r="W11" s="44"/>
      <c r="X11" s="18"/>
      <c r="Y11" s="44"/>
      <c r="Z11" s="45"/>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0"/>
    </row>
    <row r="12" spans="1:52" ht="79.95" customHeight="1" x14ac:dyDescent="0.3">
      <c r="A12" s="40">
        <v>8</v>
      </c>
      <c r="B12" s="125"/>
      <c r="C12" s="123" t="s">
        <v>949</v>
      </c>
      <c r="D12" s="120" t="s">
        <v>108</v>
      </c>
      <c r="E12" s="120" t="s">
        <v>133</v>
      </c>
      <c r="F12" s="52" t="s">
        <v>134</v>
      </c>
      <c r="G12" s="128"/>
      <c r="H12" s="42" t="s">
        <v>135</v>
      </c>
      <c r="I12" s="43" t="s">
        <v>136</v>
      </c>
      <c r="J12" s="128" t="s">
        <v>113</v>
      </c>
      <c r="K12" s="128"/>
      <c r="L12" s="128"/>
      <c r="M12" s="128"/>
      <c r="N12" s="128"/>
      <c r="O12" s="128"/>
      <c r="P12" s="128"/>
      <c r="Q12" s="120" t="s">
        <v>108</v>
      </c>
      <c r="R12" s="41"/>
      <c r="S12" s="41"/>
      <c r="T12" s="41"/>
      <c r="U12" s="41"/>
      <c r="V12" s="41"/>
      <c r="W12" s="44"/>
      <c r="X12" s="18"/>
      <c r="Y12" s="44"/>
      <c r="Z12" s="45"/>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0"/>
    </row>
    <row r="13" spans="1:52" ht="79.95" customHeight="1" x14ac:dyDescent="0.3">
      <c r="A13" s="40">
        <v>9</v>
      </c>
      <c r="B13" s="125"/>
      <c r="C13" s="123" t="s">
        <v>949</v>
      </c>
      <c r="D13" s="120" t="s">
        <v>108</v>
      </c>
      <c r="E13" s="120" t="s">
        <v>133</v>
      </c>
      <c r="F13" s="52" t="s">
        <v>134</v>
      </c>
      <c r="G13" s="128"/>
      <c r="H13" s="42" t="s">
        <v>137</v>
      </c>
      <c r="I13" s="43" t="s">
        <v>138</v>
      </c>
      <c r="J13" s="128" t="s">
        <v>113</v>
      </c>
      <c r="K13" s="128"/>
      <c r="L13" s="128"/>
      <c r="M13" s="128"/>
      <c r="N13" s="128"/>
      <c r="O13" s="128"/>
      <c r="P13" s="128"/>
      <c r="Q13" s="120" t="s">
        <v>108</v>
      </c>
      <c r="R13" s="41"/>
      <c r="S13" s="41"/>
      <c r="T13" s="41"/>
      <c r="U13" s="41"/>
      <c r="V13" s="41"/>
      <c r="W13" s="44"/>
      <c r="X13" s="18"/>
      <c r="Y13" s="44"/>
      <c r="Z13" s="45"/>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0"/>
    </row>
    <row r="14" spans="1:52" ht="79.95" customHeight="1" x14ac:dyDescent="0.3">
      <c r="A14" s="40">
        <v>10</v>
      </c>
      <c r="B14" s="125"/>
      <c r="C14" s="123" t="s">
        <v>949</v>
      </c>
      <c r="D14" s="120" t="s">
        <v>108</v>
      </c>
      <c r="E14" s="120" t="s">
        <v>133</v>
      </c>
      <c r="F14" s="52" t="s">
        <v>134</v>
      </c>
      <c r="G14" s="128"/>
      <c r="H14" s="42" t="s">
        <v>139</v>
      </c>
      <c r="I14" s="43" t="s">
        <v>140</v>
      </c>
      <c r="J14" s="128" t="s">
        <v>113</v>
      </c>
      <c r="K14" s="128"/>
      <c r="L14" s="128"/>
      <c r="M14" s="128"/>
      <c r="N14" s="128"/>
      <c r="O14" s="128"/>
      <c r="P14" s="128"/>
      <c r="Q14" s="120" t="s">
        <v>108</v>
      </c>
      <c r="R14" s="41"/>
      <c r="S14" s="41"/>
      <c r="T14" s="41"/>
      <c r="U14" s="41"/>
      <c r="V14" s="41"/>
      <c r="W14" s="44"/>
      <c r="X14" s="18"/>
      <c r="Y14" s="44"/>
      <c r="Z14" s="45"/>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0"/>
    </row>
    <row r="15" spans="1:52" ht="79.95" customHeight="1" x14ac:dyDescent="0.3">
      <c r="A15" s="40">
        <v>11</v>
      </c>
      <c r="B15" s="125"/>
      <c r="C15" s="123" t="s">
        <v>142</v>
      </c>
      <c r="D15" s="120" t="s">
        <v>108</v>
      </c>
      <c r="E15" s="120" t="s">
        <v>141</v>
      </c>
      <c r="F15" s="52" t="s">
        <v>142</v>
      </c>
      <c r="G15" s="128"/>
      <c r="H15" s="42" t="s">
        <v>143</v>
      </c>
      <c r="I15" s="43" t="s">
        <v>144</v>
      </c>
      <c r="J15" s="128" t="s">
        <v>113</v>
      </c>
      <c r="K15" s="128"/>
      <c r="L15" s="128"/>
      <c r="M15" s="128"/>
      <c r="N15" s="128"/>
      <c r="O15" s="128"/>
      <c r="P15" s="128"/>
      <c r="Q15" s="120" t="s">
        <v>108</v>
      </c>
      <c r="R15" s="41"/>
      <c r="S15" s="41"/>
      <c r="T15" s="41"/>
      <c r="U15" s="41"/>
      <c r="V15" s="41"/>
      <c r="W15" s="44"/>
      <c r="X15" s="18"/>
      <c r="Y15" s="44"/>
      <c r="Z15" s="45"/>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0"/>
    </row>
    <row r="16" spans="1:52" ht="79.95" customHeight="1" x14ac:dyDescent="0.3">
      <c r="A16" s="40">
        <v>12</v>
      </c>
      <c r="B16" s="125"/>
      <c r="C16" s="123" t="s">
        <v>822</v>
      </c>
      <c r="D16" s="120" t="s">
        <v>108</v>
      </c>
      <c r="E16" s="120" t="s">
        <v>145</v>
      </c>
      <c r="F16" s="52" t="s">
        <v>110</v>
      </c>
      <c r="G16" s="128"/>
      <c r="H16" s="42" t="s">
        <v>146</v>
      </c>
      <c r="I16" s="43" t="s">
        <v>147</v>
      </c>
      <c r="J16" s="128" t="s">
        <v>113</v>
      </c>
      <c r="K16" s="128"/>
      <c r="L16" s="128"/>
      <c r="M16" s="128"/>
      <c r="N16" s="128"/>
      <c r="O16" s="128"/>
      <c r="P16" s="128"/>
      <c r="Q16" s="120" t="s">
        <v>108</v>
      </c>
      <c r="R16" s="41"/>
      <c r="S16" s="41"/>
      <c r="T16" s="41"/>
      <c r="U16" s="41"/>
      <c r="V16" s="41"/>
      <c r="W16" s="44"/>
      <c r="X16" s="18"/>
      <c r="Y16" s="44"/>
      <c r="Z16" s="45"/>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0"/>
    </row>
    <row r="17" spans="1:52" ht="79.95" customHeight="1" x14ac:dyDescent="0.3">
      <c r="A17" s="40">
        <v>13</v>
      </c>
      <c r="B17" s="125"/>
      <c r="C17" s="123" t="s">
        <v>822</v>
      </c>
      <c r="D17" s="120" t="s">
        <v>108</v>
      </c>
      <c r="E17" s="120" t="s">
        <v>148</v>
      </c>
      <c r="F17" s="52" t="s">
        <v>110</v>
      </c>
      <c r="G17" s="128"/>
      <c r="H17" s="42" t="s">
        <v>149</v>
      </c>
      <c r="I17" s="43" t="s">
        <v>150</v>
      </c>
      <c r="J17" s="128" t="s">
        <v>113</v>
      </c>
      <c r="K17" s="128"/>
      <c r="L17" s="128"/>
      <c r="M17" s="128"/>
      <c r="N17" s="128"/>
      <c r="O17" s="128"/>
      <c r="P17" s="128"/>
      <c r="Q17" s="120" t="s">
        <v>108</v>
      </c>
      <c r="R17" s="41"/>
      <c r="S17" s="41"/>
      <c r="T17" s="41"/>
      <c r="U17" s="41"/>
      <c r="V17" s="41"/>
      <c r="W17" s="44"/>
      <c r="X17" s="18"/>
      <c r="Y17" s="44"/>
      <c r="Z17" s="45"/>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0"/>
    </row>
    <row r="18" spans="1:52" ht="79.95" customHeight="1" x14ac:dyDescent="0.3">
      <c r="A18" s="40">
        <v>14</v>
      </c>
      <c r="B18" s="125"/>
      <c r="C18" s="123" t="s">
        <v>822</v>
      </c>
      <c r="D18" s="120" t="s">
        <v>108</v>
      </c>
      <c r="E18" s="120" t="s">
        <v>151</v>
      </c>
      <c r="F18" s="52" t="s">
        <v>130</v>
      </c>
      <c r="G18" s="128"/>
      <c r="H18" s="42" t="s">
        <v>152</v>
      </c>
      <c r="I18" s="43" t="s">
        <v>153</v>
      </c>
      <c r="J18" s="128" t="s">
        <v>113</v>
      </c>
      <c r="K18" s="128"/>
      <c r="L18" s="128"/>
      <c r="M18" s="128"/>
      <c r="N18" s="128"/>
      <c r="O18" s="128"/>
      <c r="P18" s="128"/>
      <c r="Q18" s="120" t="s">
        <v>108</v>
      </c>
      <c r="R18" s="41"/>
      <c r="S18" s="41"/>
      <c r="T18" s="41"/>
      <c r="U18" s="41"/>
      <c r="V18" s="41"/>
      <c r="W18" s="44"/>
      <c r="X18" s="18"/>
      <c r="Y18" s="44"/>
      <c r="Z18" s="45"/>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0"/>
    </row>
    <row r="19" spans="1:52" ht="79.95" customHeight="1" x14ac:dyDescent="0.3">
      <c r="A19" s="40">
        <v>15</v>
      </c>
      <c r="B19" s="125"/>
      <c r="C19" s="123" t="s">
        <v>953</v>
      </c>
      <c r="D19" s="120" t="s">
        <v>108</v>
      </c>
      <c r="E19" s="120" t="s">
        <v>154</v>
      </c>
      <c r="F19" s="52" t="s">
        <v>130</v>
      </c>
      <c r="G19" s="128"/>
      <c r="H19" s="42" t="s">
        <v>155</v>
      </c>
      <c r="I19" s="43" t="s">
        <v>156</v>
      </c>
      <c r="J19" s="128" t="s">
        <v>113</v>
      </c>
      <c r="K19" s="128"/>
      <c r="L19" s="128"/>
      <c r="M19" s="128"/>
      <c r="N19" s="128"/>
      <c r="O19" s="128"/>
      <c r="P19" s="128"/>
      <c r="Q19" s="120" t="s">
        <v>108</v>
      </c>
      <c r="R19" s="41"/>
      <c r="S19" s="41"/>
      <c r="T19" s="41"/>
      <c r="U19" s="41"/>
      <c r="V19" s="41"/>
      <c r="W19" s="44"/>
      <c r="X19" s="18"/>
      <c r="Y19" s="44"/>
      <c r="Z19" s="45"/>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0"/>
    </row>
    <row r="20" spans="1:52" ht="79.95" customHeight="1" x14ac:dyDescent="0.3">
      <c r="A20" s="40">
        <v>16</v>
      </c>
      <c r="B20" s="125"/>
      <c r="C20" s="123" t="s">
        <v>953</v>
      </c>
      <c r="D20" s="120" t="s">
        <v>108</v>
      </c>
      <c r="E20" s="120" t="s">
        <v>154</v>
      </c>
      <c r="F20" s="52" t="s">
        <v>130</v>
      </c>
      <c r="G20" s="128"/>
      <c r="H20" s="42" t="s">
        <v>157</v>
      </c>
      <c r="I20" s="43" t="s">
        <v>158</v>
      </c>
      <c r="J20" s="128" t="s">
        <v>113</v>
      </c>
      <c r="K20" s="128"/>
      <c r="L20" s="128"/>
      <c r="M20" s="128"/>
      <c r="N20" s="128"/>
      <c r="O20" s="128"/>
      <c r="P20" s="128"/>
      <c r="Q20" s="120" t="s">
        <v>108</v>
      </c>
      <c r="R20" s="41"/>
      <c r="S20" s="41"/>
      <c r="T20" s="41"/>
      <c r="U20" s="41"/>
      <c r="V20" s="41"/>
      <c r="W20" s="44"/>
      <c r="X20" s="18"/>
      <c r="Y20" s="44"/>
      <c r="Z20" s="45"/>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0"/>
    </row>
    <row r="21" spans="1:52" ht="79.95" customHeight="1" x14ac:dyDescent="0.3">
      <c r="A21" s="40">
        <v>17</v>
      </c>
      <c r="B21" s="125"/>
      <c r="C21" s="123" t="s">
        <v>947</v>
      </c>
      <c r="D21" s="120" t="s">
        <v>108</v>
      </c>
      <c r="E21" s="120" t="s">
        <v>159</v>
      </c>
      <c r="F21" s="52" t="s">
        <v>130</v>
      </c>
      <c r="G21" s="128"/>
      <c r="H21" s="42" t="s">
        <v>160</v>
      </c>
      <c r="I21" s="43" t="s">
        <v>161</v>
      </c>
      <c r="J21" s="128" t="s">
        <v>113</v>
      </c>
      <c r="K21" s="128"/>
      <c r="L21" s="128"/>
      <c r="M21" s="128"/>
      <c r="N21" s="128"/>
      <c r="O21" s="128"/>
      <c r="P21" s="128"/>
      <c r="Q21" s="120" t="s">
        <v>108</v>
      </c>
      <c r="R21" s="41"/>
      <c r="S21" s="41"/>
      <c r="T21" s="41"/>
      <c r="U21" s="41"/>
      <c r="V21" s="41"/>
      <c r="W21" s="44"/>
      <c r="X21" s="18"/>
      <c r="Y21" s="44"/>
      <c r="Z21" s="45"/>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0"/>
    </row>
    <row r="22" spans="1:52" ht="79.95" customHeight="1" x14ac:dyDescent="0.3">
      <c r="A22" s="40">
        <v>18</v>
      </c>
      <c r="B22" s="125"/>
      <c r="C22" s="123" t="s">
        <v>944</v>
      </c>
      <c r="D22" s="120" t="s">
        <v>108</v>
      </c>
      <c r="E22" s="120" t="s">
        <v>162</v>
      </c>
      <c r="F22" s="52" t="s">
        <v>130</v>
      </c>
      <c r="G22" s="128"/>
      <c r="H22" s="42" t="s">
        <v>163</v>
      </c>
      <c r="I22" s="43" t="s">
        <v>164</v>
      </c>
      <c r="J22" s="128" t="s">
        <v>113</v>
      </c>
      <c r="K22" s="128"/>
      <c r="L22" s="128"/>
      <c r="M22" s="128"/>
      <c r="N22" s="128"/>
      <c r="O22" s="128"/>
      <c r="P22" s="128"/>
      <c r="Q22" s="120" t="s">
        <v>108</v>
      </c>
      <c r="R22" s="41"/>
      <c r="S22" s="41"/>
      <c r="T22" s="41"/>
      <c r="U22" s="41"/>
      <c r="V22" s="41"/>
      <c r="W22" s="44"/>
      <c r="X22" s="18"/>
      <c r="Y22" s="44"/>
      <c r="Z22" s="45"/>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0"/>
    </row>
    <row r="23" spans="1:52" ht="79.95" customHeight="1" x14ac:dyDescent="0.3">
      <c r="A23" s="40">
        <v>19</v>
      </c>
      <c r="B23" s="125"/>
      <c r="C23" s="123" t="s">
        <v>944</v>
      </c>
      <c r="D23" s="120" t="s">
        <v>108</v>
      </c>
      <c r="E23" s="120" t="s">
        <v>165</v>
      </c>
      <c r="F23" s="52" t="s">
        <v>110</v>
      </c>
      <c r="G23" s="128"/>
      <c r="H23" s="42" t="s">
        <v>166</v>
      </c>
      <c r="I23" s="43" t="s">
        <v>167</v>
      </c>
      <c r="J23" s="128" t="s">
        <v>168</v>
      </c>
      <c r="K23" s="128"/>
      <c r="L23" s="128"/>
      <c r="M23" s="128"/>
      <c r="N23" s="128"/>
      <c r="O23" s="128"/>
      <c r="P23" s="128"/>
      <c r="Q23" s="120" t="s">
        <v>108</v>
      </c>
      <c r="R23" s="41"/>
      <c r="S23" s="41"/>
      <c r="T23" s="41"/>
      <c r="U23" s="41"/>
      <c r="V23" s="41"/>
      <c r="W23" s="44"/>
      <c r="X23" s="18"/>
      <c r="Y23" s="44"/>
      <c r="Z23" s="45"/>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0"/>
    </row>
    <row r="24" spans="1:52" ht="79.95" customHeight="1" x14ac:dyDescent="0.3">
      <c r="A24" s="40">
        <v>20</v>
      </c>
      <c r="B24" s="125"/>
      <c r="C24" s="123" t="s">
        <v>614</v>
      </c>
      <c r="D24" s="120" t="s">
        <v>108</v>
      </c>
      <c r="E24" s="120" t="s">
        <v>169</v>
      </c>
      <c r="F24" s="52" t="s">
        <v>130</v>
      </c>
      <c r="G24" s="128"/>
      <c r="H24" s="42" t="s">
        <v>170</v>
      </c>
      <c r="I24" s="43" t="s">
        <v>171</v>
      </c>
      <c r="J24" s="128" t="s">
        <v>168</v>
      </c>
      <c r="K24" s="128"/>
      <c r="L24" s="128"/>
      <c r="M24" s="128"/>
      <c r="N24" s="128"/>
      <c r="O24" s="128"/>
      <c r="P24" s="128"/>
      <c r="Q24" s="120" t="s">
        <v>108</v>
      </c>
      <c r="R24" s="41"/>
      <c r="S24" s="41"/>
      <c r="T24" s="41"/>
      <c r="U24" s="41"/>
      <c r="V24" s="41"/>
      <c r="W24" s="44"/>
      <c r="X24" s="18"/>
      <c r="Y24" s="44"/>
      <c r="Z24" s="45"/>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0"/>
    </row>
    <row r="25" spans="1:52" ht="79.95" customHeight="1" x14ac:dyDescent="0.3">
      <c r="A25" s="40">
        <v>21</v>
      </c>
      <c r="B25" s="125"/>
      <c r="C25" s="123" t="s">
        <v>947</v>
      </c>
      <c r="D25" s="120" t="s">
        <v>108</v>
      </c>
      <c r="E25" s="120" t="s">
        <v>172</v>
      </c>
      <c r="F25" s="52" t="s">
        <v>130</v>
      </c>
      <c r="G25" s="128"/>
      <c r="H25" s="42" t="s">
        <v>173</v>
      </c>
      <c r="I25" s="43" t="s">
        <v>174</v>
      </c>
      <c r="J25" s="128" t="s">
        <v>168</v>
      </c>
      <c r="K25" s="128"/>
      <c r="L25" s="128"/>
      <c r="M25" s="128"/>
      <c r="N25" s="128"/>
      <c r="O25" s="128"/>
      <c r="P25" s="128"/>
      <c r="Q25" s="120" t="s">
        <v>108</v>
      </c>
      <c r="R25" s="41"/>
      <c r="S25" s="41"/>
      <c r="T25" s="41"/>
      <c r="U25" s="41"/>
      <c r="V25" s="41"/>
      <c r="W25" s="44"/>
      <c r="X25" s="18"/>
      <c r="Y25" s="44"/>
      <c r="Z25" s="45"/>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0"/>
    </row>
    <row r="26" spans="1:52" ht="79.95" customHeight="1" x14ac:dyDescent="0.3">
      <c r="A26" s="40">
        <v>22</v>
      </c>
      <c r="B26" s="125"/>
      <c r="C26" s="123" t="s">
        <v>508</v>
      </c>
      <c r="D26" s="120" t="s">
        <v>108</v>
      </c>
      <c r="E26" s="120" t="s">
        <v>175</v>
      </c>
      <c r="F26" s="52" t="s">
        <v>134</v>
      </c>
      <c r="G26" s="128"/>
      <c r="H26" s="42" t="s">
        <v>176</v>
      </c>
      <c r="I26" s="43" t="s">
        <v>177</v>
      </c>
      <c r="J26" s="128" t="s">
        <v>168</v>
      </c>
      <c r="K26" s="128"/>
      <c r="L26" s="128"/>
      <c r="M26" s="128"/>
      <c r="N26" s="128"/>
      <c r="O26" s="128"/>
      <c r="P26" s="128"/>
      <c r="Q26" s="120" t="s">
        <v>108</v>
      </c>
      <c r="R26" s="41"/>
      <c r="S26" s="41"/>
      <c r="T26" s="41"/>
      <c r="U26" s="41"/>
      <c r="V26" s="41"/>
      <c r="W26" s="44"/>
      <c r="X26" s="18"/>
      <c r="Y26" s="44"/>
      <c r="Z26" s="45"/>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0"/>
    </row>
    <row r="27" spans="1:52" ht="79.95" customHeight="1" x14ac:dyDescent="0.3">
      <c r="A27" s="40">
        <v>23</v>
      </c>
      <c r="B27" s="125"/>
      <c r="C27" s="123" t="s">
        <v>508</v>
      </c>
      <c r="D27" s="120" t="s">
        <v>108</v>
      </c>
      <c r="E27" s="120" t="s">
        <v>175</v>
      </c>
      <c r="F27" s="52" t="s">
        <v>134</v>
      </c>
      <c r="G27" s="128"/>
      <c r="H27" s="42" t="s">
        <v>178</v>
      </c>
      <c r="I27" s="43" t="s">
        <v>179</v>
      </c>
      <c r="J27" s="128" t="s">
        <v>168</v>
      </c>
      <c r="K27" s="128"/>
      <c r="L27" s="128"/>
      <c r="M27" s="128"/>
      <c r="N27" s="128"/>
      <c r="O27" s="128"/>
      <c r="P27" s="128"/>
      <c r="Q27" s="120" t="s">
        <v>108</v>
      </c>
      <c r="R27" s="41"/>
      <c r="S27" s="41"/>
      <c r="T27" s="41"/>
      <c r="U27" s="41"/>
      <c r="V27" s="41"/>
      <c r="W27" s="44"/>
      <c r="X27" s="18"/>
      <c r="Y27" s="44"/>
      <c r="Z27" s="45"/>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0"/>
    </row>
    <row r="28" spans="1:52" ht="79.95" customHeight="1" x14ac:dyDescent="0.3">
      <c r="A28" s="40">
        <v>24</v>
      </c>
      <c r="B28" s="125"/>
      <c r="C28" s="123" t="s">
        <v>508</v>
      </c>
      <c r="D28" s="120" t="s">
        <v>108</v>
      </c>
      <c r="E28" s="120" t="s">
        <v>175</v>
      </c>
      <c r="F28" s="52" t="s">
        <v>134</v>
      </c>
      <c r="G28" s="128"/>
      <c r="H28" s="42" t="s">
        <v>180</v>
      </c>
      <c r="I28" s="43" t="s">
        <v>181</v>
      </c>
      <c r="J28" s="128" t="s">
        <v>168</v>
      </c>
      <c r="K28" s="128"/>
      <c r="L28" s="128"/>
      <c r="M28" s="128"/>
      <c r="N28" s="128"/>
      <c r="O28" s="128"/>
      <c r="P28" s="128"/>
      <c r="Q28" s="120" t="s">
        <v>108</v>
      </c>
      <c r="R28" s="41"/>
      <c r="S28" s="41"/>
      <c r="T28" s="41"/>
      <c r="U28" s="41"/>
      <c r="V28" s="41"/>
      <c r="W28" s="44"/>
      <c r="X28" s="18"/>
      <c r="Y28" s="44"/>
      <c r="Z28" s="45"/>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0"/>
    </row>
    <row r="29" spans="1:52" ht="79.95" customHeight="1" x14ac:dyDescent="0.3">
      <c r="A29" s="40">
        <v>25</v>
      </c>
      <c r="B29" s="125"/>
      <c r="C29" s="123" t="s">
        <v>508</v>
      </c>
      <c r="D29" s="120" t="s">
        <v>108</v>
      </c>
      <c r="E29" s="120" t="s">
        <v>175</v>
      </c>
      <c r="F29" s="52" t="s">
        <v>134</v>
      </c>
      <c r="G29" s="128"/>
      <c r="H29" s="42" t="s">
        <v>182</v>
      </c>
      <c r="I29" s="43" t="s">
        <v>183</v>
      </c>
      <c r="J29" s="128" t="s">
        <v>168</v>
      </c>
      <c r="K29" s="128"/>
      <c r="L29" s="128"/>
      <c r="M29" s="128"/>
      <c r="N29" s="128"/>
      <c r="O29" s="128"/>
      <c r="P29" s="128"/>
      <c r="Q29" s="120" t="s">
        <v>108</v>
      </c>
      <c r="R29" s="41"/>
      <c r="S29" s="41"/>
      <c r="T29" s="41"/>
      <c r="U29" s="41"/>
      <c r="V29" s="41"/>
      <c r="W29" s="44"/>
      <c r="X29" s="18"/>
      <c r="Y29" s="44"/>
      <c r="Z29" s="45"/>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0"/>
    </row>
    <row r="30" spans="1:52" ht="79.95" customHeight="1" x14ac:dyDescent="0.3">
      <c r="A30" s="40">
        <v>26</v>
      </c>
      <c r="B30" s="125"/>
      <c r="C30" s="123" t="s">
        <v>508</v>
      </c>
      <c r="D30" s="120" t="s">
        <v>108</v>
      </c>
      <c r="E30" s="120" t="s">
        <v>175</v>
      </c>
      <c r="F30" s="52" t="s">
        <v>134</v>
      </c>
      <c r="G30" s="128"/>
      <c r="H30" s="42" t="s">
        <v>184</v>
      </c>
      <c r="I30" s="43" t="s">
        <v>185</v>
      </c>
      <c r="J30" s="128" t="s">
        <v>168</v>
      </c>
      <c r="K30" s="128"/>
      <c r="L30" s="128"/>
      <c r="M30" s="128"/>
      <c r="N30" s="128"/>
      <c r="O30" s="128"/>
      <c r="P30" s="128"/>
      <c r="Q30" s="120" t="s">
        <v>108</v>
      </c>
      <c r="R30" s="41"/>
      <c r="S30" s="41"/>
      <c r="T30" s="41"/>
      <c r="U30" s="41"/>
      <c r="V30" s="41"/>
      <c r="W30" s="44"/>
      <c r="X30" s="18"/>
      <c r="Y30" s="44"/>
      <c r="Z30" s="45"/>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0"/>
    </row>
    <row r="31" spans="1:52" ht="79.95" customHeight="1" x14ac:dyDescent="0.3">
      <c r="A31" s="40">
        <v>27</v>
      </c>
      <c r="B31" s="125"/>
      <c r="C31" s="123" t="s">
        <v>508</v>
      </c>
      <c r="D31" s="120" t="s">
        <v>108</v>
      </c>
      <c r="E31" s="120" t="s">
        <v>175</v>
      </c>
      <c r="F31" s="52" t="s">
        <v>134</v>
      </c>
      <c r="G31" s="128"/>
      <c r="H31" s="42" t="s">
        <v>186</v>
      </c>
      <c r="I31" s="43" t="s">
        <v>187</v>
      </c>
      <c r="J31" s="128" t="s">
        <v>168</v>
      </c>
      <c r="K31" s="128"/>
      <c r="L31" s="128"/>
      <c r="M31" s="128"/>
      <c r="N31" s="128"/>
      <c r="O31" s="128"/>
      <c r="P31" s="128"/>
      <c r="Q31" s="120" t="s">
        <v>108</v>
      </c>
      <c r="R31" s="41"/>
      <c r="S31" s="41"/>
      <c r="T31" s="41"/>
      <c r="U31" s="41"/>
      <c r="V31" s="41"/>
      <c r="W31" s="44"/>
      <c r="X31" s="18"/>
      <c r="Y31" s="44"/>
      <c r="Z31" s="45"/>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0"/>
    </row>
    <row r="32" spans="1:52" ht="79.95" customHeight="1" x14ac:dyDescent="0.3">
      <c r="A32" s="40">
        <v>28</v>
      </c>
      <c r="B32" s="125"/>
      <c r="C32" s="123" t="s">
        <v>508</v>
      </c>
      <c r="D32" s="120" t="s">
        <v>108</v>
      </c>
      <c r="E32" s="120" t="s">
        <v>175</v>
      </c>
      <c r="F32" s="52" t="s">
        <v>134</v>
      </c>
      <c r="G32" s="128"/>
      <c r="H32" s="42" t="s">
        <v>188</v>
      </c>
      <c r="I32" s="43" t="s">
        <v>189</v>
      </c>
      <c r="J32" s="128" t="s">
        <v>168</v>
      </c>
      <c r="K32" s="128"/>
      <c r="L32" s="128"/>
      <c r="M32" s="128"/>
      <c r="N32" s="128"/>
      <c r="O32" s="128"/>
      <c r="P32" s="128"/>
      <c r="Q32" s="120" t="s">
        <v>108</v>
      </c>
      <c r="R32" s="41"/>
      <c r="S32" s="41"/>
      <c r="T32" s="41"/>
      <c r="U32" s="41"/>
      <c r="V32" s="41"/>
      <c r="W32" s="44"/>
      <c r="X32" s="18"/>
      <c r="Y32" s="44"/>
      <c r="Z32" s="45"/>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0"/>
    </row>
    <row r="33" spans="1:52" ht="79.95" customHeight="1" x14ac:dyDescent="0.25">
      <c r="A33" s="40">
        <v>29</v>
      </c>
      <c r="B33" s="125"/>
      <c r="C33" s="123" t="s">
        <v>508</v>
      </c>
      <c r="D33" s="120" t="s">
        <v>108</v>
      </c>
      <c r="E33" s="120" t="s">
        <v>175</v>
      </c>
      <c r="F33" s="52" t="s">
        <v>134</v>
      </c>
      <c r="G33" s="128"/>
      <c r="H33" s="42" t="s">
        <v>190</v>
      </c>
      <c r="I33" s="43" t="s">
        <v>191</v>
      </c>
      <c r="J33" s="128" t="s">
        <v>168</v>
      </c>
      <c r="K33" s="128"/>
      <c r="L33" s="128"/>
      <c r="M33" s="128"/>
      <c r="N33" s="128"/>
      <c r="O33" s="128"/>
      <c r="P33" s="128"/>
      <c r="Q33" s="120" t="s">
        <v>108</v>
      </c>
      <c r="R33" s="41"/>
      <c r="S33" s="41"/>
      <c r="T33" s="49"/>
      <c r="U33" s="49"/>
      <c r="V33" s="49"/>
      <c r="W33" s="50"/>
      <c r="X33" s="51"/>
      <c r="Y33" s="50"/>
      <c r="Z33" s="45"/>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0"/>
    </row>
    <row r="34" spans="1:52" ht="79.95" customHeight="1" x14ac:dyDescent="0.3">
      <c r="A34" s="40">
        <v>30</v>
      </c>
      <c r="B34" s="125"/>
      <c r="C34" s="123" t="s">
        <v>508</v>
      </c>
      <c r="D34" s="120" t="s">
        <v>108</v>
      </c>
      <c r="E34" s="120" t="s">
        <v>175</v>
      </c>
      <c r="F34" s="52" t="s">
        <v>134</v>
      </c>
      <c r="G34" s="128"/>
      <c r="H34" s="42" t="s">
        <v>192</v>
      </c>
      <c r="I34" s="43" t="s">
        <v>193</v>
      </c>
      <c r="J34" s="128" t="s">
        <v>168</v>
      </c>
      <c r="K34" s="128"/>
      <c r="L34" s="128"/>
      <c r="M34" s="128"/>
      <c r="N34" s="128"/>
      <c r="O34" s="128"/>
      <c r="P34" s="128"/>
      <c r="Q34" s="120" t="s">
        <v>108</v>
      </c>
      <c r="R34" s="41"/>
      <c r="S34" s="41"/>
      <c r="T34" s="41"/>
      <c r="U34" s="41"/>
      <c r="V34" s="41"/>
      <c r="W34" s="44"/>
      <c r="X34" s="18"/>
      <c r="Y34" s="44"/>
      <c r="Z34" s="45"/>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0"/>
    </row>
    <row r="35" spans="1:52" ht="79.95" customHeight="1" x14ac:dyDescent="0.3">
      <c r="A35" s="40">
        <v>31</v>
      </c>
      <c r="B35" s="125"/>
      <c r="C35" s="123" t="s">
        <v>946</v>
      </c>
      <c r="D35" s="120" t="s">
        <v>108</v>
      </c>
      <c r="E35" s="120" t="s">
        <v>194</v>
      </c>
      <c r="F35" s="52" t="s">
        <v>134</v>
      </c>
      <c r="G35" s="128"/>
      <c r="H35" s="42" t="s">
        <v>195</v>
      </c>
      <c r="I35" s="43" t="s">
        <v>196</v>
      </c>
      <c r="J35" s="128" t="s">
        <v>168</v>
      </c>
      <c r="K35" s="128"/>
      <c r="L35" s="128"/>
      <c r="M35" s="128"/>
      <c r="N35" s="128"/>
      <c r="O35" s="128"/>
      <c r="P35" s="128"/>
      <c r="Q35" s="120" t="s">
        <v>108</v>
      </c>
      <c r="R35" s="41"/>
      <c r="S35" s="41"/>
      <c r="T35" s="41"/>
      <c r="U35" s="41"/>
      <c r="V35" s="41"/>
      <c r="W35" s="44"/>
      <c r="X35" s="18"/>
      <c r="Y35" s="44"/>
      <c r="Z35" s="45"/>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0"/>
    </row>
    <row r="36" spans="1:52" ht="79.95" customHeight="1" x14ac:dyDescent="0.3">
      <c r="A36" s="40">
        <v>32</v>
      </c>
      <c r="B36" s="125"/>
      <c r="C36" s="123" t="s">
        <v>946</v>
      </c>
      <c r="D36" s="120" t="s">
        <v>108</v>
      </c>
      <c r="E36" s="120" t="s">
        <v>194</v>
      </c>
      <c r="F36" s="52" t="s">
        <v>134</v>
      </c>
      <c r="G36" s="128"/>
      <c r="H36" s="42" t="s">
        <v>205</v>
      </c>
      <c r="I36" s="43" t="s">
        <v>206</v>
      </c>
      <c r="J36" s="128" t="s">
        <v>168</v>
      </c>
      <c r="K36" s="128"/>
      <c r="L36" s="128"/>
      <c r="M36" s="128"/>
      <c r="N36" s="128"/>
      <c r="O36" s="128"/>
      <c r="P36" s="128"/>
      <c r="Q36" s="120" t="s">
        <v>108</v>
      </c>
      <c r="R36" s="41"/>
      <c r="S36" s="41"/>
      <c r="T36" s="41"/>
      <c r="U36" s="41"/>
      <c r="V36" s="41"/>
      <c r="W36" s="44"/>
      <c r="X36" s="18"/>
      <c r="Y36" s="44"/>
      <c r="Z36" s="45"/>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0"/>
    </row>
    <row r="37" spans="1:52" ht="79.95" customHeight="1" x14ac:dyDescent="0.3">
      <c r="A37" s="40">
        <v>33</v>
      </c>
      <c r="B37" s="125"/>
      <c r="C37" s="123" t="s">
        <v>946</v>
      </c>
      <c r="D37" s="120" t="s">
        <v>108</v>
      </c>
      <c r="E37" s="120" t="s">
        <v>209</v>
      </c>
      <c r="F37" s="52" t="s">
        <v>134</v>
      </c>
      <c r="G37" s="128"/>
      <c r="H37" s="42" t="s">
        <v>210</v>
      </c>
      <c r="I37" s="43" t="s">
        <v>211</v>
      </c>
      <c r="J37" s="128" t="s">
        <v>168</v>
      </c>
      <c r="K37" s="128"/>
      <c r="L37" s="128"/>
      <c r="M37" s="128"/>
      <c r="N37" s="128"/>
      <c r="O37" s="128"/>
      <c r="P37" s="128"/>
      <c r="Q37" s="120" t="s">
        <v>108</v>
      </c>
      <c r="R37" s="41"/>
      <c r="S37" s="41"/>
      <c r="T37" s="41"/>
      <c r="U37" s="41"/>
      <c r="V37" s="41"/>
      <c r="W37" s="44"/>
      <c r="X37" s="18"/>
      <c r="Y37" s="44"/>
      <c r="Z37" s="45"/>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0"/>
    </row>
    <row r="38" spans="1:52" ht="79.95" customHeight="1" x14ac:dyDescent="0.3">
      <c r="A38" s="40">
        <v>34</v>
      </c>
      <c r="B38" s="125"/>
      <c r="C38" s="123" t="s">
        <v>946</v>
      </c>
      <c r="D38" s="120" t="s">
        <v>108</v>
      </c>
      <c r="E38" s="120" t="s">
        <v>209</v>
      </c>
      <c r="F38" s="52" t="s">
        <v>134</v>
      </c>
      <c r="G38" s="128"/>
      <c r="H38" s="42" t="s">
        <v>213</v>
      </c>
      <c r="I38" s="43" t="s">
        <v>214</v>
      </c>
      <c r="J38" s="128" t="s">
        <v>168</v>
      </c>
      <c r="K38" s="128"/>
      <c r="L38" s="128"/>
      <c r="M38" s="128"/>
      <c r="N38" s="128"/>
      <c r="O38" s="128"/>
      <c r="P38" s="128"/>
      <c r="Q38" s="120" t="s">
        <v>108</v>
      </c>
      <c r="R38" s="41"/>
      <c r="S38" s="41"/>
      <c r="T38" s="41"/>
      <c r="U38" s="41"/>
      <c r="V38" s="41"/>
      <c r="W38" s="44"/>
      <c r="X38" s="18"/>
      <c r="Y38" s="44"/>
      <c r="Z38" s="45"/>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0"/>
    </row>
    <row r="39" spans="1:52" ht="79.95" customHeight="1" x14ac:dyDescent="0.3">
      <c r="A39" s="40">
        <v>35</v>
      </c>
      <c r="B39" s="125"/>
      <c r="C39" s="123" t="s">
        <v>814</v>
      </c>
      <c r="D39" s="120" t="s">
        <v>108</v>
      </c>
      <c r="E39" s="120" t="s">
        <v>217</v>
      </c>
      <c r="F39" s="52" t="s">
        <v>110</v>
      </c>
      <c r="G39" s="128"/>
      <c r="H39" s="42" t="s">
        <v>218</v>
      </c>
      <c r="I39" s="43" t="s">
        <v>219</v>
      </c>
      <c r="J39" s="128" t="s">
        <v>168</v>
      </c>
      <c r="K39" s="128"/>
      <c r="L39" s="128"/>
      <c r="M39" s="128"/>
      <c r="N39" s="128"/>
      <c r="O39" s="128"/>
      <c r="P39" s="128"/>
      <c r="Q39" s="120" t="s">
        <v>108</v>
      </c>
      <c r="R39" s="41"/>
      <c r="S39" s="41"/>
      <c r="T39" s="41"/>
      <c r="U39" s="41"/>
      <c r="V39" s="41"/>
      <c r="W39" s="44"/>
      <c r="X39" s="18"/>
      <c r="Y39" s="44"/>
      <c r="Z39" s="45"/>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0"/>
    </row>
    <row r="40" spans="1:52" ht="79.95" customHeight="1" x14ac:dyDescent="0.3">
      <c r="A40" s="40">
        <v>36</v>
      </c>
      <c r="B40" s="125"/>
      <c r="C40" s="123" t="s">
        <v>814</v>
      </c>
      <c r="D40" s="120" t="s">
        <v>108</v>
      </c>
      <c r="E40" s="120" t="s">
        <v>217</v>
      </c>
      <c r="F40" s="52" t="s">
        <v>110</v>
      </c>
      <c r="G40" s="128"/>
      <c r="H40" s="42" t="s">
        <v>222</v>
      </c>
      <c r="I40" s="43" t="s">
        <v>223</v>
      </c>
      <c r="J40" s="128" t="s">
        <v>168</v>
      </c>
      <c r="K40" s="128"/>
      <c r="L40" s="128"/>
      <c r="M40" s="128"/>
      <c r="N40" s="128"/>
      <c r="O40" s="128"/>
      <c r="P40" s="128"/>
      <c r="Q40" s="120" t="s">
        <v>108</v>
      </c>
      <c r="R40" s="41"/>
      <c r="S40" s="41"/>
      <c r="T40" s="41"/>
      <c r="U40" s="41"/>
      <c r="V40" s="41"/>
      <c r="W40" s="44"/>
      <c r="X40" s="18"/>
      <c r="Y40" s="44"/>
      <c r="Z40" s="45"/>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0"/>
    </row>
    <row r="41" spans="1:52" ht="79.95" customHeight="1" x14ac:dyDescent="0.3">
      <c r="A41" s="40">
        <v>37</v>
      </c>
      <c r="B41" s="125"/>
      <c r="C41" s="123" t="s">
        <v>814</v>
      </c>
      <c r="D41" s="120" t="s">
        <v>108</v>
      </c>
      <c r="E41" s="120" t="s">
        <v>217</v>
      </c>
      <c r="F41" s="52" t="s">
        <v>110</v>
      </c>
      <c r="G41" s="128"/>
      <c r="H41" s="42" t="s">
        <v>226</v>
      </c>
      <c r="I41" s="43" t="s">
        <v>227</v>
      </c>
      <c r="J41" s="128" t="s">
        <v>168</v>
      </c>
      <c r="K41" s="128"/>
      <c r="L41" s="128"/>
      <c r="M41" s="128"/>
      <c r="N41" s="128"/>
      <c r="O41" s="128"/>
      <c r="P41" s="128"/>
      <c r="Q41" s="120" t="s">
        <v>108</v>
      </c>
      <c r="R41" s="41"/>
      <c r="S41" s="41"/>
      <c r="T41" s="41"/>
      <c r="U41" s="41"/>
      <c r="V41" s="41"/>
      <c r="W41" s="44"/>
      <c r="X41" s="18"/>
      <c r="Y41" s="44"/>
      <c r="Z41" s="45"/>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0"/>
    </row>
    <row r="42" spans="1:52" ht="79.95" customHeight="1" x14ac:dyDescent="0.3">
      <c r="A42" s="40">
        <v>38</v>
      </c>
      <c r="B42" s="125"/>
      <c r="C42" s="123" t="s">
        <v>814</v>
      </c>
      <c r="D42" s="120" t="s">
        <v>108</v>
      </c>
      <c r="E42" s="120" t="s">
        <v>217</v>
      </c>
      <c r="F42" s="52" t="s">
        <v>110</v>
      </c>
      <c r="G42" s="128"/>
      <c r="H42" s="42" t="s">
        <v>232</v>
      </c>
      <c r="I42" s="43" t="s">
        <v>233</v>
      </c>
      <c r="J42" s="128" t="s">
        <v>168</v>
      </c>
      <c r="K42" s="128"/>
      <c r="L42" s="128"/>
      <c r="M42" s="128"/>
      <c r="N42" s="128"/>
      <c r="O42" s="128"/>
      <c r="P42" s="128"/>
      <c r="Q42" s="120" t="s">
        <v>108</v>
      </c>
      <c r="R42" s="41"/>
      <c r="S42" s="41"/>
      <c r="T42" s="41"/>
      <c r="U42" s="41"/>
      <c r="V42" s="41"/>
      <c r="W42" s="44"/>
      <c r="X42" s="18"/>
      <c r="Y42" s="44"/>
      <c r="Z42" s="45"/>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0"/>
    </row>
    <row r="43" spans="1:52" ht="79.95" customHeight="1" x14ac:dyDescent="0.3">
      <c r="A43" s="40">
        <v>39</v>
      </c>
      <c r="B43" s="125"/>
      <c r="C43" s="123" t="s">
        <v>814</v>
      </c>
      <c r="D43" s="120" t="s">
        <v>108</v>
      </c>
      <c r="E43" s="120" t="s">
        <v>217</v>
      </c>
      <c r="F43" s="52" t="s">
        <v>110</v>
      </c>
      <c r="G43" s="128"/>
      <c r="H43" s="42" t="s">
        <v>235</v>
      </c>
      <c r="I43" s="43" t="s">
        <v>236</v>
      </c>
      <c r="J43" s="128" t="s">
        <v>168</v>
      </c>
      <c r="K43" s="128"/>
      <c r="L43" s="128"/>
      <c r="M43" s="128"/>
      <c r="N43" s="128"/>
      <c r="O43" s="128"/>
      <c r="P43" s="128"/>
      <c r="Q43" s="120" t="s">
        <v>108</v>
      </c>
      <c r="R43" s="41"/>
      <c r="S43" s="41"/>
      <c r="T43" s="41"/>
      <c r="U43" s="41"/>
      <c r="V43" s="41"/>
      <c r="W43" s="44"/>
      <c r="X43" s="18"/>
      <c r="Y43" s="44"/>
      <c r="Z43" s="45"/>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0"/>
    </row>
    <row r="44" spans="1:52" ht="79.95" customHeight="1" x14ac:dyDescent="0.3">
      <c r="A44" s="40">
        <v>40</v>
      </c>
      <c r="B44" s="125"/>
      <c r="C44" s="123" t="s">
        <v>814</v>
      </c>
      <c r="D44" s="120" t="s">
        <v>108</v>
      </c>
      <c r="E44" s="120" t="s">
        <v>217</v>
      </c>
      <c r="F44" s="52" t="s">
        <v>110</v>
      </c>
      <c r="G44" s="128"/>
      <c r="H44" s="42" t="s">
        <v>238</v>
      </c>
      <c r="I44" s="43" t="s">
        <v>239</v>
      </c>
      <c r="J44" s="128" t="s">
        <v>168</v>
      </c>
      <c r="K44" s="128"/>
      <c r="L44" s="128"/>
      <c r="M44" s="128"/>
      <c r="N44" s="128"/>
      <c r="O44" s="128"/>
      <c r="P44" s="128"/>
      <c r="Q44" s="120" t="s">
        <v>108</v>
      </c>
      <c r="R44" s="41"/>
      <c r="S44" s="41"/>
      <c r="T44" s="41"/>
      <c r="U44" s="41"/>
      <c r="V44" s="41"/>
      <c r="W44" s="44"/>
      <c r="X44" s="18"/>
      <c r="Y44" s="44"/>
      <c r="Z44" s="45"/>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0"/>
    </row>
    <row r="45" spans="1:52" ht="79.95" customHeight="1" x14ac:dyDescent="0.3">
      <c r="A45" s="40">
        <v>41</v>
      </c>
      <c r="B45" s="125"/>
      <c r="C45" s="123" t="s">
        <v>814</v>
      </c>
      <c r="D45" s="120" t="s">
        <v>108</v>
      </c>
      <c r="E45" s="120" t="s">
        <v>217</v>
      </c>
      <c r="F45" s="52" t="s">
        <v>110</v>
      </c>
      <c r="G45" s="55"/>
      <c r="H45" s="54" t="s">
        <v>241</v>
      </c>
      <c r="I45" s="43" t="s">
        <v>242</v>
      </c>
      <c r="J45" s="55" t="s">
        <v>168</v>
      </c>
      <c r="K45" s="55"/>
      <c r="L45" s="55"/>
      <c r="M45" s="55"/>
      <c r="N45" s="55"/>
      <c r="O45" s="55"/>
      <c r="P45" s="55"/>
      <c r="Q45" s="120" t="s">
        <v>108</v>
      </c>
      <c r="R45" s="41"/>
      <c r="S45" s="41"/>
      <c r="T45" s="41"/>
      <c r="U45" s="41"/>
      <c r="V45" s="41"/>
      <c r="W45" s="44"/>
      <c r="X45" s="18"/>
      <c r="Y45" s="44"/>
      <c r="Z45" s="45"/>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0"/>
    </row>
    <row r="46" spans="1:52" ht="79.95" customHeight="1" x14ac:dyDescent="0.3">
      <c r="A46" s="40">
        <v>42</v>
      </c>
      <c r="B46" s="125"/>
      <c r="C46" s="123" t="s">
        <v>814</v>
      </c>
      <c r="D46" s="120" t="s">
        <v>108</v>
      </c>
      <c r="E46" s="120" t="s">
        <v>244</v>
      </c>
      <c r="F46" s="52" t="s">
        <v>110</v>
      </c>
      <c r="G46" s="55"/>
      <c r="H46" s="54" t="s">
        <v>245</v>
      </c>
      <c r="I46" s="43" t="s">
        <v>246</v>
      </c>
      <c r="J46" s="55" t="s">
        <v>168</v>
      </c>
      <c r="K46" s="55"/>
      <c r="L46" s="55"/>
      <c r="M46" s="55"/>
      <c r="N46" s="55"/>
      <c r="O46" s="55"/>
      <c r="P46" s="55"/>
      <c r="Q46" s="120" t="s">
        <v>108</v>
      </c>
      <c r="R46" s="41"/>
      <c r="S46" s="41"/>
      <c r="T46" s="41"/>
      <c r="U46" s="41"/>
      <c r="V46" s="41"/>
      <c r="W46" s="44"/>
      <c r="X46" s="18"/>
      <c r="Y46" s="44"/>
      <c r="Z46" s="45"/>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0"/>
    </row>
    <row r="47" spans="1:52" ht="79.95" customHeight="1" x14ac:dyDescent="0.3">
      <c r="A47" s="40">
        <v>43</v>
      </c>
      <c r="B47" s="125"/>
      <c r="C47" s="123" t="s">
        <v>529</v>
      </c>
      <c r="D47" s="120" t="s">
        <v>108</v>
      </c>
      <c r="E47" s="120"/>
      <c r="F47" s="52" t="s">
        <v>130</v>
      </c>
      <c r="G47" s="129"/>
      <c r="H47" s="56" t="s">
        <v>250</v>
      </c>
      <c r="I47" s="43" t="s">
        <v>251</v>
      </c>
      <c r="J47" s="56" t="s">
        <v>168</v>
      </c>
      <c r="K47" s="129"/>
      <c r="L47" s="129"/>
      <c r="M47" s="129"/>
      <c r="N47" s="129"/>
      <c r="O47" s="129"/>
      <c r="P47" s="129"/>
      <c r="Q47" s="120" t="s">
        <v>108</v>
      </c>
      <c r="R47" s="41"/>
      <c r="S47" s="41"/>
      <c r="T47" s="41"/>
      <c r="U47" s="41"/>
      <c r="V47" s="41"/>
      <c r="W47" s="44"/>
      <c r="X47" s="18"/>
      <c r="Y47" s="44"/>
      <c r="Z47" s="45"/>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0"/>
    </row>
    <row r="48" spans="1:52" ht="79.95" customHeight="1" x14ac:dyDescent="0.3">
      <c r="A48" s="40">
        <v>44</v>
      </c>
      <c r="B48" s="125"/>
      <c r="C48" s="123" t="s">
        <v>529</v>
      </c>
      <c r="D48" s="120" t="s">
        <v>108</v>
      </c>
      <c r="E48" s="120"/>
      <c r="F48" s="52" t="s">
        <v>130</v>
      </c>
      <c r="G48" s="129"/>
      <c r="H48" s="56" t="s">
        <v>253</v>
      </c>
      <c r="I48" s="43" t="s">
        <v>254</v>
      </c>
      <c r="J48" s="56" t="s">
        <v>168</v>
      </c>
      <c r="K48" s="129"/>
      <c r="L48" s="129"/>
      <c r="M48" s="129"/>
      <c r="N48" s="129"/>
      <c r="O48" s="129"/>
      <c r="P48" s="129"/>
      <c r="Q48" s="120" t="s">
        <v>108</v>
      </c>
      <c r="R48" s="41"/>
      <c r="S48" s="41"/>
      <c r="T48" s="41"/>
      <c r="U48" s="41"/>
      <c r="V48" s="41"/>
      <c r="W48" s="44"/>
      <c r="X48" s="18"/>
      <c r="Y48" s="44"/>
      <c r="Z48" s="45"/>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0"/>
    </row>
    <row r="49" spans="1:52" ht="79.95" customHeight="1" x14ac:dyDescent="0.3">
      <c r="A49" s="40">
        <v>45</v>
      </c>
      <c r="B49" s="123" t="s">
        <v>256</v>
      </c>
      <c r="C49" s="123" t="s">
        <v>438</v>
      </c>
      <c r="D49" s="120" t="s">
        <v>257</v>
      </c>
      <c r="E49" s="120" t="s">
        <v>258</v>
      </c>
      <c r="F49" s="52" t="s">
        <v>199</v>
      </c>
      <c r="G49" s="129">
        <v>0</v>
      </c>
      <c r="H49" s="56" t="s">
        <v>259</v>
      </c>
      <c r="I49" s="43" t="s">
        <v>260</v>
      </c>
      <c r="J49" s="56" t="s">
        <v>261</v>
      </c>
      <c r="K49" s="129"/>
      <c r="L49" s="129"/>
      <c r="M49" s="129"/>
      <c r="N49" s="129"/>
      <c r="O49" s="129"/>
      <c r="P49" s="129"/>
      <c r="Q49" s="120" t="s">
        <v>262</v>
      </c>
      <c r="R49" s="41"/>
      <c r="S49" s="41" t="s">
        <v>263</v>
      </c>
      <c r="T49" s="41"/>
      <c r="U49" s="41"/>
      <c r="V49" s="41"/>
      <c r="W49" s="44"/>
      <c r="X49" s="18">
        <v>1500</v>
      </c>
      <c r="Y49" s="44">
        <v>1557</v>
      </c>
      <c r="Z49" s="45"/>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0"/>
    </row>
    <row r="50" spans="1:52" ht="79.95" customHeight="1" x14ac:dyDescent="0.3">
      <c r="A50" s="40">
        <v>46</v>
      </c>
      <c r="B50" s="123" t="s">
        <v>266</v>
      </c>
      <c r="C50" s="123" t="s">
        <v>950</v>
      </c>
      <c r="D50" s="120" t="s">
        <v>267</v>
      </c>
      <c r="E50" s="120" t="s">
        <v>268</v>
      </c>
      <c r="F50" s="52" t="s">
        <v>199</v>
      </c>
      <c r="G50" s="129">
        <v>0</v>
      </c>
      <c r="H50" s="56" t="s">
        <v>269</v>
      </c>
      <c r="I50" s="43" t="s">
        <v>270</v>
      </c>
      <c r="J50" s="56" t="s">
        <v>261</v>
      </c>
      <c r="K50" s="129"/>
      <c r="L50" s="129"/>
      <c r="M50" s="129"/>
      <c r="N50" s="129"/>
      <c r="O50" s="129"/>
      <c r="P50" s="129"/>
      <c r="Q50" s="120" t="s">
        <v>262</v>
      </c>
      <c r="R50" s="41"/>
      <c r="S50" s="41" t="s">
        <v>271</v>
      </c>
      <c r="T50" s="41"/>
      <c r="U50" s="41"/>
      <c r="V50" s="41"/>
      <c r="W50" s="44"/>
      <c r="X50" s="18">
        <v>3000</v>
      </c>
      <c r="Y50" s="44">
        <v>1557</v>
      </c>
      <c r="Z50" s="45"/>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0"/>
    </row>
    <row r="51" spans="1:52" ht="79.95" customHeight="1" x14ac:dyDescent="0.3">
      <c r="A51" s="40">
        <v>47</v>
      </c>
      <c r="B51" s="123" t="s">
        <v>273</v>
      </c>
      <c r="C51" s="123" t="s">
        <v>953</v>
      </c>
      <c r="D51" s="120" t="s">
        <v>262</v>
      </c>
      <c r="E51" s="120" t="s">
        <v>274</v>
      </c>
      <c r="F51" s="52" t="s">
        <v>275</v>
      </c>
      <c r="G51" s="130">
        <v>0</v>
      </c>
      <c r="H51" s="57" t="s">
        <v>276</v>
      </c>
      <c r="I51" s="43" t="s">
        <v>277</v>
      </c>
      <c r="J51" s="130" t="s">
        <v>261</v>
      </c>
      <c r="K51" s="130"/>
      <c r="L51" s="130"/>
      <c r="M51" s="130"/>
      <c r="N51" s="130"/>
      <c r="O51" s="130"/>
      <c r="P51" s="130"/>
      <c r="Q51" s="120" t="s">
        <v>262</v>
      </c>
      <c r="R51" s="41"/>
      <c r="S51" s="41" t="s">
        <v>278</v>
      </c>
      <c r="T51" s="41"/>
      <c r="U51" s="41"/>
      <c r="V51" s="41"/>
      <c r="W51" s="44"/>
      <c r="X51" s="18">
        <v>2000</v>
      </c>
      <c r="Y51" s="44">
        <v>3882</v>
      </c>
      <c r="Z51" s="45"/>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0"/>
    </row>
    <row r="52" spans="1:52" ht="79.95" customHeight="1" x14ac:dyDescent="0.3">
      <c r="A52" s="40">
        <v>48</v>
      </c>
      <c r="B52" s="123" t="s">
        <v>273</v>
      </c>
      <c r="C52" s="123" t="s">
        <v>953</v>
      </c>
      <c r="D52" s="120" t="s">
        <v>262</v>
      </c>
      <c r="E52" s="120" t="s">
        <v>274</v>
      </c>
      <c r="F52" s="52" t="s">
        <v>275</v>
      </c>
      <c r="G52" s="130">
        <v>0</v>
      </c>
      <c r="H52" s="57" t="s">
        <v>276</v>
      </c>
      <c r="I52" s="43" t="s">
        <v>277</v>
      </c>
      <c r="J52" s="130" t="s">
        <v>261</v>
      </c>
      <c r="K52" s="130"/>
      <c r="L52" s="130"/>
      <c r="M52" s="130"/>
      <c r="N52" s="130"/>
      <c r="O52" s="130"/>
      <c r="P52" s="130"/>
      <c r="Q52" s="120" t="s">
        <v>262</v>
      </c>
      <c r="R52" s="41"/>
      <c r="S52" s="41" t="s">
        <v>281</v>
      </c>
      <c r="T52" s="41"/>
      <c r="U52" s="41"/>
      <c r="V52" s="41"/>
      <c r="W52" s="44"/>
      <c r="X52" s="18">
        <v>1000</v>
      </c>
      <c r="Y52" s="44">
        <v>2173</v>
      </c>
      <c r="Z52" s="45"/>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0"/>
    </row>
    <row r="53" spans="1:52" ht="79.95" customHeight="1" x14ac:dyDescent="0.3">
      <c r="A53" s="40">
        <v>49</v>
      </c>
      <c r="B53" s="137" t="s">
        <v>969</v>
      </c>
      <c r="C53" s="137" t="s">
        <v>970</v>
      </c>
      <c r="D53" s="121" t="s">
        <v>970</v>
      </c>
      <c r="E53" s="138" t="s">
        <v>971</v>
      </c>
      <c r="F53" s="139" t="s">
        <v>199</v>
      </c>
      <c r="G53" s="140">
        <v>1</v>
      </c>
      <c r="H53" s="141" t="s">
        <v>972</v>
      </c>
      <c r="I53" s="142" t="s">
        <v>973</v>
      </c>
      <c r="J53" s="140" t="s">
        <v>168</v>
      </c>
      <c r="K53" s="140">
        <v>1</v>
      </c>
      <c r="L53" s="140" t="s">
        <v>676</v>
      </c>
      <c r="M53" s="140" t="s">
        <v>676</v>
      </c>
      <c r="N53" s="140" t="s">
        <v>676</v>
      </c>
      <c r="O53" s="140" t="s">
        <v>677</v>
      </c>
      <c r="P53" s="140" t="s">
        <v>677</v>
      </c>
      <c r="Q53" s="138" t="s">
        <v>262</v>
      </c>
      <c r="R53" s="138" t="s">
        <v>928</v>
      </c>
      <c r="S53" s="138" t="s">
        <v>723</v>
      </c>
      <c r="T53" s="146">
        <v>33330620.600000001</v>
      </c>
      <c r="U53" s="138"/>
      <c r="V53" s="138"/>
      <c r="W53" s="143"/>
      <c r="X53" s="114">
        <v>2048</v>
      </c>
      <c r="Y53" s="147" t="s">
        <v>974</v>
      </c>
      <c r="Z53" s="144"/>
      <c r="AA53" s="145"/>
      <c r="AB53" s="145"/>
      <c r="AC53" s="145"/>
      <c r="AD53" s="145"/>
      <c r="AE53" s="145"/>
      <c r="AF53" s="145"/>
      <c r="AG53" s="145"/>
      <c r="AH53" s="145"/>
      <c r="AI53" s="145"/>
      <c r="AJ53" s="145"/>
      <c r="AK53" s="145"/>
      <c r="AL53" s="145"/>
      <c r="AM53" s="145"/>
      <c r="AN53" s="145"/>
      <c r="AO53" s="145"/>
      <c r="AP53" s="145"/>
      <c r="AQ53" s="145"/>
      <c r="AR53" s="145"/>
      <c r="AS53" s="145"/>
      <c r="AT53" s="145"/>
      <c r="AU53" s="145"/>
      <c r="AV53" s="145"/>
      <c r="AW53" s="145"/>
      <c r="AX53" s="145"/>
      <c r="AY53" s="145"/>
      <c r="AZ53" s="136"/>
    </row>
    <row r="54" spans="1:52" ht="79.95" customHeight="1" x14ac:dyDescent="0.3">
      <c r="A54" s="40">
        <v>50</v>
      </c>
      <c r="B54" s="125"/>
      <c r="C54" s="123" t="s">
        <v>285</v>
      </c>
      <c r="D54" s="120" t="s">
        <v>284</v>
      </c>
      <c r="E54" s="120" t="s">
        <v>285</v>
      </c>
      <c r="F54" s="52" t="s">
        <v>286</v>
      </c>
      <c r="G54" s="130"/>
      <c r="H54" s="57" t="s">
        <v>287</v>
      </c>
      <c r="I54" s="43" t="s">
        <v>288</v>
      </c>
      <c r="J54" s="130" t="s">
        <v>261</v>
      </c>
      <c r="K54" s="130"/>
      <c r="L54" s="130"/>
      <c r="M54" s="130"/>
      <c r="N54" s="130"/>
      <c r="O54" s="130"/>
      <c r="P54" s="130"/>
      <c r="Q54" s="120" t="s">
        <v>289</v>
      </c>
      <c r="R54" s="41"/>
      <c r="S54" s="41"/>
      <c r="T54" s="41"/>
      <c r="U54" s="41"/>
      <c r="V54" s="41"/>
      <c r="W54" s="44"/>
      <c r="X54" s="18">
        <v>2000</v>
      </c>
      <c r="Y54" s="44"/>
      <c r="Z54" s="45"/>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0"/>
    </row>
    <row r="55" spans="1:52" ht="79.95" customHeight="1" x14ac:dyDescent="0.3">
      <c r="A55" s="40">
        <v>51</v>
      </c>
      <c r="B55" s="125"/>
      <c r="C55" s="123" t="s">
        <v>529</v>
      </c>
      <c r="D55" s="120" t="s">
        <v>289</v>
      </c>
      <c r="E55" s="120"/>
      <c r="F55" s="52" t="s">
        <v>291</v>
      </c>
      <c r="G55" s="130"/>
      <c r="H55" s="57" t="s">
        <v>292</v>
      </c>
      <c r="I55" s="43" t="s">
        <v>293</v>
      </c>
      <c r="J55" s="130" t="s">
        <v>261</v>
      </c>
      <c r="K55" s="130"/>
      <c r="L55" s="130"/>
      <c r="M55" s="130" t="s">
        <v>294</v>
      </c>
      <c r="N55" s="130"/>
      <c r="O55" s="130"/>
      <c r="P55" s="130"/>
      <c r="Q55" s="120" t="s">
        <v>289</v>
      </c>
      <c r="R55" s="41"/>
      <c r="S55" s="41"/>
      <c r="T55" s="41"/>
      <c r="U55" s="41"/>
      <c r="V55" s="41"/>
      <c r="W55" s="44"/>
      <c r="X55" s="18">
        <v>200</v>
      </c>
      <c r="Y55" s="44">
        <v>1505</v>
      </c>
      <c r="Z55" s="45"/>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0"/>
    </row>
    <row r="56" spans="1:52" ht="79.95" customHeight="1" x14ac:dyDescent="0.3">
      <c r="A56" s="40">
        <v>52</v>
      </c>
      <c r="B56" s="125"/>
      <c r="C56" s="123" t="s">
        <v>529</v>
      </c>
      <c r="D56" s="120"/>
      <c r="E56" s="120"/>
      <c r="F56" s="52" t="s">
        <v>296</v>
      </c>
      <c r="G56" s="130"/>
      <c r="H56" s="57" t="s">
        <v>297</v>
      </c>
      <c r="I56" s="43" t="s">
        <v>298</v>
      </c>
      <c r="J56" s="130" t="s">
        <v>261</v>
      </c>
      <c r="K56" s="130"/>
      <c r="L56" s="130"/>
      <c r="M56" s="130" t="s">
        <v>294</v>
      </c>
      <c r="N56" s="130"/>
      <c r="O56" s="130"/>
      <c r="P56" s="130"/>
      <c r="Q56" s="120" t="s">
        <v>289</v>
      </c>
      <c r="R56" s="41"/>
      <c r="S56" s="41"/>
      <c r="T56" s="41"/>
      <c r="U56" s="41"/>
      <c r="V56" s="41"/>
      <c r="W56" s="44"/>
      <c r="X56" s="18">
        <v>400</v>
      </c>
      <c r="Y56" s="44">
        <v>1505</v>
      </c>
      <c r="Z56" s="45"/>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0"/>
    </row>
    <row r="57" spans="1:52" ht="79.95" customHeight="1" x14ac:dyDescent="0.3">
      <c r="A57" s="40">
        <v>53</v>
      </c>
      <c r="B57" s="125"/>
      <c r="C57" s="123" t="s">
        <v>946</v>
      </c>
      <c r="D57" s="120"/>
      <c r="E57" s="120" t="s">
        <v>300</v>
      </c>
      <c r="F57" s="52" t="s">
        <v>134</v>
      </c>
      <c r="G57" s="128"/>
      <c r="H57" s="42" t="s">
        <v>301</v>
      </c>
      <c r="I57" s="43" t="s">
        <v>302</v>
      </c>
      <c r="J57" s="128"/>
      <c r="K57" s="128"/>
      <c r="L57" s="128"/>
      <c r="M57" s="128"/>
      <c r="N57" s="128"/>
      <c r="O57" s="128"/>
      <c r="P57" s="128"/>
      <c r="Q57" s="120" t="s">
        <v>289</v>
      </c>
      <c r="R57" s="41"/>
      <c r="S57" s="41"/>
      <c r="T57" s="41"/>
      <c r="U57" s="41"/>
      <c r="V57" s="41"/>
      <c r="W57" s="44"/>
      <c r="X57" s="18">
        <v>400</v>
      </c>
      <c r="Y57" s="44">
        <v>1505</v>
      </c>
      <c r="Z57" s="45"/>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0"/>
    </row>
    <row r="58" spans="1:52" ht="79.95" customHeight="1" x14ac:dyDescent="0.3">
      <c r="A58" s="40">
        <v>54</v>
      </c>
      <c r="B58" s="125"/>
      <c r="C58" s="123" t="s">
        <v>943</v>
      </c>
      <c r="D58" s="120" t="s">
        <v>303</v>
      </c>
      <c r="E58" s="120" t="s">
        <v>304</v>
      </c>
      <c r="F58" s="52" t="s">
        <v>199</v>
      </c>
      <c r="G58" s="128"/>
      <c r="H58" s="42" t="s">
        <v>306</v>
      </c>
      <c r="I58" s="43" t="s">
        <v>307</v>
      </c>
      <c r="J58" s="128" t="s">
        <v>168</v>
      </c>
      <c r="K58" s="128"/>
      <c r="L58" s="128"/>
      <c r="M58" s="128"/>
      <c r="N58" s="128"/>
      <c r="O58" s="128"/>
      <c r="P58" s="128"/>
      <c r="Q58" s="120" t="s">
        <v>202</v>
      </c>
      <c r="R58" s="58" t="s">
        <v>308</v>
      </c>
      <c r="S58" s="58" t="s">
        <v>309</v>
      </c>
      <c r="T58" s="41"/>
      <c r="U58" s="41"/>
      <c r="V58" s="41"/>
      <c r="W58" s="44"/>
      <c r="X58" s="18"/>
      <c r="Y58" s="44"/>
      <c r="Z58" s="45"/>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0"/>
    </row>
    <row r="59" spans="1:52" ht="79.95" customHeight="1" x14ac:dyDescent="0.3">
      <c r="A59" s="40">
        <v>55</v>
      </c>
      <c r="B59" s="125"/>
      <c r="C59" s="123" t="s">
        <v>943</v>
      </c>
      <c r="D59" s="120" t="s">
        <v>303</v>
      </c>
      <c r="E59" s="120" t="s">
        <v>304</v>
      </c>
      <c r="F59" s="52" t="s">
        <v>199</v>
      </c>
      <c r="G59" s="128"/>
      <c r="H59" s="42" t="s">
        <v>311</v>
      </c>
      <c r="I59" s="43" t="s">
        <v>312</v>
      </c>
      <c r="J59" s="128" t="s">
        <v>168</v>
      </c>
      <c r="K59" s="128"/>
      <c r="L59" s="128"/>
      <c r="M59" s="128"/>
      <c r="N59" s="128"/>
      <c r="O59" s="128"/>
      <c r="P59" s="128"/>
      <c r="Q59" s="120" t="s">
        <v>202</v>
      </c>
      <c r="R59" s="58" t="s">
        <v>308</v>
      </c>
      <c r="S59" s="58" t="s">
        <v>309</v>
      </c>
      <c r="T59" s="41"/>
      <c r="U59" s="41"/>
      <c r="V59" s="41"/>
      <c r="W59" s="44"/>
      <c r="X59" s="18"/>
      <c r="Y59" s="44"/>
      <c r="Z59" s="45"/>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0"/>
    </row>
    <row r="60" spans="1:52" ht="79.95" customHeight="1" x14ac:dyDescent="0.3">
      <c r="A60" s="40">
        <v>56</v>
      </c>
      <c r="B60" s="125"/>
      <c r="C60" s="123" t="s">
        <v>943</v>
      </c>
      <c r="D60" s="120" t="s">
        <v>303</v>
      </c>
      <c r="E60" s="120" t="s">
        <v>313</v>
      </c>
      <c r="F60" s="52" t="s">
        <v>199</v>
      </c>
      <c r="G60" s="128"/>
      <c r="H60" s="42" t="s">
        <v>315</v>
      </c>
      <c r="I60" s="43" t="s">
        <v>316</v>
      </c>
      <c r="J60" s="128" t="s">
        <v>168</v>
      </c>
      <c r="K60" s="128"/>
      <c r="L60" s="128"/>
      <c r="M60" s="128"/>
      <c r="N60" s="128"/>
      <c r="O60" s="128"/>
      <c r="P60" s="128"/>
      <c r="Q60" s="120" t="s">
        <v>202</v>
      </c>
      <c r="R60" s="58" t="s">
        <v>308</v>
      </c>
      <c r="S60" s="58" t="s">
        <v>309</v>
      </c>
      <c r="T60" s="41"/>
      <c r="U60" s="41"/>
      <c r="V60" s="41"/>
      <c r="W60" s="44"/>
      <c r="X60" s="18"/>
      <c r="Y60" s="44"/>
      <c r="Z60" s="45"/>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0"/>
    </row>
    <row r="61" spans="1:52" ht="79.95" customHeight="1" x14ac:dyDescent="0.3">
      <c r="A61" s="40">
        <v>57</v>
      </c>
      <c r="B61" s="125"/>
      <c r="C61" s="123" t="s">
        <v>943</v>
      </c>
      <c r="D61" s="120" t="s">
        <v>303</v>
      </c>
      <c r="E61" s="120" t="s">
        <v>318</v>
      </c>
      <c r="F61" s="52" t="s">
        <v>199</v>
      </c>
      <c r="G61" s="128"/>
      <c r="H61" s="42" t="s">
        <v>319</v>
      </c>
      <c r="I61" s="43" t="s">
        <v>320</v>
      </c>
      <c r="J61" s="128" t="s">
        <v>168</v>
      </c>
      <c r="K61" s="128"/>
      <c r="L61" s="128"/>
      <c r="M61" s="128"/>
      <c r="N61" s="128"/>
      <c r="O61" s="128"/>
      <c r="P61" s="128"/>
      <c r="Q61" s="120" t="s">
        <v>202</v>
      </c>
      <c r="R61" s="58" t="s">
        <v>308</v>
      </c>
      <c r="S61" s="58" t="s">
        <v>309</v>
      </c>
      <c r="T61" s="41"/>
      <c r="U61" s="41"/>
      <c r="V61" s="41"/>
      <c r="W61" s="44"/>
      <c r="X61" s="18"/>
      <c r="Y61" s="44"/>
      <c r="Z61" s="45"/>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0"/>
    </row>
    <row r="62" spans="1:52" ht="79.95" customHeight="1" x14ac:dyDescent="0.3">
      <c r="A62" s="40">
        <v>58</v>
      </c>
      <c r="B62" s="125"/>
      <c r="C62" s="123" t="s">
        <v>943</v>
      </c>
      <c r="D62" s="120" t="s">
        <v>303</v>
      </c>
      <c r="E62" s="120" t="s">
        <v>323</v>
      </c>
      <c r="F62" s="52" t="s">
        <v>199</v>
      </c>
      <c r="G62" s="128"/>
      <c r="H62" s="42" t="s">
        <v>324</v>
      </c>
      <c r="I62" s="43" t="s">
        <v>325</v>
      </c>
      <c r="J62" s="128" t="s">
        <v>168</v>
      </c>
      <c r="K62" s="128"/>
      <c r="L62" s="128"/>
      <c r="M62" s="128"/>
      <c r="N62" s="128"/>
      <c r="O62" s="128"/>
      <c r="P62" s="128"/>
      <c r="Q62" s="120" t="s">
        <v>202</v>
      </c>
      <c r="R62" s="58" t="s">
        <v>308</v>
      </c>
      <c r="S62" s="58" t="s">
        <v>309</v>
      </c>
      <c r="T62" s="41"/>
      <c r="U62" s="41"/>
      <c r="V62" s="41"/>
      <c r="W62" s="44"/>
      <c r="X62" s="18"/>
      <c r="Y62" s="44"/>
      <c r="Z62" s="45"/>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0"/>
    </row>
    <row r="63" spans="1:52" ht="79.95" customHeight="1" x14ac:dyDescent="0.3">
      <c r="A63" s="40">
        <v>59</v>
      </c>
      <c r="B63" s="125"/>
      <c r="C63" s="123" t="s">
        <v>943</v>
      </c>
      <c r="D63" s="120" t="s">
        <v>303</v>
      </c>
      <c r="E63" s="120" t="s">
        <v>327</v>
      </c>
      <c r="F63" s="52" t="s">
        <v>199</v>
      </c>
      <c r="G63" s="128"/>
      <c r="H63" s="59" t="s">
        <v>328</v>
      </c>
      <c r="I63" s="43" t="s">
        <v>329</v>
      </c>
      <c r="J63" s="128" t="s">
        <v>168</v>
      </c>
      <c r="K63" s="128"/>
      <c r="L63" s="128"/>
      <c r="M63" s="128"/>
      <c r="N63" s="128"/>
      <c r="O63" s="128"/>
      <c r="P63" s="128"/>
      <c r="Q63" s="120" t="s">
        <v>202</v>
      </c>
      <c r="R63" s="58" t="s">
        <v>308</v>
      </c>
      <c r="S63" s="58" t="s">
        <v>309</v>
      </c>
      <c r="T63" s="41"/>
      <c r="U63" s="41"/>
      <c r="V63" s="41"/>
      <c r="W63" s="44"/>
      <c r="X63" s="18"/>
      <c r="Y63" s="44"/>
      <c r="Z63" s="45"/>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0"/>
    </row>
    <row r="64" spans="1:52" ht="79.95" customHeight="1" x14ac:dyDescent="0.3">
      <c r="A64" s="40">
        <v>60</v>
      </c>
      <c r="B64" s="125"/>
      <c r="C64" s="123" t="s">
        <v>943</v>
      </c>
      <c r="D64" s="120" t="s">
        <v>303</v>
      </c>
      <c r="E64" s="120" t="s">
        <v>331</v>
      </c>
      <c r="F64" s="52" t="s">
        <v>199</v>
      </c>
      <c r="G64" s="128"/>
      <c r="H64" s="42" t="s">
        <v>332</v>
      </c>
      <c r="I64" s="43" t="s">
        <v>333</v>
      </c>
      <c r="J64" s="128" t="s">
        <v>168</v>
      </c>
      <c r="K64" s="128"/>
      <c r="L64" s="128"/>
      <c r="M64" s="128"/>
      <c r="N64" s="128"/>
      <c r="O64" s="128"/>
      <c r="P64" s="128"/>
      <c r="Q64" s="120" t="s">
        <v>202</v>
      </c>
      <c r="R64" s="58" t="s">
        <v>308</v>
      </c>
      <c r="S64" s="58" t="s">
        <v>309</v>
      </c>
      <c r="T64" s="41"/>
      <c r="U64" s="41"/>
      <c r="V64" s="41"/>
      <c r="W64" s="44"/>
      <c r="X64" s="18"/>
      <c r="Y64" s="44"/>
      <c r="Z64" s="45"/>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0"/>
    </row>
    <row r="65" spans="1:52" ht="79.95" customHeight="1" x14ac:dyDescent="0.3">
      <c r="A65" s="40">
        <v>61</v>
      </c>
      <c r="B65" s="125"/>
      <c r="C65" s="123" t="s">
        <v>943</v>
      </c>
      <c r="D65" s="120" t="s">
        <v>303</v>
      </c>
      <c r="E65" s="120" t="s">
        <v>304</v>
      </c>
      <c r="F65" s="52" t="s">
        <v>199</v>
      </c>
      <c r="G65" s="128"/>
      <c r="H65" s="59" t="s">
        <v>335</v>
      </c>
      <c r="I65" s="43" t="s">
        <v>336</v>
      </c>
      <c r="J65" s="128" t="s">
        <v>168</v>
      </c>
      <c r="K65" s="128"/>
      <c r="L65" s="128"/>
      <c r="M65" s="128"/>
      <c r="N65" s="128"/>
      <c r="O65" s="128"/>
      <c r="P65" s="128"/>
      <c r="Q65" s="120" t="s">
        <v>202</v>
      </c>
      <c r="R65" s="58" t="s">
        <v>308</v>
      </c>
      <c r="S65" s="58" t="s">
        <v>309</v>
      </c>
      <c r="T65" s="41"/>
      <c r="U65" s="41"/>
      <c r="V65" s="41"/>
      <c r="W65" s="44"/>
      <c r="X65" s="18"/>
      <c r="Y65" s="44"/>
      <c r="Z65" s="45"/>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0"/>
    </row>
    <row r="66" spans="1:52" ht="79.95" customHeight="1" x14ac:dyDescent="0.3">
      <c r="A66" s="40">
        <v>62</v>
      </c>
      <c r="B66" s="125"/>
      <c r="C66" s="123" t="s">
        <v>943</v>
      </c>
      <c r="D66" s="120" t="s">
        <v>303</v>
      </c>
      <c r="E66" s="120" t="s">
        <v>304</v>
      </c>
      <c r="F66" s="52" t="s">
        <v>199</v>
      </c>
      <c r="G66" s="128"/>
      <c r="H66" s="42" t="s">
        <v>338</v>
      </c>
      <c r="I66" s="43" t="s">
        <v>339</v>
      </c>
      <c r="J66" s="128" t="s">
        <v>168</v>
      </c>
      <c r="K66" s="128"/>
      <c r="L66" s="128"/>
      <c r="M66" s="128"/>
      <c r="N66" s="128"/>
      <c r="O66" s="128"/>
      <c r="P66" s="128"/>
      <c r="Q66" s="120" t="s">
        <v>202</v>
      </c>
      <c r="R66" s="58" t="s">
        <v>308</v>
      </c>
      <c r="S66" s="58" t="s">
        <v>309</v>
      </c>
      <c r="T66" s="41"/>
      <c r="U66" s="41"/>
      <c r="V66" s="41"/>
      <c r="W66" s="44"/>
      <c r="X66" s="18"/>
      <c r="Y66" s="44"/>
      <c r="Z66" s="45"/>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0"/>
    </row>
    <row r="67" spans="1:52" ht="79.95" customHeight="1" x14ac:dyDescent="0.3">
      <c r="A67" s="40">
        <v>63</v>
      </c>
      <c r="B67" s="125"/>
      <c r="C67" s="123" t="s">
        <v>943</v>
      </c>
      <c r="D67" s="120" t="s">
        <v>303</v>
      </c>
      <c r="E67" s="120" t="s">
        <v>341</v>
      </c>
      <c r="F67" s="52" t="s">
        <v>199</v>
      </c>
      <c r="G67" s="128"/>
      <c r="H67" s="42" t="s">
        <v>342</v>
      </c>
      <c r="I67" s="43" t="s">
        <v>343</v>
      </c>
      <c r="J67" s="128" t="s">
        <v>168</v>
      </c>
      <c r="K67" s="128"/>
      <c r="L67" s="128"/>
      <c r="M67" s="128"/>
      <c r="N67" s="128"/>
      <c r="O67" s="128"/>
      <c r="P67" s="128"/>
      <c r="Q67" s="120" t="s">
        <v>202</v>
      </c>
      <c r="R67" s="58" t="s">
        <v>308</v>
      </c>
      <c r="S67" s="58" t="s">
        <v>309</v>
      </c>
      <c r="T67" s="41"/>
      <c r="U67" s="41"/>
      <c r="V67" s="41"/>
      <c r="W67" s="44"/>
      <c r="X67" s="18"/>
      <c r="Y67" s="44"/>
      <c r="Z67" s="45"/>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0"/>
    </row>
    <row r="68" spans="1:52" ht="79.95" customHeight="1" x14ac:dyDescent="0.3">
      <c r="A68" s="40">
        <v>64</v>
      </c>
      <c r="B68" s="125"/>
      <c r="C68" s="123" t="s">
        <v>431</v>
      </c>
      <c r="D68" s="120" t="s">
        <v>345</v>
      </c>
      <c r="E68" s="120" t="s">
        <v>346</v>
      </c>
      <c r="F68" s="52" t="s">
        <v>199</v>
      </c>
      <c r="G68" s="128"/>
      <c r="H68" s="42" t="s">
        <v>347</v>
      </c>
      <c r="I68" s="43" t="s">
        <v>348</v>
      </c>
      <c r="J68" s="128" t="s">
        <v>168</v>
      </c>
      <c r="K68" s="128"/>
      <c r="L68" s="128"/>
      <c r="M68" s="128"/>
      <c r="N68" s="128"/>
      <c r="O68" s="128"/>
      <c r="P68" s="128"/>
      <c r="Q68" s="120" t="s">
        <v>202</v>
      </c>
      <c r="R68" s="41" t="s">
        <v>345</v>
      </c>
      <c r="S68" s="41" t="s">
        <v>349</v>
      </c>
      <c r="T68" s="41"/>
      <c r="U68" s="41"/>
      <c r="V68" s="41"/>
      <c r="W68" s="44"/>
      <c r="X68" s="18"/>
      <c r="Y68" s="44"/>
      <c r="Z68" s="45"/>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0"/>
    </row>
    <row r="69" spans="1:52" ht="79.95" customHeight="1" x14ac:dyDescent="0.3">
      <c r="A69" s="40">
        <v>65</v>
      </c>
      <c r="B69" s="125"/>
      <c r="C69" s="123" t="s">
        <v>431</v>
      </c>
      <c r="D69" s="120" t="s">
        <v>345</v>
      </c>
      <c r="E69" s="120" t="s">
        <v>346</v>
      </c>
      <c r="F69" s="52" t="s">
        <v>199</v>
      </c>
      <c r="G69" s="128"/>
      <c r="H69" s="42" t="s">
        <v>351</v>
      </c>
      <c r="I69" s="43" t="s">
        <v>352</v>
      </c>
      <c r="J69" s="128" t="s">
        <v>168</v>
      </c>
      <c r="K69" s="128"/>
      <c r="L69" s="128"/>
      <c r="M69" s="128"/>
      <c r="N69" s="128"/>
      <c r="O69" s="128"/>
      <c r="P69" s="128"/>
      <c r="Q69" s="120" t="s">
        <v>202</v>
      </c>
      <c r="R69" s="41" t="s">
        <v>345</v>
      </c>
      <c r="S69" s="41" t="s">
        <v>349</v>
      </c>
      <c r="T69" s="41"/>
      <c r="U69" s="41"/>
      <c r="V69" s="41"/>
      <c r="W69" s="44"/>
      <c r="X69" s="18"/>
      <c r="Y69" s="44"/>
      <c r="Z69" s="45"/>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0"/>
    </row>
    <row r="70" spans="1:52" ht="79.95" customHeight="1" x14ac:dyDescent="0.3">
      <c r="A70" s="40">
        <v>66</v>
      </c>
      <c r="B70" s="125"/>
      <c r="C70" s="123" t="s">
        <v>431</v>
      </c>
      <c r="D70" s="120" t="s">
        <v>345</v>
      </c>
      <c r="E70" s="120" t="s">
        <v>346</v>
      </c>
      <c r="F70" s="52" t="s">
        <v>199</v>
      </c>
      <c r="G70" s="128"/>
      <c r="H70" s="42" t="s">
        <v>354</v>
      </c>
      <c r="I70" s="43" t="s">
        <v>355</v>
      </c>
      <c r="J70" s="128" t="s">
        <v>168</v>
      </c>
      <c r="K70" s="128"/>
      <c r="L70" s="128"/>
      <c r="M70" s="128"/>
      <c r="N70" s="128"/>
      <c r="O70" s="128"/>
      <c r="P70" s="128"/>
      <c r="Q70" s="120" t="s">
        <v>202</v>
      </c>
      <c r="R70" s="41" t="s">
        <v>345</v>
      </c>
      <c r="S70" s="41" t="s">
        <v>349</v>
      </c>
      <c r="T70" s="41"/>
      <c r="U70" s="41"/>
      <c r="V70" s="41"/>
      <c r="W70" s="44"/>
      <c r="X70" s="18"/>
      <c r="Y70" s="44"/>
      <c r="Z70" s="45"/>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0"/>
    </row>
    <row r="71" spans="1:52" ht="79.95" customHeight="1" x14ac:dyDescent="0.3">
      <c r="A71" s="40">
        <v>67</v>
      </c>
      <c r="B71" s="125"/>
      <c r="C71" s="123" t="s">
        <v>431</v>
      </c>
      <c r="D71" s="120" t="s">
        <v>345</v>
      </c>
      <c r="E71" s="120" t="s">
        <v>346</v>
      </c>
      <c r="F71" s="52" t="s">
        <v>199</v>
      </c>
      <c r="G71" s="128"/>
      <c r="H71" s="42" t="s">
        <v>357</v>
      </c>
      <c r="I71" s="43" t="s">
        <v>355</v>
      </c>
      <c r="J71" s="128" t="s">
        <v>168</v>
      </c>
      <c r="K71" s="128"/>
      <c r="L71" s="128"/>
      <c r="M71" s="128"/>
      <c r="N71" s="128"/>
      <c r="O71" s="128"/>
      <c r="P71" s="128"/>
      <c r="Q71" s="120" t="s">
        <v>202</v>
      </c>
      <c r="R71" s="41" t="s">
        <v>345</v>
      </c>
      <c r="S71" s="41" t="s">
        <v>349</v>
      </c>
      <c r="T71" s="41"/>
      <c r="U71" s="41"/>
      <c r="V71" s="41"/>
      <c r="W71" s="44"/>
      <c r="X71" s="18"/>
      <c r="Y71" s="44"/>
      <c r="Z71" s="45"/>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0"/>
    </row>
    <row r="72" spans="1:52" ht="79.95" customHeight="1" x14ac:dyDescent="0.3">
      <c r="A72" s="40">
        <v>68</v>
      </c>
      <c r="B72" s="125"/>
      <c r="C72" s="123" t="s">
        <v>431</v>
      </c>
      <c r="D72" s="120" t="s">
        <v>345</v>
      </c>
      <c r="E72" s="120" t="s">
        <v>346</v>
      </c>
      <c r="F72" s="52" t="s">
        <v>199</v>
      </c>
      <c r="G72" s="128"/>
      <c r="H72" s="42" t="s">
        <v>359</v>
      </c>
      <c r="I72" s="43" t="s">
        <v>360</v>
      </c>
      <c r="J72" s="128" t="s">
        <v>168</v>
      </c>
      <c r="K72" s="128"/>
      <c r="L72" s="128"/>
      <c r="M72" s="128"/>
      <c r="N72" s="128"/>
      <c r="O72" s="128"/>
      <c r="P72" s="128"/>
      <c r="Q72" s="120" t="s">
        <v>202</v>
      </c>
      <c r="R72" s="41" t="s">
        <v>345</v>
      </c>
      <c r="S72" s="41" t="s">
        <v>349</v>
      </c>
      <c r="T72" s="41"/>
      <c r="U72" s="41"/>
      <c r="V72" s="41"/>
      <c r="W72" s="44"/>
      <c r="X72" s="18"/>
      <c r="Y72" s="44"/>
      <c r="Z72" s="45"/>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0"/>
    </row>
    <row r="73" spans="1:52" ht="79.95" customHeight="1" x14ac:dyDescent="0.3">
      <c r="A73" s="40">
        <v>69</v>
      </c>
      <c r="B73" s="125"/>
      <c r="C73" s="123" t="s">
        <v>431</v>
      </c>
      <c r="D73" s="120" t="s">
        <v>345</v>
      </c>
      <c r="E73" s="120" t="s">
        <v>346</v>
      </c>
      <c r="F73" s="52" t="s">
        <v>199</v>
      </c>
      <c r="G73" s="128"/>
      <c r="H73" s="42" t="s">
        <v>363</v>
      </c>
      <c r="I73" s="43" t="s">
        <v>364</v>
      </c>
      <c r="J73" s="128" t="s">
        <v>168</v>
      </c>
      <c r="K73" s="128"/>
      <c r="L73" s="128"/>
      <c r="M73" s="128"/>
      <c r="N73" s="128"/>
      <c r="O73" s="128"/>
      <c r="P73" s="128"/>
      <c r="Q73" s="120" t="s">
        <v>202</v>
      </c>
      <c r="R73" s="41" t="s">
        <v>345</v>
      </c>
      <c r="S73" s="41" t="s">
        <v>349</v>
      </c>
      <c r="T73" s="41"/>
      <c r="U73" s="41"/>
      <c r="V73" s="41"/>
      <c r="W73" s="44"/>
      <c r="X73" s="18"/>
      <c r="Y73" s="44"/>
      <c r="Z73" s="45"/>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0"/>
    </row>
    <row r="74" spans="1:52" ht="79.95" customHeight="1" x14ac:dyDescent="0.3">
      <c r="A74" s="40">
        <v>70</v>
      </c>
      <c r="B74" s="125"/>
      <c r="C74" s="123" t="s">
        <v>431</v>
      </c>
      <c r="D74" s="120" t="s">
        <v>345</v>
      </c>
      <c r="E74" s="120" t="s">
        <v>346</v>
      </c>
      <c r="F74" s="52" t="s">
        <v>199</v>
      </c>
      <c r="G74" s="128"/>
      <c r="H74" s="42" t="s">
        <v>366</v>
      </c>
      <c r="I74" s="43" t="s">
        <v>367</v>
      </c>
      <c r="J74" s="128" t="s">
        <v>168</v>
      </c>
      <c r="K74" s="128"/>
      <c r="L74" s="128"/>
      <c r="M74" s="128"/>
      <c r="N74" s="128"/>
      <c r="O74" s="128"/>
      <c r="P74" s="128"/>
      <c r="Q74" s="120" t="s">
        <v>202</v>
      </c>
      <c r="R74" s="41" t="s">
        <v>345</v>
      </c>
      <c r="S74" s="41" t="s">
        <v>349</v>
      </c>
      <c r="T74" s="41"/>
      <c r="U74" s="41"/>
      <c r="V74" s="41"/>
      <c r="W74" s="44"/>
      <c r="X74" s="18"/>
      <c r="Y74" s="44"/>
      <c r="Z74" s="45"/>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0"/>
    </row>
    <row r="75" spans="1:52" ht="79.95" customHeight="1" x14ac:dyDescent="0.3">
      <c r="A75" s="40">
        <v>71</v>
      </c>
      <c r="B75" s="125"/>
      <c r="C75" s="123" t="s">
        <v>431</v>
      </c>
      <c r="D75" s="120" t="s">
        <v>345</v>
      </c>
      <c r="E75" s="120" t="s">
        <v>346</v>
      </c>
      <c r="F75" s="52" t="s">
        <v>199</v>
      </c>
      <c r="G75" s="128"/>
      <c r="H75" s="42" t="s">
        <v>369</v>
      </c>
      <c r="I75" s="43" t="s">
        <v>370</v>
      </c>
      <c r="J75" s="128" t="s">
        <v>168</v>
      </c>
      <c r="K75" s="128"/>
      <c r="L75" s="128"/>
      <c r="M75" s="128"/>
      <c r="N75" s="128"/>
      <c r="O75" s="128"/>
      <c r="P75" s="128"/>
      <c r="Q75" s="120" t="s">
        <v>202</v>
      </c>
      <c r="R75" s="41" t="s">
        <v>345</v>
      </c>
      <c r="S75" s="41" t="s">
        <v>349</v>
      </c>
      <c r="T75" s="41"/>
      <c r="U75" s="41"/>
      <c r="V75" s="41"/>
      <c r="W75" s="44"/>
      <c r="X75" s="18"/>
      <c r="Y75" s="44"/>
      <c r="Z75" s="45"/>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0"/>
    </row>
    <row r="76" spans="1:52" ht="79.95" customHeight="1" x14ac:dyDescent="0.3">
      <c r="A76" s="40">
        <v>72</v>
      </c>
      <c r="B76" s="125"/>
      <c r="C76" s="123" t="s">
        <v>431</v>
      </c>
      <c r="D76" s="120" t="s">
        <v>345</v>
      </c>
      <c r="E76" s="120" t="s">
        <v>346</v>
      </c>
      <c r="F76" s="52" t="s">
        <v>199</v>
      </c>
      <c r="G76" s="128"/>
      <c r="H76" s="42" t="s">
        <v>372</v>
      </c>
      <c r="I76" s="43" t="s">
        <v>373</v>
      </c>
      <c r="J76" s="128" t="s">
        <v>168</v>
      </c>
      <c r="K76" s="128"/>
      <c r="L76" s="128"/>
      <c r="M76" s="128"/>
      <c r="N76" s="128"/>
      <c r="O76" s="128"/>
      <c r="P76" s="128"/>
      <c r="Q76" s="120" t="s">
        <v>202</v>
      </c>
      <c r="R76" s="41" t="s">
        <v>345</v>
      </c>
      <c r="S76" s="41" t="s">
        <v>349</v>
      </c>
      <c r="T76" s="41"/>
      <c r="U76" s="41"/>
      <c r="V76" s="41"/>
      <c r="W76" s="44"/>
      <c r="X76" s="18"/>
      <c r="Y76" s="44"/>
      <c r="Z76" s="45"/>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0"/>
    </row>
    <row r="77" spans="1:52" ht="79.95" customHeight="1" x14ac:dyDescent="0.3">
      <c r="A77" s="40">
        <v>73</v>
      </c>
      <c r="B77" s="125"/>
      <c r="C77" s="123" t="s">
        <v>951</v>
      </c>
      <c r="D77" s="120" t="s">
        <v>345</v>
      </c>
      <c r="E77" s="120" t="s">
        <v>375</v>
      </c>
      <c r="F77" s="52" t="s">
        <v>199</v>
      </c>
      <c r="G77" s="128"/>
      <c r="H77" s="42" t="s">
        <v>377</v>
      </c>
      <c r="I77" s="43" t="s">
        <v>378</v>
      </c>
      <c r="J77" s="128" t="s">
        <v>168</v>
      </c>
      <c r="K77" s="128"/>
      <c r="L77" s="128"/>
      <c r="M77" s="128"/>
      <c r="N77" s="128"/>
      <c r="O77" s="128"/>
      <c r="P77" s="128"/>
      <c r="Q77" s="120" t="s">
        <v>202</v>
      </c>
      <c r="R77" s="41" t="s">
        <v>345</v>
      </c>
      <c r="S77" s="41" t="s">
        <v>349</v>
      </c>
      <c r="T77" s="41"/>
      <c r="U77" s="41"/>
      <c r="V77" s="41"/>
      <c r="W77" s="44"/>
      <c r="X77" s="18"/>
      <c r="Y77" s="44"/>
      <c r="Z77" s="45"/>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0"/>
    </row>
    <row r="78" spans="1:52" ht="79.95" customHeight="1" x14ac:dyDescent="0.3">
      <c r="A78" s="40">
        <v>74</v>
      </c>
      <c r="B78" s="125"/>
      <c r="C78" s="123" t="s">
        <v>951</v>
      </c>
      <c r="D78" s="120" t="s">
        <v>345</v>
      </c>
      <c r="E78" s="120" t="s">
        <v>375</v>
      </c>
      <c r="F78" s="52" t="s">
        <v>199</v>
      </c>
      <c r="G78" s="128"/>
      <c r="H78" s="42" t="s">
        <v>380</v>
      </c>
      <c r="I78" s="43" t="s">
        <v>355</v>
      </c>
      <c r="J78" s="128" t="s">
        <v>168</v>
      </c>
      <c r="K78" s="128"/>
      <c r="L78" s="128"/>
      <c r="M78" s="128"/>
      <c r="N78" s="128"/>
      <c r="O78" s="128"/>
      <c r="P78" s="128"/>
      <c r="Q78" s="120" t="s">
        <v>202</v>
      </c>
      <c r="R78" s="41" t="s">
        <v>345</v>
      </c>
      <c r="S78" s="41" t="s">
        <v>349</v>
      </c>
      <c r="T78" s="41"/>
      <c r="U78" s="41"/>
      <c r="V78" s="41"/>
      <c r="W78" s="44"/>
      <c r="X78" s="18"/>
      <c r="Y78" s="44"/>
      <c r="Z78" s="45"/>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0"/>
    </row>
    <row r="79" spans="1:52" ht="79.95" customHeight="1" x14ac:dyDescent="0.3">
      <c r="A79" s="40">
        <v>75</v>
      </c>
      <c r="B79" s="125"/>
      <c r="C79" s="123" t="s">
        <v>951</v>
      </c>
      <c r="D79" s="120" t="s">
        <v>345</v>
      </c>
      <c r="E79" s="120" t="s">
        <v>375</v>
      </c>
      <c r="F79" s="52" t="s">
        <v>199</v>
      </c>
      <c r="G79" s="128"/>
      <c r="H79" s="42" t="s">
        <v>382</v>
      </c>
      <c r="I79" s="43" t="s">
        <v>383</v>
      </c>
      <c r="J79" s="128" t="s">
        <v>168</v>
      </c>
      <c r="K79" s="128"/>
      <c r="L79" s="128"/>
      <c r="M79" s="128"/>
      <c r="N79" s="128"/>
      <c r="O79" s="128"/>
      <c r="P79" s="128"/>
      <c r="Q79" s="120" t="s">
        <v>202</v>
      </c>
      <c r="R79" s="41" t="s">
        <v>345</v>
      </c>
      <c r="S79" s="41" t="s">
        <v>349</v>
      </c>
      <c r="T79" s="41"/>
      <c r="U79" s="41"/>
      <c r="V79" s="41"/>
      <c r="W79" s="44"/>
      <c r="X79" s="18"/>
      <c r="Y79" s="44"/>
      <c r="Z79" s="45"/>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0"/>
    </row>
    <row r="80" spans="1:52" ht="79.95" customHeight="1" x14ac:dyDescent="0.3">
      <c r="A80" s="40">
        <v>76</v>
      </c>
      <c r="B80" s="125"/>
      <c r="C80" s="123" t="s">
        <v>951</v>
      </c>
      <c r="D80" s="120" t="s">
        <v>345</v>
      </c>
      <c r="E80" s="120" t="s">
        <v>375</v>
      </c>
      <c r="F80" s="52" t="s">
        <v>199</v>
      </c>
      <c r="G80" s="128"/>
      <c r="H80" s="42" t="s">
        <v>385</v>
      </c>
      <c r="I80" s="43" t="s">
        <v>386</v>
      </c>
      <c r="J80" s="128" t="s">
        <v>168</v>
      </c>
      <c r="K80" s="128"/>
      <c r="L80" s="128"/>
      <c r="M80" s="128"/>
      <c r="N80" s="128"/>
      <c r="O80" s="128"/>
      <c r="P80" s="128"/>
      <c r="Q80" s="120" t="s">
        <v>202</v>
      </c>
      <c r="R80" s="41" t="s">
        <v>345</v>
      </c>
      <c r="S80" s="41" t="s">
        <v>349</v>
      </c>
      <c r="T80" s="41"/>
      <c r="U80" s="41"/>
      <c r="V80" s="41"/>
      <c r="W80" s="44"/>
      <c r="X80" s="18"/>
      <c r="Y80" s="44"/>
      <c r="Z80" s="45"/>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0"/>
    </row>
    <row r="81" spans="1:52" ht="79.95" customHeight="1" x14ac:dyDescent="0.3">
      <c r="A81" s="40">
        <v>77</v>
      </c>
      <c r="B81" s="125"/>
      <c r="C81" s="123" t="s">
        <v>951</v>
      </c>
      <c r="D81" s="120" t="s">
        <v>345</v>
      </c>
      <c r="E81" s="120" t="s">
        <v>375</v>
      </c>
      <c r="F81" s="52" t="s">
        <v>199</v>
      </c>
      <c r="G81" s="128"/>
      <c r="H81" s="42" t="s">
        <v>387</v>
      </c>
      <c r="I81" s="43" t="s">
        <v>388</v>
      </c>
      <c r="J81" s="128" t="s">
        <v>168</v>
      </c>
      <c r="K81" s="128"/>
      <c r="L81" s="128"/>
      <c r="M81" s="128"/>
      <c r="N81" s="128"/>
      <c r="O81" s="128"/>
      <c r="P81" s="128"/>
      <c r="Q81" s="120" t="s">
        <v>202</v>
      </c>
      <c r="R81" s="41" t="s">
        <v>345</v>
      </c>
      <c r="S81" s="41" t="s">
        <v>349</v>
      </c>
      <c r="T81" s="41"/>
      <c r="U81" s="41"/>
      <c r="V81" s="41"/>
      <c r="W81" s="44"/>
      <c r="X81" s="18"/>
      <c r="Y81" s="44"/>
      <c r="Z81" s="45"/>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0"/>
    </row>
    <row r="82" spans="1:52" ht="79.95" customHeight="1" x14ac:dyDescent="0.3">
      <c r="A82" s="40">
        <v>78</v>
      </c>
      <c r="B82" s="125"/>
      <c r="C82" s="123" t="s">
        <v>951</v>
      </c>
      <c r="D82" s="120" t="s">
        <v>345</v>
      </c>
      <c r="E82" s="120" t="s">
        <v>375</v>
      </c>
      <c r="F82" s="52" t="s">
        <v>199</v>
      </c>
      <c r="G82" s="128"/>
      <c r="H82" s="42" t="s">
        <v>392</v>
      </c>
      <c r="I82" s="43" t="s">
        <v>393</v>
      </c>
      <c r="J82" s="128" t="s">
        <v>168</v>
      </c>
      <c r="K82" s="128"/>
      <c r="L82" s="128"/>
      <c r="M82" s="128"/>
      <c r="N82" s="128"/>
      <c r="O82" s="128"/>
      <c r="P82" s="128"/>
      <c r="Q82" s="120" t="s">
        <v>202</v>
      </c>
      <c r="R82" s="41" t="s">
        <v>345</v>
      </c>
      <c r="S82" s="41" t="s">
        <v>349</v>
      </c>
      <c r="T82" s="41"/>
      <c r="U82" s="41"/>
      <c r="V82" s="41"/>
      <c r="W82" s="44"/>
      <c r="X82" s="18"/>
      <c r="Y82" s="44"/>
      <c r="Z82" s="45"/>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0"/>
    </row>
    <row r="83" spans="1:52" ht="79.95" customHeight="1" x14ac:dyDescent="0.3">
      <c r="A83" s="40">
        <v>79</v>
      </c>
      <c r="B83" s="125"/>
      <c r="C83" s="123" t="s">
        <v>951</v>
      </c>
      <c r="D83" s="120" t="s">
        <v>345</v>
      </c>
      <c r="E83" s="120" t="s">
        <v>375</v>
      </c>
      <c r="F83" s="52" t="s">
        <v>199</v>
      </c>
      <c r="G83" s="128"/>
      <c r="H83" s="42" t="s">
        <v>395</v>
      </c>
      <c r="I83" s="43" t="s">
        <v>396</v>
      </c>
      <c r="J83" s="128" t="s">
        <v>168</v>
      </c>
      <c r="K83" s="128"/>
      <c r="L83" s="128"/>
      <c r="M83" s="128"/>
      <c r="N83" s="128"/>
      <c r="O83" s="128"/>
      <c r="P83" s="128"/>
      <c r="Q83" s="120" t="s">
        <v>202</v>
      </c>
      <c r="R83" s="41" t="s">
        <v>345</v>
      </c>
      <c r="S83" s="41" t="s">
        <v>349</v>
      </c>
      <c r="T83" s="41"/>
      <c r="U83" s="41"/>
      <c r="V83" s="41"/>
      <c r="W83" s="44"/>
      <c r="X83" s="18"/>
      <c r="Y83" s="44"/>
      <c r="Z83" s="45"/>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0"/>
    </row>
    <row r="84" spans="1:52" ht="79.95" customHeight="1" x14ac:dyDescent="0.3">
      <c r="A84" s="40">
        <v>80</v>
      </c>
      <c r="B84" s="125"/>
      <c r="C84" s="123" t="s">
        <v>951</v>
      </c>
      <c r="D84" s="120" t="s">
        <v>345</v>
      </c>
      <c r="E84" s="120" t="s">
        <v>375</v>
      </c>
      <c r="F84" s="52" t="s">
        <v>199</v>
      </c>
      <c r="G84" s="128"/>
      <c r="H84" s="42" t="s">
        <v>398</v>
      </c>
      <c r="I84" s="43" t="s">
        <v>399</v>
      </c>
      <c r="J84" s="128" t="s">
        <v>400</v>
      </c>
      <c r="K84" s="128"/>
      <c r="L84" s="128"/>
      <c r="M84" s="128"/>
      <c r="N84" s="128"/>
      <c r="O84" s="128"/>
      <c r="P84" s="128"/>
      <c r="Q84" s="120" t="s">
        <v>202</v>
      </c>
      <c r="R84" s="41" t="s">
        <v>345</v>
      </c>
      <c r="S84" s="41" t="s">
        <v>349</v>
      </c>
      <c r="T84" s="41"/>
      <c r="U84" s="41"/>
      <c r="V84" s="41"/>
      <c r="W84" s="44"/>
      <c r="X84" s="18"/>
      <c r="Y84" s="44"/>
      <c r="Z84" s="45"/>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0"/>
    </row>
    <row r="85" spans="1:52" ht="79.95" customHeight="1" x14ac:dyDescent="0.3">
      <c r="A85" s="40">
        <v>81</v>
      </c>
      <c r="B85" s="125"/>
      <c r="C85" s="123" t="s">
        <v>951</v>
      </c>
      <c r="D85" s="120" t="s">
        <v>345</v>
      </c>
      <c r="E85" s="120" t="s">
        <v>375</v>
      </c>
      <c r="F85" s="52" t="s">
        <v>199</v>
      </c>
      <c r="G85" s="128"/>
      <c r="H85" s="42" t="s">
        <v>403</v>
      </c>
      <c r="I85" s="43" t="s">
        <v>404</v>
      </c>
      <c r="J85" s="128" t="s">
        <v>400</v>
      </c>
      <c r="K85" s="128"/>
      <c r="L85" s="128"/>
      <c r="M85" s="128"/>
      <c r="N85" s="128"/>
      <c r="O85" s="128"/>
      <c r="P85" s="128"/>
      <c r="Q85" s="120" t="s">
        <v>202</v>
      </c>
      <c r="R85" s="41" t="s">
        <v>345</v>
      </c>
      <c r="S85" s="41" t="s">
        <v>349</v>
      </c>
      <c r="T85" s="41"/>
      <c r="U85" s="41"/>
      <c r="V85" s="41"/>
      <c r="W85" s="44"/>
      <c r="X85" s="18"/>
      <c r="Y85" s="44"/>
      <c r="Z85" s="45"/>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0"/>
    </row>
    <row r="86" spans="1:52" ht="79.95" customHeight="1" x14ac:dyDescent="0.3">
      <c r="A86" s="40">
        <v>82</v>
      </c>
      <c r="B86" s="125"/>
      <c r="C86" s="123" t="s">
        <v>951</v>
      </c>
      <c r="D86" s="120" t="s">
        <v>345</v>
      </c>
      <c r="E86" s="120" t="s">
        <v>375</v>
      </c>
      <c r="F86" s="52" t="s">
        <v>199</v>
      </c>
      <c r="G86" s="128"/>
      <c r="H86" s="42" t="s">
        <v>406</v>
      </c>
      <c r="I86" s="43" t="s">
        <v>407</v>
      </c>
      <c r="J86" s="128" t="s">
        <v>168</v>
      </c>
      <c r="K86" s="128"/>
      <c r="L86" s="128"/>
      <c r="M86" s="128"/>
      <c r="N86" s="128"/>
      <c r="O86" s="128"/>
      <c r="P86" s="128"/>
      <c r="Q86" s="120" t="s">
        <v>202</v>
      </c>
      <c r="R86" s="41" t="s">
        <v>345</v>
      </c>
      <c r="S86" s="41" t="s">
        <v>349</v>
      </c>
      <c r="T86" s="41"/>
      <c r="U86" s="41"/>
      <c r="V86" s="41"/>
      <c r="W86" s="44"/>
      <c r="X86" s="18"/>
      <c r="Y86" s="44"/>
      <c r="Z86" s="45"/>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0"/>
    </row>
    <row r="87" spans="1:52" ht="79.95" customHeight="1" x14ac:dyDescent="0.3">
      <c r="A87" s="40">
        <v>83</v>
      </c>
      <c r="B87" s="125"/>
      <c r="C87" s="123" t="s">
        <v>951</v>
      </c>
      <c r="D87" s="120" t="s">
        <v>345</v>
      </c>
      <c r="E87" s="120" t="s">
        <v>375</v>
      </c>
      <c r="F87" s="52" t="s">
        <v>199</v>
      </c>
      <c r="G87" s="128"/>
      <c r="H87" s="42" t="s">
        <v>410</v>
      </c>
      <c r="I87" s="43" t="s">
        <v>411</v>
      </c>
      <c r="J87" s="128" t="s">
        <v>168</v>
      </c>
      <c r="K87" s="128"/>
      <c r="L87" s="128"/>
      <c r="M87" s="128"/>
      <c r="N87" s="128"/>
      <c r="O87" s="128"/>
      <c r="P87" s="128"/>
      <c r="Q87" s="120" t="s">
        <v>202</v>
      </c>
      <c r="R87" s="41" t="s">
        <v>345</v>
      </c>
      <c r="S87" s="41" t="s">
        <v>349</v>
      </c>
      <c r="T87" s="41"/>
      <c r="U87" s="41"/>
      <c r="V87" s="41"/>
      <c r="W87" s="44"/>
      <c r="X87" s="18"/>
      <c r="Y87" s="44"/>
      <c r="Z87" s="45"/>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0"/>
    </row>
    <row r="88" spans="1:52" ht="79.95" customHeight="1" x14ac:dyDescent="0.3">
      <c r="A88" s="40">
        <v>84</v>
      </c>
      <c r="B88" s="125"/>
      <c r="C88" s="123" t="s">
        <v>951</v>
      </c>
      <c r="D88" s="120" t="s">
        <v>345</v>
      </c>
      <c r="E88" s="120" t="s">
        <v>375</v>
      </c>
      <c r="F88" s="52" t="s">
        <v>199</v>
      </c>
      <c r="G88" s="128"/>
      <c r="H88" s="42" t="s">
        <v>413</v>
      </c>
      <c r="I88" s="43" t="s">
        <v>414</v>
      </c>
      <c r="J88" s="128" t="s">
        <v>168</v>
      </c>
      <c r="K88" s="128"/>
      <c r="L88" s="128"/>
      <c r="M88" s="128"/>
      <c r="N88" s="128"/>
      <c r="O88" s="128"/>
      <c r="P88" s="128"/>
      <c r="Q88" s="120" t="s">
        <v>202</v>
      </c>
      <c r="R88" s="41" t="s">
        <v>345</v>
      </c>
      <c r="S88" s="41" t="s">
        <v>349</v>
      </c>
      <c r="T88" s="41"/>
      <c r="U88" s="41"/>
      <c r="V88" s="41"/>
      <c r="W88" s="44"/>
      <c r="X88" s="18"/>
      <c r="Y88" s="44"/>
      <c r="Z88" s="45"/>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0"/>
    </row>
    <row r="89" spans="1:52" ht="79.95" customHeight="1" x14ac:dyDescent="0.3">
      <c r="A89" s="40">
        <v>85</v>
      </c>
      <c r="B89" s="125"/>
      <c r="C89" s="123" t="s">
        <v>438</v>
      </c>
      <c r="D89" s="120" t="s">
        <v>416</v>
      </c>
      <c r="E89" s="60" t="s">
        <v>417</v>
      </c>
      <c r="F89" s="52" t="s">
        <v>199</v>
      </c>
      <c r="G89" s="128"/>
      <c r="H89" s="120" t="s">
        <v>418</v>
      </c>
      <c r="I89" s="60" t="s">
        <v>419</v>
      </c>
      <c r="J89" s="128" t="s">
        <v>168</v>
      </c>
      <c r="K89" s="128"/>
      <c r="L89" s="128"/>
      <c r="M89" s="128"/>
      <c r="N89" s="128"/>
      <c r="O89" s="128"/>
      <c r="P89" s="128"/>
      <c r="Q89" s="120" t="s">
        <v>202</v>
      </c>
      <c r="R89" s="41" t="s">
        <v>420</v>
      </c>
      <c r="S89" s="41"/>
      <c r="T89" s="41"/>
      <c r="U89" s="41"/>
      <c r="V89" s="41"/>
      <c r="W89" s="44"/>
      <c r="X89" s="18"/>
      <c r="Y89" s="44"/>
      <c r="Z89" s="45"/>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0"/>
    </row>
    <row r="90" spans="1:52" ht="79.95" customHeight="1" x14ac:dyDescent="0.3">
      <c r="A90" s="40">
        <v>86</v>
      </c>
      <c r="B90" s="125"/>
      <c r="C90" s="123" t="s">
        <v>438</v>
      </c>
      <c r="D90" s="120" t="s">
        <v>416</v>
      </c>
      <c r="E90" s="60" t="s">
        <v>417</v>
      </c>
      <c r="F90" s="52" t="s">
        <v>199</v>
      </c>
      <c r="G90" s="128"/>
      <c r="H90" s="120" t="s">
        <v>422</v>
      </c>
      <c r="I90" s="60" t="s">
        <v>423</v>
      </c>
      <c r="J90" s="128" t="s">
        <v>168</v>
      </c>
      <c r="K90" s="128"/>
      <c r="L90" s="128"/>
      <c r="M90" s="128"/>
      <c r="N90" s="128"/>
      <c r="O90" s="128"/>
      <c r="P90" s="128"/>
      <c r="Q90" s="120" t="s">
        <v>202</v>
      </c>
      <c r="R90" s="41" t="s">
        <v>420</v>
      </c>
      <c r="S90" s="41"/>
      <c r="T90" s="41"/>
      <c r="U90" s="41"/>
      <c r="V90" s="41"/>
      <c r="W90" s="44"/>
      <c r="X90" s="18"/>
      <c r="Y90" s="44"/>
      <c r="Z90" s="45"/>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0"/>
    </row>
    <row r="91" spans="1:52" ht="79.95" customHeight="1" x14ac:dyDescent="0.3">
      <c r="A91" s="40">
        <v>87</v>
      </c>
      <c r="B91" s="125"/>
      <c r="C91" s="123" t="s">
        <v>438</v>
      </c>
      <c r="D91" s="120" t="s">
        <v>416</v>
      </c>
      <c r="E91" s="60" t="s">
        <v>425</v>
      </c>
      <c r="F91" s="52" t="s">
        <v>199</v>
      </c>
      <c r="G91" s="128"/>
      <c r="H91" s="120" t="s">
        <v>426</v>
      </c>
      <c r="I91" s="60" t="s">
        <v>427</v>
      </c>
      <c r="J91" s="128" t="s">
        <v>261</v>
      </c>
      <c r="K91" s="128"/>
      <c r="L91" s="128"/>
      <c r="M91" s="128"/>
      <c r="N91" s="128"/>
      <c r="O91" s="128"/>
      <c r="P91" s="128"/>
      <c r="Q91" s="120" t="s">
        <v>202</v>
      </c>
      <c r="R91" s="41" t="s">
        <v>420</v>
      </c>
      <c r="S91" s="41"/>
      <c r="T91" s="41"/>
      <c r="U91" s="41"/>
      <c r="V91" s="41"/>
      <c r="W91" s="44"/>
      <c r="X91" s="18"/>
      <c r="Y91" s="44"/>
      <c r="Z91" s="45"/>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0"/>
    </row>
    <row r="92" spans="1:52" ht="79.95" customHeight="1" x14ac:dyDescent="0.3">
      <c r="A92" s="40">
        <v>88</v>
      </c>
      <c r="B92" s="125"/>
      <c r="C92" s="123" t="s">
        <v>438</v>
      </c>
      <c r="D92" s="120" t="s">
        <v>416</v>
      </c>
      <c r="E92" s="60" t="s">
        <v>429</v>
      </c>
      <c r="F92" s="52" t="s">
        <v>199</v>
      </c>
      <c r="G92" s="128"/>
      <c r="H92" s="120" t="s">
        <v>430</v>
      </c>
      <c r="I92" s="60"/>
      <c r="J92" s="128" t="s">
        <v>168</v>
      </c>
      <c r="K92" s="128"/>
      <c r="L92" s="128"/>
      <c r="M92" s="128"/>
      <c r="N92" s="128"/>
      <c r="O92" s="128"/>
      <c r="P92" s="128"/>
      <c r="Q92" s="120" t="s">
        <v>202</v>
      </c>
      <c r="R92" s="41" t="s">
        <v>420</v>
      </c>
      <c r="S92" s="41"/>
      <c r="T92" s="41"/>
      <c r="U92" s="41"/>
      <c r="V92" s="41"/>
      <c r="W92" s="44"/>
      <c r="X92" s="18"/>
      <c r="Y92" s="44"/>
      <c r="Z92" s="45"/>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0"/>
    </row>
    <row r="93" spans="1:52" ht="79.95" customHeight="1" x14ac:dyDescent="0.3">
      <c r="A93" s="40">
        <v>89</v>
      </c>
      <c r="B93" s="125"/>
      <c r="C93" s="123" t="s">
        <v>438</v>
      </c>
      <c r="D93" s="120" t="s">
        <v>416</v>
      </c>
      <c r="E93" s="60" t="s">
        <v>429</v>
      </c>
      <c r="F93" s="52" t="s">
        <v>199</v>
      </c>
      <c r="G93" s="128"/>
      <c r="H93" s="120" t="s">
        <v>437</v>
      </c>
      <c r="I93" s="60"/>
      <c r="J93" s="128" t="s">
        <v>168</v>
      </c>
      <c r="K93" s="128"/>
      <c r="L93" s="128"/>
      <c r="M93" s="128"/>
      <c r="N93" s="128"/>
      <c r="O93" s="128"/>
      <c r="P93" s="128"/>
      <c r="Q93" s="120" t="s">
        <v>202</v>
      </c>
      <c r="R93" s="41" t="s">
        <v>420</v>
      </c>
      <c r="S93" s="41"/>
      <c r="T93" s="41"/>
      <c r="U93" s="41"/>
      <c r="V93" s="41"/>
      <c r="W93" s="44"/>
      <c r="X93" s="18"/>
      <c r="Y93" s="44"/>
      <c r="Z93" s="45"/>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0"/>
    </row>
    <row r="94" spans="1:52" ht="79.95" customHeight="1" x14ac:dyDescent="0.3">
      <c r="A94" s="40">
        <v>90</v>
      </c>
      <c r="B94" s="125"/>
      <c r="C94" s="123" t="s">
        <v>438</v>
      </c>
      <c r="D94" s="120" t="s">
        <v>416</v>
      </c>
      <c r="E94" s="60" t="s">
        <v>442</v>
      </c>
      <c r="F94" s="52" t="s">
        <v>199</v>
      </c>
      <c r="G94" s="128"/>
      <c r="H94" s="120" t="s">
        <v>444</v>
      </c>
      <c r="I94" s="60" t="s">
        <v>445</v>
      </c>
      <c r="J94" s="128" t="s">
        <v>168</v>
      </c>
      <c r="K94" s="128"/>
      <c r="L94" s="128"/>
      <c r="M94" s="128"/>
      <c r="N94" s="128"/>
      <c r="O94" s="128"/>
      <c r="P94" s="128"/>
      <c r="Q94" s="120" t="s">
        <v>202</v>
      </c>
      <c r="R94" s="41" t="s">
        <v>420</v>
      </c>
      <c r="S94" s="41"/>
      <c r="T94" s="41"/>
      <c r="U94" s="41"/>
      <c r="V94" s="41"/>
      <c r="W94" s="44"/>
      <c r="X94" s="18"/>
      <c r="Y94" s="44"/>
      <c r="Z94" s="45"/>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0"/>
    </row>
    <row r="95" spans="1:52" ht="79.95" customHeight="1" x14ac:dyDescent="0.3">
      <c r="A95" s="40">
        <v>91</v>
      </c>
      <c r="B95" s="125"/>
      <c r="C95" s="123" t="s">
        <v>438</v>
      </c>
      <c r="D95" s="120" t="s">
        <v>416</v>
      </c>
      <c r="E95" s="60" t="s">
        <v>442</v>
      </c>
      <c r="F95" s="52" t="s">
        <v>199</v>
      </c>
      <c r="G95" s="128"/>
      <c r="H95" s="120" t="s">
        <v>450</v>
      </c>
      <c r="I95" s="60" t="s">
        <v>451</v>
      </c>
      <c r="J95" s="128" t="s">
        <v>168</v>
      </c>
      <c r="K95" s="128"/>
      <c r="L95" s="128"/>
      <c r="M95" s="128"/>
      <c r="N95" s="128"/>
      <c r="O95" s="128"/>
      <c r="P95" s="128"/>
      <c r="Q95" s="120" t="s">
        <v>202</v>
      </c>
      <c r="R95" s="41" t="s">
        <v>420</v>
      </c>
      <c r="S95" s="41"/>
      <c r="T95" s="41"/>
      <c r="U95" s="41"/>
      <c r="V95" s="41"/>
      <c r="W95" s="44"/>
      <c r="X95" s="18"/>
      <c r="Y95" s="44"/>
      <c r="Z95" s="45"/>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0"/>
    </row>
    <row r="96" spans="1:52" ht="79.95" customHeight="1" x14ac:dyDescent="0.3">
      <c r="A96" s="40">
        <v>92</v>
      </c>
      <c r="B96" s="125"/>
      <c r="C96" s="123" t="s">
        <v>438</v>
      </c>
      <c r="D96" s="120" t="s">
        <v>416</v>
      </c>
      <c r="E96" s="60" t="s">
        <v>442</v>
      </c>
      <c r="F96" s="52" t="s">
        <v>199</v>
      </c>
      <c r="G96" s="128"/>
      <c r="H96" s="120" t="s">
        <v>456</v>
      </c>
      <c r="I96" s="60" t="s">
        <v>457</v>
      </c>
      <c r="J96" s="128" t="s">
        <v>168</v>
      </c>
      <c r="K96" s="128"/>
      <c r="L96" s="128"/>
      <c r="M96" s="128"/>
      <c r="N96" s="128"/>
      <c r="O96" s="128"/>
      <c r="P96" s="128"/>
      <c r="Q96" s="120" t="s">
        <v>202</v>
      </c>
      <c r="R96" s="41" t="s">
        <v>420</v>
      </c>
      <c r="S96" s="41"/>
      <c r="T96" s="41"/>
      <c r="U96" s="41"/>
      <c r="V96" s="41"/>
      <c r="W96" s="44"/>
      <c r="X96" s="18"/>
      <c r="Y96" s="44"/>
      <c r="Z96" s="45"/>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0"/>
    </row>
    <row r="97" spans="1:52" ht="79.95" customHeight="1" x14ac:dyDescent="0.3">
      <c r="A97" s="40">
        <v>93</v>
      </c>
      <c r="B97" s="125"/>
      <c r="C97" s="123" t="s">
        <v>438</v>
      </c>
      <c r="D97" s="120" t="s">
        <v>416</v>
      </c>
      <c r="E97" s="60" t="s">
        <v>442</v>
      </c>
      <c r="F97" s="52" t="s">
        <v>199</v>
      </c>
      <c r="G97" s="128"/>
      <c r="H97" s="120" t="s">
        <v>462</v>
      </c>
      <c r="I97" s="120" t="s">
        <v>463</v>
      </c>
      <c r="J97" s="128" t="s">
        <v>168</v>
      </c>
      <c r="K97" s="128"/>
      <c r="L97" s="128"/>
      <c r="M97" s="128"/>
      <c r="N97" s="128"/>
      <c r="O97" s="128"/>
      <c r="P97" s="128"/>
      <c r="Q97" s="120" t="s">
        <v>202</v>
      </c>
      <c r="R97" s="41" t="s">
        <v>420</v>
      </c>
      <c r="S97" s="41"/>
      <c r="T97" s="41"/>
      <c r="U97" s="41"/>
      <c r="V97" s="41"/>
      <c r="W97" s="44"/>
      <c r="X97" s="18"/>
      <c r="Y97" s="44"/>
      <c r="Z97" s="45"/>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0"/>
    </row>
    <row r="98" spans="1:52" ht="79.95" customHeight="1" x14ac:dyDescent="0.3">
      <c r="A98" s="40">
        <v>94</v>
      </c>
      <c r="B98" s="125"/>
      <c r="C98" s="123" t="s">
        <v>438</v>
      </c>
      <c r="D98" s="120" t="s">
        <v>416</v>
      </c>
      <c r="E98" s="60" t="s">
        <v>467</v>
      </c>
      <c r="F98" s="52" t="s">
        <v>199</v>
      </c>
      <c r="G98" s="130"/>
      <c r="H98" s="120" t="s">
        <v>468</v>
      </c>
      <c r="I98" s="60"/>
      <c r="J98" s="128" t="s">
        <v>168</v>
      </c>
      <c r="K98" s="130"/>
      <c r="L98" s="130"/>
      <c r="M98" s="130"/>
      <c r="N98" s="130"/>
      <c r="O98" s="130"/>
      <c r="P98" s="130"/>
      <c r="Q98" s="120" t="s">
        <v>202</v>
      </c>
      <c r="R98" s="41" t="s">
        <v>420</v>
      </c>
      <c r="S98" s="41"/>
      <c r="T98" s="41"/>
      <c r="U98" s="41"/>
      <c r="V98" s="41"/>
      <c r="W98" s="44"/>
      <c r="X98" s="18"/>
      <c r="Y98" s="44"/>
      <c r="Z98" s="45"/>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0"/>
    </row>
    <row r="99" spans="1:52" ht="79.95" customHeight="1" x14ac:dyDescent="0.3">
      <c r="A99" s="40">
        <v>95</v>
      </c>
      <c r="B99" s="125"/>
      <c r="C99" s="123" t="s">
        <v>438</v>
      </c>
      <c r="D99" s="120" t="s">
        <v>416</v>
      </c>
      <c r="E99" s="60" t="s">
        <v>475</v>
      </c>
      <c r="F99" s="52" t="s">
        <v>199</v>
      </c>
      <c r="G99" s="130"/>
      <c r="H99" s="120" t="s">
        <v>476</v>
      </c>
      <c r="I99" s="60"/>
      <c r="J99" s="128" t="s">
        <v>168</v>
      </c>
      <c r="K99" s="130"/>
      <c r="L99" s="130"/>
      <c r="M99" s="130"/>
      <c r="N99" s="130"/>
      <c r="O99" s="130"/>
      <c r="P99" s="130"/>
      <c r="Q99" s="120" t="s">
        <v>202</v>
      </c>
      <c r="R99" s="41" t="s">
        <v>420</v>
      </c>
      <c r="S99" s="41"/>
      <c r="T99" s="41"/>
      <c r="U99" s="41"/>
      <c r="V99" s="41"/>
      <c r="W99" s="44"/>
      <c r="X99" s="18"/>
      <c r="Y99" s="44"/>
      <c r="Z99" s="45"/>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0"/>
    </row>
    <row r="100" spans="1:52" ht="79.95" customHeight="1" x14ac:dyDescent="0.3">
      <c r="A100" s="40">
        <v>96</v>
      </c>
      <c r="B100" s="125"/>
      <c r="C100" s="123" t="s">
        <v>438</v>
      </c>
      <c r="D100" s="120" t="s">
        <v>416</v>
      </c>
      <c r="E100" s="60" t="s">
        <v>475</v>
      </c>
      <c r="F100" s="52" t="s">
        <v>199</v>
      </c>
      <c r="G100" s="131"/>
      <c r="H100" s="120" t="s">
        <v>482</v>
      </c>
      <c r="I100" s="60"/>
      <c r="J100" s="128" t="s">
        <v>168</v>
      </c>
      <c r="K100" s="131"/>
      <c r="L100" s="131"/>
      <c r="M100" s="131"/>
      <c r="N100" s="131"/>
      <c r="O100" s="131"/>
      <c r="P100" s="131"/>
      <c r="Q100" s="120" t="s">
        <v>202</v>
      </c>
      <c r="R100" s="41" t="s">
        <v>420</v>
      </c>
      <c r="S100" s="41"/>
      <c r="T100" s="41"/>
      <c r="U100" s="41"/>
      <c r="V100" s="41"/>
      <c r="W100" s="44"/>
      <c r="X100" s="18"/>
      <c r="Y100" s="44"/>
      <c r="Z100" s="45"/>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0"/>
    </row>
    <row r="101" spans="1:52" ht="79.95" customHeight="1" x14ac:dyDescent="0.3">
      <c r="A101" s="40">
        <v>97</v>
      </c>
      <c r="B101" s="125"/>
      <c r="C101" s="123" t="s">
        <v>438</v>
      </c>
      <c r="D101" s="120" t="s">
        <v>416</v>
      </c>
      <c r="E101" s="60" t="s">
        <v>475</v>
      </c>
      <c r="F101" s="52" t="s">
        <v>199</v>
      </c>
      <c r="G101" s="131"/>
      <c r="H101" s="120" t="s">
        <v>491</v>
      </c>
      <c r="I101" s="60"/>
      <c r="J101" s="128" t="s">
        <v>168</v>
      </c>
      <c r="K101" s="131"/>
      <c r="L101" s="131"/>
      <c r="M101" s="131"/>
      <c r="N101" s="131"/>
      <c r="O101" s="131"/>
      <c r="P101" s="131"/>
      <c r="Q101" s="120" t="s">
        <v>202</v>
      </c>
      <c r="R101" s="41" t="s">
        <v>420</v>
      </c>
      <c r="S101" s="41"/>
      <c r="T101" s="41"/>
      <c r="U101" s="41"/>
      <c r="V101" s="41"/>
      <c r="W101" s="44"/>
      <c r="X101" s="18"/>
      <c r="Y101" s="44"/>
      <c r="Z101" s="45"/>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0"/>
    </row>
    <row r="102" spans="1:52" ht="79.95" customHeight="1" x14ac:dyDescent="0.3">
      <c r="A102" s="40">
        <v>98</v>
      </c>
      <c r="B102" s="125"/>
      <c r="C102" s="123" t="s">
        <v>438</v>
      </c>
      <c r="D102" s="120" t="s">
        <v>416</v>
      </c>
      <c r="E102" s="63" t="s">
        <v>499</v>
      </c>
      <c r="F102" s="52" t="s">
        <v>199</v>
      </c>
      <c r="G102" s="131"/>
      <c r="H102" s="120" t="s">
        <v>500</v>
      </c>
      <c r="I102" s="60"/>
      <c r="J102" s="128" t="s">
        <v>168</v>
      </c>
      <c r="K102" s="131"/>
      <c r="L102" s="131"/>
      <c r="M102" s="131"/>
      <c r="N102" s="131"/>
      <c r="O102" s="131"/>
      <c r="P102" s="131"/>
      <c r="Q102" s="120" t="s">
        <v>202</v>
      </c>
      <c r="R102" s="41" t="s">
        <v>420</v>
      </c>
      <c r="S102" s="41"/>
      <c r="T102" s="41"/>
      <c r="U102" s="41"/>
      <c r="V102" s="41"/>
      <c r="W102" s="44"/>
      <c r="X102" s="18"/>
      <c r="Y102" s="44"/>
      <c r="Z102" s="45"/>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0"/>
    </row>
    <row r="103" spans="1:52" ht="79.95" customHeight="1" x14ac:dyDescent="0.3">
      <c r="A103" s="40">
        <v>99</v>
      </c>
      <c r="B103" s="125"/>
      <c r="C103" s="123" t="s">
        <v>438</v>
      </c>
      <c r="D103" s="120" t="s">
        <v>416</v>
      </c>
      <c r="E103" s="63" t="s">
        <v>499</v>
      </c>
      <c r="F103" s="52" t="s">
        <v>199</v>
      </c>
      <c r="G103" s="131"/>
      <c r="H103" s="120" t="s">
        <v>507</v>
      </c>
      <c r="I103" s="60"/>
      <c r="J103" s="128" t="s">
        <v>168</v>
      </c>
      <c r="K103" s="131"/>
      <c r="L103" s="131"/>
      <c r="M103" s="131"/>
      <c r="N103" s="131"/>
      <c r="O103" s="131"/>
      <c r="P103" s="131"/>
      <c r="Q103" s="120" t="s">
        <v>202</v>
      </c>
      <c r="R103" s="41" t="s">
        <v>420</v>
      </c>
      <c r="S103" s="41"/>
      <c r="T103" s="41"/>
      <c r="U103" s="41"/>
      <c r="V103" s="41"/>
      <c r="W103" s="44"/>
      <c r="X103" s="18"/>
      <c r="Y103" s="44"/>
      <c r="Z103" s="45"/>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0"/>
    </row>
    <row r="104" spans="1:52" ht="79.95" customHeight="1" x14ac:dyDescent="0.3">
      <c r="A104" s="40">
        <v>100</v>
      </c>
      <c r="B104" s="125"/>
      <c r="C104" s="123" t="s">
        <v>438</v>
      </c>
      <c r="D104" s="120" t="s">
        <v>416</v>
      </c>
      <c r="E104" s="63" t="s">
        <v>499</v>
      </c>
      <c r="F104" s="52" t="s">
        <v>199</v>
      </c>
      <c r="G104" s="130"/>
      <c r="H104" s="120" t="s">
        <v>514</v>
      </c>
      <c r="I104" s="60"/>
      <c r="J104" s="128" t="s">
        <v>168</v>
      </c>
      <c r="K104" s="130"/>
      <c r="L104" s="130"/>
      <c r="M104" s="130"/>
      <c r="N104" s="130"/>
      <c r="O104" s="130"/>
      <c r="P104" s="130"/>
      <c r="Q104" s="120" t="s">
        <v>202</v>
      </c>
      <c r="R104" s="41" t="s">
        <v>420</v>
      </c>
      <c r="S104" s="41"/>
      <c r="T104" s="41"/>
      <c r="U104" s="41"/>
      <c r="V104" s="41"/>
      <c r="W104" s="44"/>
      <c r="X104" s="18"/>
      <c r="Y104" s="44"/>
      <c r="Z104" s="45"/>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0"/>
    </row>
    <row r="105" spans="1:52" ht="79.95" customHeight="1" x14ac:dyDescent="0.3">
      <c r="A105" s="40">
        <v>101</v>
      </c>
      <c r="B105" s="125"/>
      <c r="C105" s="123" t="s">
        <v>438</v>
      </c>
      <c r="D105" s="120" t="s">
        <v>416</v>
      </c>
      <c r="E105" s="60" t="s">
        <v>475</v>
      </c>
      <c r="F105" s="52" t="s">
        <v>199</v>
      </c>
      <c r="G105" s="130"/>
      <c r="H105" s="120" t="s">
        <v>523</v>
      </c>
      <c r="I105" s="60"/>
      <c r="J105" s="128" t="s">
        <v>168</v>
      </c>
      <c r="K105" s="130"/>
      <c r="L105" s="130"/>
      <c r="M105" s="130"/>
      <c r="N105" s="130"/>
      <c r="O105" s="130"/>
      <c r="P105" s="130"/>
      <c r="Q105" s="120" t="s">
        <v>202</v>
      </c>
      <c r="R105" s="41" t="s">
        <v>420</v>
      </c>
      <c r="S105" s="41"/>
      <c r="T105" s="41"/>
      <c r="U105" s="41"/>
      <c r="V105" s="41"/>
      <c r="W105" s="44"/>
      <c r="X105" s="18"/>
      <c r="Y105" s="44"/>
      <c r="Z105" s="45"/>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0"/>
    </row>
    <row r="106" spans="1:52" ht="79.95" customHeight="1" x14ac:dyDescent="0.3">
      <c r="A106" s="40">
        <v>102</v>
      </c>
      <c r="B106" s="125"/>
      <c r="C106" s="123" t="s">
        <v>438</v>
      </c>
      <c r="D106" s="120" t="s">
        <v>416</v>
      </c>
      <c r="E106" s="60" t="s">
        <v>475</v>
      </c>
      <c r="F106" s="52" t="s">
        <v>199</v>
      </c>
      <c r="G106" s="130"/>
      <c r="H106" s="120" t="s">
        <v>531</v>
      </c>
      <c r="I106" s="60"/>
      <c r="J106" s="128" t="s">
        <v>168</v>
      </c>
      <c r="K106" s="130"/>
      <c r="L106" s="130"/>
      <c r="M106" s="130"/>
      <c r="N106" s="130"/>
      <c r="O106" s="130"/>
      <c r="P106" s="130"/>
      <c r="Q106" s="120" t="s">
        <v>202</v>
      </c>
      <c r="R106" s="41" t="s">
        <v>420</v>
      </c>
      <c r="S106" s="41"/>
      <c r="T106" s="41"/>
      <c r="U106" s="41"/>
      <c r="V106" s="41"/>
      <c r="W106" s="44"/>
      <c r="X106" s="18"/>
      <c r="Y106" s="44"/>
      <c r="Z106" s="45"/>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0"/>
    </row>
    <row r="107" spans="1:52" ht="79.95" customHeight="1" x14ac:dyDescent="0.3">
      <c r="A107" s="40">
        <v>103</v>
      </c>
      <c r="B107" s="125"/>
      <c r="C107" s="123" t="s">
        <v>438</v>
      </c>
      <c r="D107" s="120" t="s">
        <v>416</v>
      </c>
      <c r="E107" s="60" t="s">
        <v>475</v>
      </c>
      <c r="F107" s="52" t="s">
        <v>199</v>
      </c>
      <c r="G107" s="130"/>
      <c r="H107" s="120" t="s">
        <v>541</v>
      </c>
      <c r="I107" s="60"/>
      <c r="J107" s="128" t="s">
        <v>168</v>
      </c>
      <c r="K107" s="130"/>
      <c r="L107" s="130"/>
      <c r="M107" s="130"/>
      <c r="N107" s="130"/>
      <c r="O107" s="130"/>
      <c r="P107" s="130"/>
      <c r="Q107" s="120" t="s">
        <v>202</v>
      </c>
      <c r="R107" s="41" t="s">
        <v>420</v>
      </c>
      <c r="S107" s="41"/>
      <c r="T107" s="41"/>
      <c r="U107" s="41"/>
      <c r="V107" s="41"/>
      <c r="W107" s="44"/>
      <c r="X107" s="18"/>
      <c r="Y107" s="44"/>
      <c r="Z107" s="45"/>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0"/>
    </row>
    <row r="108" spans="1:52" ht="79.95" customHeight="1" x14ac:dyDescent="0.3">
      <c r="A108" s="40">
        <v>104</v>
      </c>
      <c r="B108" s="125"/>
      <c r="C108" s="123" t="s">
        <v>438</v>
      </c>
      <c r="D108" s="120" t="s">
        <v>416</v>
      </c>
      <c r="E108" s="63" t="s">
        <v>499</v>
      </c>
      <c r="F108" s="52" t="s">
        <v>199</v>
      </c>
      <c r="G108" s="128"/>
      <c r="H108" s="120" t="s">
        <v>549</v>
      </c>
      <c r="I108" s="63" t="s">
        <v>550</v>
      </c>
      <c r="J108" s="128" t="s">
        <v>168</v>
      </c>
      <c r="K108" s="128"/>
      <c r="L108" s="128"/>
      <c r="M108" s="128"/>
      <c r="N108" s="128"/>
      <c r="O108" s="128"/>
      <c r="P108" s="128"/>
      <c r="Q108" s="120" t="s">
        <v>202</v>
      </c>
      <c r="R108" s="41" t="s">
        <v>420</v>
      </c>
      <c r="S108" s="41"/>
      <c r="T108" s="41"/>
      <c r="U108" s="41"/>
      <c r="V108" s="41"/>
      <c r="W108" s="44"/>
      <c r="X108" s="18"/>
      <c r="Y108" s="44"/>
      <c r="Z108" s="45"/>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0"/>
    </row>
    <row r="109" spans="1:52" ht="79.95" customHeight="1" x14ac:dyDescent="0.3">
      <c r="A109" s="40">
        <v>105</v>
      </c>
      <c r="B109" s="125"/>
      <c r="C109" s="123" t="s">
        <v>438</v>
      </c>
      <c r="D109" s="120" t="s">
        <v>416</v>
      </c>
      <c r="E109" s="120" t="s">
        <v>499</v>
      </c>
      <c r="F109" s="52" t="s">
        <v>199</v>
      </c>
      <c r="G109" s="128"/>
      <c r="H109" s="120" t="s">
        <v>558</v>
      </c>
      <c r="I109" s="120"/>
      <c r="J109" s="128" t="s">
        <v>168</v>
      </c>
      <c r="K109" s="128"/>
      <c r="L109" s="128"/>
      <c r="M109" s="128"/>
      <c r="N109" s="128"/>
      <c r="O109" s="128"/>
      <c r="P109" s="128"/>
      <c r="Q109" s="120" t="s">
        <v>202</v>
      </c>
      <c r="R109" s="41" t="s">
        <v>420</v>
      </c>
      <c r="S109" s="41"/>
      <c r="T109" s="41"/>
      <c r="U109" s="41"/>
      <c r="V109" s="41"/>
      <c r="W109" s="44"/>
      <c r="X109" s="18"/>
      <c r="Y109" s="44"/>
      <c r="Z109" s="45"/>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0"/>
    </row>
    <row r="110" spans="1:52" ht="79.95" customHeight="1" x14ac:dyDescent="0.3">
      <c r="A110" s="40">
        <v>106</v>
      </c>
      <c r="B110" s="125"/>
      <c r="C110" s="123" t="s">
        <v>438</v>
      </c>
      <c r="D110" s="120" t="s">
        <v>416</v>
      </c>
      <c r="E110" s="120" t="s">
        <v>566</v>
      </c>
      <c r="F110" s="52" t="s">
        <v>199</v>
      </c>
      <c r="G110" s="128"/>
      <c r="H110" s="58" t="s">
        <v>569</v>
      </c>
      <c r="I110" s="120"/>
      <c r="J110" s="128" t="s">
        <v>168</v>
      </c>
      <c r="K110" s="128"/>
      <c r="L110" s="128"/>
      <c r="M110" s="128"/>
      <c r="N110" s="128"/>
      <c r="O110" s="128"/>
      <c r="P110" s="128"/>
      <c r="Q110" s="120" t="s">
        <v>202</v>
      </c>
      <c r="R110" s="41" t="s">
        <v>420</v>
      </c>
      <c r="S110" s="41"/>
      <c r="T110" s="41"/>
      <c r="U110" s="41"/>
      <c r="V110" s="41"/>
      <c r="W110" s="44"/>
      <c r="X110" s="18"/>
      <c r="Y110" s="44"/>
      <c r="Z110" s="45"/>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0"/>
    </row>
    <row r="111" spans="1:52" ht="79.95" customHeight="1" x14ac:dyDescent="0.3">
      <c r="A111" s="40">
        <v>107</v>
      </c>
      <c r="B111" s="125"/>
      <c r="C111" s="123" t="s">
        <v>438</v>
      </c>
      <c r="D111" s="120" t="s">
        <v>416</v>
      </c>
      <c r="E111" s="67" t="s">
        <v>575</v>
      </c>
      <c r="F111" s="52" t="s">
        <v>199</v>
      </c>
      <c r="G111" s="128"/>
      <c r="H111" s="120" t="s">
        <v>577</v>
      </c>
      <c r="I111" s="68" t="s">
        <v>578</v>
      </c>
      <c r="J111" s="128" t="s">
        <v>168</v>
      </c>
      <c r="K111" s="128"/>
      <c r="L111" s="128"/>
      <c r="M111" s="128"/>
      <c r="N111" s="128"/>
      <c r="O111" s="128"/>
      <c r="P111" s="128"/>
      <c r="Q111" s="120" t="s">
        <v>202</v>
      </c>
      <c r="R111" s="41" t="s">
        <v>420</v>
      </c>
      <c r="S111" s="41"/>
      <c r="T111" s="41"/>
      <c r="U111" s="41"/>
      <c r="V111" s="41"/>
      <c r="W111" s="44"/>
      <c r="X111" s="18"/>
      <c r="Y111" s="44"/>
      <c r="Z111" s="45"/>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0"/>
    </row>
    <row r="112" spans="1:52" ht="79.95" customHeight="1" x14ac:dyDescent="0.3">
      <c r="A112" s="40">
        <v>108</v>
      </c>
      <c r="B112" s="125"/>
      <c r="C112" s="123" t="s">
        <v>438</v>
      </c>
      <c r="D112" s="120" t="s">
        <v>416</v>
      </c>
      <c r="E112" s="69" t="s">
        <v>575</v>
      </c>
      <c r="F112" s="52" t="s">
        <v>199</v>
      </c>
      <c r="G112" s="128"/>
      <c r="H112" s="120" t="s">
        <v>585</v>
      </c>
      <c r="I112" s="70" t="s">
        <v>586</v>
      </c>
      <c r="J112" s="128" t="s">
        <v>168</v>
      </c>
      <c r="K112" s="128"/>
      <c r="L112" s="128"/>
      <c r="M112" s="128"/>
      <c r="N112" s="128"/>
      <c r="O112" s="128"/>
      <c r="P112" s="128"/>
      <c r="Q112" s="120" t="s">
        <v>202</v>
      </c>
      <c r="R112" s="41" t="s">
        <v>420</v>
      </c>
      <c r="S112" s="41"/>
      <c r="T112" s="41"/>
      <c r="U112" s="41"/>
      <c r="V112" s="41"/>
      <c r="W112" s="44"/>
      <c r="X112" s="18"/>
      <c r="Y112" s="44"/>
      <c r="Z112" s="45"/>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0"/>
    </row>
    <row r="113" spans="1:52" ht="79.95" customHeight="1" x14ac:dyDescent="0.3">
      <c r="A113" s="40">
        <v>109</v>
      </c>
      <c r="B113" s="125"/>
      <c r="C113" s="123" t="s">
        <v>438</v>
      </c>
      <c r="D113" s="120" t="s">
        <v>416</v>
      </c>
      <c r="E113" s="120" t="s">
        <v>593</v>
      </c>
      <c r="F113" s="52" t="s">
        <v>199</v>
      </c>
      <c r="G113" s="128"/>
      <c r="H113" s="120" t="s">
        <v>594</v>
      </c>
      <c r="I113" s="120" t="s">
        <v>595</v>
      </c>
      <c r="J113" s="128" t="s">
        <v>168</v>
      </c>
      <c r="K113" s="128"/>
      <c r="L113" s="128"/>
      <c r="M113" s="128"/>
      <c r="N113" s="128"/>
      <c r="O113" s="128"/>
      <c r="P113" s="128"/>
      <c r="Q113" s="120" t="s">
        <v>202</v>
      </c>
      <c r="R113" s="41" t="s">
        <v>420</v>
      </c>
      <c r="S113" s="41"/>
      <c r="T113" s="41"/>
      <c r="U113" s="41"/>
      <c r="V113" s="41"/>
      <c r="W113" s="44"/>
      <c r="X113" s="18"/>
      <c r="Y113" s="44"/>
      <c r="Z113" s="45"/>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0"/>
    </row>
    <row r="114" spans="1:52" ht="79.95" customHeight="1" x14ac:dyDescent="0.3">
      <c r="A114" s="40">
        <v>110</v>
      </c>
      <c r="B114" s="125"/>
      <c r="C114" s="123" t="s">
        <v>438</v>
      </c>
      <c r="D114" s="120" t="s">
        <v>416</v>
      </c>
      <c r="E114" s="120" t="s">
        <v>593</v>
      </c>
      <c r="F114" s="52" t="s">
        <v>199</v>
      </c>
      <c r="G114" s="128"/>
      <c r="H114" s="120" t="s">
        <v>602</v>
      </c>
      <c r="I114" s="120" t="s">
        <v>603</v>
      </c>
      <c r="J114" s="128" t="s">
        <v>168</v>
      </c>
      <c r="K114" s="128"/>
      <c r="L114" s="128"/>
      <c r="M114" s="128"/>
      <c r="N114" s="128"/>
      <c r="O114" s="128"/>
      <c r="P114" s="128"/>
      <c r="Q114" s="120" t="s">
        <v>202</v>
      </c>
      <c r="R114" s="41" t="s">
        <v>420</v>
      </c>
      <c r="S114" s="41"/>
      <c r="T114" s="41"/>
      <c r="U114" s="41"/>
      <c r="V114" s="41"/>
      <c r="W114" s="44"/>
      <c r="X114" s="18"/>
      <c r="Y114" s="44"/>
      <c r="Z114" s="45"/>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0"/>
    </row>
    <row r="115" spans="1:52" ht="79.95" customHeight="1" x14ac:dyDescent="0.3">
      <c r="A115" s="40">
        <v>111</v>
      </c>
      <c r="B115" s="125"/>
      <c r="C115" s="123" t="s">
        <v>438</v>
      </c>
      <c r="D115" s="120" t="s">
        <v>416</v>
      </c>
      <c r="E115" s="120" t="s">
        <v>593</v>
      </c>
      <c r="F115" s="52" t="s">
        <v>199</v>
      </c>
      <c r="G115" s="128"/>
      <c r="H115" s="120" t="s">
        <v>669</v>
      </c>
      <c r="I115" s="120" t="s">
        <v>670</v>
      </c>
      <c r="J115" s="128" t="s">
        <v>168</v>
      </c>
      <c r="K115" s="128"/>
      <c r="L115" s="128"/>
      <c r="M115" s="128"/>
      <c r="N115" s="128"/>
      <c r="O115" s="128"/>
      <c r="P115" s="128"/>
      <c r="Q115" s="120" t="s">
        <v>202</v>
      </c>
      <c r="R115" s="41" t="s">
        <v>420</v>
      </c>
      <c r="S115" s="41"/>
      <c r="T115" s="41"/>
      <c r="U115" s="41"/>
      <c r="V115" s="41"/>
      <c r="W115" s="44"/>
      <c r="X115" s="18"/>
      <c r="Y115" s="44"/>
      <c r="Z115" s="45"/>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0"/>
    </row>
    <row r="116" spans="1:52" ht="79.95" customHeight="1" x14ac:dyDescent="0.3">
      <c r="A116" s="40">
        <v>112</v>
      </c>
      <c r="B116" s="125"/>
      <c r="C116" s="123" t="s">
        <v>438</v>
      </c>
      <c r="D116" s="120" t="s">
        <v>416</v>
      </c>
      <c r="E116" s="120" t="s">
        <v>511</v>
      </c>
      <c r="F116" s="52" t="s">
        <v>199</v>
      </c>
      <c r="G116" s="128"/>
      <c r="H116" s="120" t="s">
        <v>671</v>
      </c>
      <c r="I116" s="43" t="s">
        <v>672</v>
      </c>
      <c r="J116" s="128" t="s">
        <v>168</v>
      </c>
      <c r="K116" s="128"/>
      <c r="L116" s="128"/>
      <c r="M116" s="128"/>
      <c r="N116" s="128"/>
      <c r="O116" s="128"/>
      <c r="P116" s="128"/>
      <c r="Q116" s="120" t="s">
        <v>202</v>
      </c>
      <c r="R116" s="41" t="s">
        <v>420</v>
      </c>
      <c r="S116" s="41"/>
      <c r="T116" s="41"/>
      <c r="U116" s="41"/>
      <c r="V116" s="41"/>
      <c r="W116" s="44"/>
      <c r="X116" s="18"/>
      <c r="Y116" s="44"/>
      <c r="Z116" s="45"/>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0"/>
    </row>
    <row r="117" spans="1:52" ht="79.95" customHeight="1" x14ac:dyDescent="0.3">
      <c r="A117" s="40">
        <v>113</v>
      </c>
      <c r="B117" s="125"/>
      <c r="C117" s="123" t="s">
        <v>438</v>
      </c>
      <c r="D117" s="120" t="s">
        <v>416</v>
      </c>
      <c r="E117" s="120" t="s">
        <v>511</v>
      </c>
      <c r="F117" s="52" t="s">
        <v>199</v>
      </c>
      <c r="G117" s="128"/>
      <c r="H117" s="120" t="s">
        <v>512</v>
      </c>
      <c r="I117" s="120" t="s">
        <v>513</v>
      </c>
      <c r="J117" s="128" t="s">
        <v>168</v>
      </c>
      <c r="K117" s="128"/>
      <c r="L117" s="128"/>
      <c r="M117" s="128"/>
      <c r="N117" s="128"/>
      <c r="O117" s="128"/>
      <c r="P117" s="128"/>
      <c r="Q117" s="120" t="s">
        <v>202</v>
      </c>
      <c r="R117" s="41" t="s">
        <v>420</v>
      </c>
      <c r="S117" s="41"/>
      <c r="T117" s="41"/>
      <c r="U117" s="41"/>
      <c r="V117" s="41"/>
      <c r="W117" s="44"/>
      <c r="X117" s="18"/>
      <c r="Y117" s="44"/>
      <c r="Z117" s="45"/>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0"/>
    </row>
    <row r="118" spans="1:52" ht="79.95" customHeight="1" x14ac:dyDescent="0.3">
      <c r="A118" s="40">
        <v>114</v>
      </c>
      <c r="B118" s="125"/>
      <c r="C118" s="123" t="s">
        <v>438</v>
      </c>
      <c r="D118" s="120" t="s">
        <v>416</v>
      </c>
      <c r="E118" s="120" t="s">
        <v>511</v>
      </c>
      <c r="F118" s="52" t="s">
        <v>199</v>
      </c>
      <c r="G118" s="128"/>
      <c r="H118" s="64" t="s">
        <v>522</v>
      </c>
      <c r="I118" s="120"/>
      <c r="J118" s="128" t="s">
        <v>168</v>
      </c>
      <c r="K118" s="128"/>
      <c r="L118" s="128"/>
      <c r="M118" s="128"/>
      <c r="N118" s="128"/>
      <c r="O118" s="128"/>
      <c r="P118" s="128"/>
      <c r="Q118" s="120" t="s">
        <v>202</v>
      </c>
      <c r="R118" s="41" t="s">
        <v>420</v>
      </c>
      <c r="S118" s="41"/>
      <c r="T118" s="41"/>
      <c r="U118" s="41"/>
      <c r="V118" s="41"/>
      <c r="W118" s="44"/>
      <c r="X118" s="18"/>
      <c r="Y118" s="44"/>
      <c r="Z118" s="45"/>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0"/>
    </row>
    <row r="119" spans="1:52" ht="79.95" customHeight="1" x14ac:dyDescent="0.3">
      <c r="A119" s="40">
        <v>115</v>
      </c>
      <c r="B119" s="125"/>
      <c r="C119" s="123" t="s">
        <v>438</v>
      </c>
      <c r="D119" s="120" t="s">
        <v>528</v>
      </c>
      <c r="E119" s="120" t="s">
        <v>529</v>
      </c>
      <c r="F119" s="52" t="s">
        <v>199</v>
      </c>
      <c r="G119" s="128"/>
      <c r="H119" s="120" t="s">
        <v>530</v>
      </c>
      <c r="I119" s="120"/>
      <c r="J119" s="128" t="s">
        <v>168</v>
      </c>
      <c r="K119" s="128"/>
      <c r="L119" s="128"/>
      <c r="M119" s="128"/>
      <c r="N119" s="128"/>
      <c r="O119" s="128"/>
      <c r="P119" s="128"/>
      <c r="Q119" s="120" t="s">
        <v>202</v>
      </c>
      <c r="R119" s="41" t="s">
        <v>420</v>
      </c>
      <c r="S119" s="41"/>
      <c r="T119" s="41"/>
      <c r="U119" s="41"/>
      <c r="V119" s="41"/>
      <c r="W119" s="44"/>
      <c r="X119" s="18"/>
      <c r="Y119" s="44"/>
      <c r="Z119" s="45"/>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0"/>
    </row>
    <row r="120" spans="1:52" ht="79.95" customHeight="1" x14ac:dyDescent="0.3">
      <c r="A120" s="40">
        <v>116</v>
      </c>
      <c r="B120" s="125"/>
      <c r="C120" s="123" t="s">
        <v>438</v>
      </c>
      <c r="D120" s="120" t="s">
        <v>538</v>
      </c>
      <c r="E120" s="120" t="s">
        <v>539</v>
      </c>
      <c r="F120" s="52" t="s">
        <v>199</v>
      </c>
      <c r="G120" s="128"/>
      <c r="H120" s="66" t="s">
        <v>540</v>
      </c>
      <c r="I120" s="120" t="s">
        <v>542</v>
      </c>
      <c r="J120" s="128" t="s">
        <v>168</v>
      </c>
      <c r="K120" s="128"/>
      <c r="L120" s="128"/>
      <c r="M120" s="128"/>
      <c r="N120" s="128"/>
      <c r="O120" s="128"/>
      <c r="P120" s="128"/>
      <c r="Q120" s="120" t="s">
        <v>202</v>
      </c>
      <c r="R120" s="41" t="s">
        <v>420</v>
      </c>
      <c r="S120" s="41"/>
      <c r="T120" s="41"/>
      <c r="U120" s="41"/>
      <c r="V120" s="41"/>
      <c r="W120" s="44"/>
      <c r="X120" s="18"/>
      <c r="Y120" s="44"/>
      <c r="Z120" s="45"/>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0"/>
    </row>
    <row r="121" spans="1:52" ht="79.95" customHeight="1" x14ac:dyDescent="0.3">
      <c r="A121" s="40">
        <v>117</v>
      </c>
      <c r="B121" s="125"/>
      <c r="C121" s="123" t="s">
        <v>438</v>
      </c>
      <c r="D121" s="120" t="s">
        <v>538</v>
      </c>
      <c r="E121" s="120" t="s">
        <v>539</v>
      </c>
      <c r="F121" s="52" t="s">
        <v>199</v>
      </c>
      <c r="G121" s="128"/>
      <c r="H121" s="66" t="s">
        <v>548</v>
      </c>
      <c r="I121" s="120" t="s">
        <v>551</v>
      </c>
      <c r="J121" s="128" t="s">
        <v>168</v>
      </c>
      <c r="K121" s="128"/>
      <c r="L121" s="128"/>
      <c r="M121" s="128"/>
      <c r="N121" s="128"/>
      <c r="O121" s="128"/>
      <c r="P121" s="128"/>
      <c r="Q121" s="120" t="s">
        <v>202</v>
      </c>
      <c r="R121" s="41" t="s">
        <v>420</v>
      </c>
      <c r="S121" s="41"/>
      <c r="T121" s="41"/>
      <c r="U121" s="41"/>
      <c r="V121" s="41"/>
      <c r="W121" s="44"/>
      <c r="X121" s="18"/>
      <c r="Y121" s="44"/>
      <c r="Z121" s="45"/>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0"/>
    </row>
    <row r="122" spans="1:52" ht="79.95" customHeight="1" x14ac:dyDescent="0.3">
      <c r="A122" s="40">
        <v>118</v>
      </c>
      <c r="B122" s="125"/>
      <c r="C122" s="123" t="s">
        <v>438</v>
      </c>
      <c r="D122" s="120" t="s">
        <v>538</v>
      </c>
      <c r="E122" s="120" t="s">
        <v>539</v>
      </c>
      <c r="F122" s="52" t="s">
        <v>199</v>
      </c>
      <c r="G122" s="128"/>
      <c r="H122" s="66" t="s">
        <v>559</v>
      </c>
      <c r="I122" s="120" t="s">
        <v>560</v>
      </c>
      <c r="J122" s="128" t="s">
        <v>168</v>
      </c>
      <c r="K122" s="128"/>
      <c r="L122" s="128"/>
      <c r="M122" s="128"/>
      <c r="N122" s="128"/>
      <c r="O122" s="128"/>
      <c r="P122" s="128"/>
      <c r="Q122" s="120" t="s">
        <v>202</v>
      </c>
      <c r="R122" s="41" t="s">
        <v>420</v>
      </c>
      <c r="S122" s="41"/>
      <c r="T122" s="41"/>
      <c r="U122" s="41"/>
      <c r="V122" s="41"/>
      <c r="W122" s="44"/>
      <c r="X122" s="18"/>
      <c r="Y122" s="44"/>
      <c r="Z122" s="45"/>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0"/>
    </row>
    <row r="123" spans="1:52" ht="79.95" customHeight="1" x14ac:dyDescent="0.3">
      <c r="A123" s="40">
        <v>119</v>
      </c>
      <c r="B123" s="125"/>
      <c r="C123" s="123" t="s">
        <v>438</v>
      </c>
      <c r="D123" s="120" t="s">
        <v>538</v>
      </c>
      <c r="E123" s="120" t="s">
        <v>539</v>
      </c>
      <c r="F123" s="52" t="s">
        <v>199</v>
      </c>
      <c r="G123" s="128"/>
      <c r="H123" s="66" t="s">
        <v>571</v>
      </c>
      <c r="I123" s="120" t="s">
        <v>572</v>
      </c>
      <c r="J123" s="128" t="s">
        <v>168</v>
      </c>
      <c r="K123" s="128"/>
      <c r="L123" s="128"/>
      <c r="M123" s="128"/>
      <c r="N123" s="128"/>
      <c r="O123" s="128"/>
      <c r="P123" s="128"/>
      <c r="Q123" s="120" t="s">
        <v>202</v>
      </c>
      <c r="R123" s="41" t="s">
        <v>420</v>
      </c>
      <c r="S123" s="41"/>
      <c r="T123" s="41"/>
      <c r="U123" s="41"/>
      <c r="V123" s="41"/>
      <c r="W123" s="44"/>
      <c r="X123" s="18"/>
      <c r="Y123" s="44"/>
      <c r="Z123" s="45"/>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0"/>
    </row>
    <row r="124" spans="1:52" ht="79.95" customHeight="1" x14ac:dyDescent="0.3">
      <c r="A124" s="40">
        <v>120</v>
      </c>
      <c r="B124" s="125"/>
      <c r="C124" s="123" t="s">
        <v>438</v>
      </c>
      <c r="D124" s="120" t="s">
        <v>538</v>
      </c>
      <c r="E124" s="120" t="s">
        <v>539</v>
      </c>
      <c r="F124" s="52" t="s">
        <v>199</v>
      </c>
      <c r="G124" s="128"/>
      <c r="H124" s="66" t="s">
        <v>579</v>
      </c>
      <c r="I124" s="120" t="s">
        <v>580</v>
      </c>
      <c r="J124" s="128" t="s">
        <v>168</v>
      </c>
      <c r="K124" s="128"/>
      <c r="L124" s="128"/>
      <c r="M124" s="128"/>
      <c r="N124" s="128"/>
      <c r="O124" s="128"/>
      <c r="P124" s="128"/>
      <c r="Q124" s="120" t="s">
        <v>202</v>
      </c>
      <c r="R124" s="41" t="s">
        <v>420</v>
      </c>
      <c r="S124" s="41"/>
      <c r="T124" s="41"/>
      <c r="U124" s="41"/>
      <c r="V124" s="41"/>
      <c r="W124" s="44"/>
      <c r="X124" s="18"/>
      <c r="Y124" s="44"/>
      <c r="Z124" s="45"/>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0"/>
    </row>
    <row r="125" spans="1:52" ht="79.95" customHeight="1" x14ac:dyDescent="0.3">
      <c r="A125" s="40">
        <v>121</v>
      </c>
      <c r="B125" s="125"/>
      <c r="C125" s="123" t="s">
        <v>438</v>
      </c>
      <c r="D125" s="120" t="s">
        <v>538</v>
      </c>
      <c r="E125" s="120" t="s">
        <v>539</v>
      </c>
      <c r="F125" s="52" t="s">
        <v>199</v>
      </c>
      <c r="G125" s="128"/>
      <c r="H125" s="66" t="s">
        <v>587</v>
      </c>
      <c r="I125" s="120" t="s">
        <v>588</v>
      </c>
      <c r="J125" s="128" t="s">
        <v>168</v>
      </c>
      <c r="K125" s="128"/>
      <c r="L125" s="128"/>
      <c r="M125" s="128"/>
      <c r="N125" s="128"/>
      <c r="O125" s="128"/>
      <c r="P125" s="128"/>
      <c r="Q125" s="120" t="s">
        <v>202</v>
      </c>
      <c r="R125" s="41" t="s">
        <v>420</v>
      </c>
      <c r="S125" s="41"/>
      <c r="T125" s="41"/>
      <c r="U125" s="41"/>
      <c r="V125" s="41"/>
      <c r="W125" s="44"/>
      <c r="X125" s="18"/>
      <c r="Y125" s="44"/>
      <c r="Z125" s="45"/>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0"/>
    </row>
    <row r="126" spans="1:52" ht="79.95" customHeight="1" x14ac:dyDescent="0.3">
      <c r="A126" s="40">
        <v>122</v>
      </c>
      <c r="B126" s="125"/>
      <c r="C126" s="123" t="s">
        <v>438</v>
      </c>
      <c r="D126" s="120" t="s">
        <v>538</v>
      </c>
      <c r="E126" s="120" t="s">
        <v>539</v>
      </c>
      <c r="F126" s="52" t="s">
        <v>199</v>
      </c>
      <c r="G126" s="128"/>
      <c r="H126" s="66" t="s">
        <v>596</v>
      </c>
      <c r="I126" s="66" t="s">
        <v>597</v>
      </c>
      <c r="J126" s="128" t="s">
        <v>168</v>
      </c>
      <c r="K126" s="128"/>
      <c r="L126" s="128"/>
      <c r="M126" s="128"/>
      <c r="N126" s="128"/>
      <c r="O126" s="128"/>
      <c r="P126" s="128"/>
      <c r="Q126" s="120" t="s">
        <v>202</v>
      </c>
      <c r="R126" s="41" t="s">
        <v>420</v>
      </c>
      <c r="S126" s="41"/>
      <c r="T126" s="41"/>
      <c r="U126" s="41"/>
      <c r="V126" s="41"/>
      <c r="W126" s="44"/>
      <c r="X126" s="18"/>
      <c r="Y126" s="44"/>
      <c r="Z126" s="45"/>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0"/>
    </row>
    <row r="127" spans="1:52" ht="79.95" customHeight="1" x14ac:dyDescent="0.3">
      <c r="A127" s="40">
        <v>123</v>
      </c>
      <c r="B127" s="125"/>
      <c r="C127" s="123" t="s">
        <v>438</v>
      </c>
      <c r="D127" s="120" t="s">
        <v>538</v>
      </c>
      <c r="E127" s="120" t="s">
        <v>539</v>
      </c>
      <c r="F127" s="52" t="s">
        <v>199</v>
      </c>
      <c r="G127" s="128"/>
      <c r="H127" s="66" t="s">
        <v>604</v>
      </c>
      <c r="I127" s="66"/>
      <c r="J127" s="128" t="s">
        <v>168</v>
      </c>
      <c r="K127" s="128"/>
      <c r="L127" s="128"/>
      <c r="M127" s="128"/>
      <c r="N127" s="128"/>
      <c r="O127" s="128"/>
      <c r="P127" s="128"/>
      <c r="Q127" s="120" t="s">
        <v>202</v>
      </c>
      <c r="R127" s="41" t="s">
        <v>420</v>
      </c>
      <c r="S127" s="41"/>
      <c r="T127" s="41"/>
      <c r="U127" s="41"/>
      <c r="V127" s="41"/>
      <c r="W127" s="44"/>
      <c r="X127" s="18"/>
      <c r="Y127" s="44"/>
      <c r="Z127" s="45"/>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0"/>
    </row>
    <row r="128" spans="1:52" ht="79.95" customHeight="1" x14ac:dyDescent="0.3">
      <c r="A128" s="40">
        <v>124</v>
      </c>
      <c r="B128" s="125"/>
      <c r="C128" s="123" t="s">
        <v>438</v>
      </c>
      <c r="D128" s="120" t="s">
        <v>538</v>
      </c>
      <c r="E128" s="120" t="s">
        <v>539</v>
      </c>
      <c r="F128" s="52" t="s">
        <v>199</v>
      </c>
      <c r="G128" s="128"/>
      <c r="H128" s="66" t="s">
        <v>607</v>
      </c>
      <c r="I128" s="120"/>
      <c r="J128" s="128" t="s">
        <v>168</v>
      </c>
      <c r="K128" s="128"/>
      <c r="L128" s="128"/>
      <c r="M128" s="128"/>
      <c r="N128" s="128"/>
      <c r="O128" s="128"/>
      <c r="P128" s="128"/>
      <c r="Q128" s="120" t="s">
        <v>202</v>
      </c>
      <c r="R128" s="41" t="s">
        <v>420</v>
      </c>
      <c r="S128" s="41"/>
      <c r="T128" s="41"/>
      <c r="U128" s="41"/>
      <c r="V128" s="41"/>
      <c r="W128" s="44"/>
      <c r="X128" s="18"/>
      <c r="Y128" s="44"/>
      <c r="Z128" s="45"/>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0"/>
    </row>
    <row r="129" spans="1:52" ht="79.95" customHeight="1" x14ac:dyDescent="0.3">
      <c r="A129" s="40">
        <v>125</v>
      </c>
      <c r="B129" s="125"/>
      <c r="C129" s="123" t="s">
        <v>438</v>
      </c>
      <c r="D129" s="120" t="s">
        <v>538</v>
      </c>
      <c r="E129" s="120" t="s">
        <v>539</v>
      </c>
      <c r="F129" s="52" t="s">
        <v>199</v>
      </c>
      <c r="G129" s="128"/>
      <c r="H129" s="120" t="s">
        <v>611</v>
      </c>
      <c r="I129" s="120" t="s">
        <v>612</v>
      </c>
      <c r="J129" s="128" t="s">
        <v>168</v>
      </c>
      <c r="K129" s="128"/>
      <c r="L129" s="128"/>
      <c r="M129" s="128"/>
      <c r="N129" s="128"/>
      <c r="O129" s="128"/>
      <c r="P129" s="128"/>
      <c r="Q129" s="120" t="s">
        <v>202</v>
      </c>
      <c r="R129" s="41" t="s">
        <v>420</v>
      </c>
      <c r="S129" s="41"/>
      <c r="T129" s="41"/>
      <c r="U129" s="41"/>
      <c r="V129" s="41"/>
      <c r="W129" s="44"/>
      <c r="X129" s="18"/>
      <c r="Y129" s="44"/>
      <c r="Z129" s="45"/>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0"/>
    </row>
    <row r="130" spans="1:52" ht="79.95" customHeight="1" x14ac:dyDescent="0.3">
      <c r="A130" s="40">
        <v>126</v>
      </c>
      <c r="B130" s="125"/>
      <c r="C130" s="123" t="s">
        <v>431</v>
      </c>
      <c r="D130" s="120" t="s">
        <v>197</v>
      </c>
      <c r="E130" s="120" t="s">
        <v>198</v>
      </c>
      <c r="F130" s="52" t="s">
        <v>199</v>
      </c>
      <c r="G130" s="128"/>
      <c r="H130" s="120" t="s">
        <v>618</v>
      </c>
      <c r="I130" s="120" t="s">
        <v>201</v>
      </c>
      <c r="J130" s="128" t="s">
        <v>168</v>
      </c>
      <c r="K130" s="128"/>
      <c r="L130" s="128"/>
      <c r="M130" s="128"/>
      <c r="N130" s="128"/>
      <c r="O130" s="128"/>
      <c r="P130" s="128"/>
      <c r="Q130" s="120" t="s">
        <v>202</v>
      </c>
      <c r="R130" s="41" t="s">
        <v>203</v>
      </c>
      <c r="S130" s="41" t="s">
        <v>204</v>
      </c>
      <c r="T130" s="41"/>
      <c r="U130" s="41"/>
      <c r="V130" s="41"/>
      <c r="W130" s="44"/>
      <c r="X130" s="18"/>
      <c r="Y130" s="44"/>
      <c r="Z130" s="45"/>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0"/>
    </row>
    <row r="131" spans="1:52" ht="79.95" customHeight="1" x14ac:dyDescent="0.3">
      <c r="A131" s="40">
        <v>127</v>
      </c>
      <c r="B131" s="125"/>
      <c r="C131" s="123" t="s">
        <v>431</v>
      </c>
      <c r="D131" s="120" t="s">
        <v>197</v>
      </c>
      <c r="E131" s="120" t="s">
        <v>198</v>
      </c>
      <c r="F131" s="52" t="s">
        <v>199</v>
      </c>
      <c r="G131" s="128"/>
      <c r="H131" s="120" t="s">
        <v>623</v>
      </c>
      <c r="I131" s="120" t="s">
        <v>201</v>
      </c>
      <c r="J131" s="128" t="s">
        <v>168</v>
      </c>
      <c r="K131" s="128"/>
      <c r="L131" s="128"/>
      <c r="M131" s="128"/>
      <c r="N131" s="128"/>
      <c r="O131" s="128"/>
      <c r="P131" s="128"/>
      <c r="Q131" s="120" t="s">
        <v>202</v>
      </c>
      <c r="R131" s="41" t="s">
        <v>203</v>
      </c>
      <c r="S131" s="41" t="s">
        <v>204</v>
      </c>
      <c r="T131" s="41"/>
      <c r="U131" s="41"/>
      <c r="V131" s="41"/>
      <c r="W131" s="44"/>
      <c r="X131" s="18"/>
      <c r="Y131" s="44"/>
      <c r="Z131" s="45"/>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0"/>
    </row>
    <row r="132" spans="1:52" ht="79.95" customHeight="1" x14ac:dyDescent="0.3">
      <c r="A132" s="40">
        <v>128</v>
      </c>
      <c r="B132" s="125"/>
      <c r="C132" s="123" t="s">
        <v>431</v>
      </c>
      <c r="D132" s="120" t="s">
        <v>197</v>
      </c>
      <c r="E132" s="120" t="s">
        <v>198</v>
      </c>
      <c r="F132" s="52" t="s">
        <v>199</v>
      </c>
      <c r="G132" s="128"/>
      <c r="H132" s="120" t="s">
        <v>628</v>
      </c>
      <c r="I132" s="120" t="s">
        <v>629</v>
      </c>
      <c r="J132" s="128" t="s">
        <v>168</v>
      </c>
      <c r="K132" s="128"/>
      <c r="L132" s="128"/>
      <c r="M132" s="128"/>
      <c r="N132" s="128"/>
      <c r="O132" s="128"/>
      <c r="P132" s="128"/>
      <c r="Q132" s="120" t="s">
        <v>202</v>
      </c>
      <c r="R132" s="41" t="s">
        <v>203</v>
      </c>
      <c r="S132" s="41" t="s">
        <v>204</v>
      </c>
      <c r="T132" s="41"/>
      <c r="U132" s="41"/>
      <c r="V132" s="41"/>
      <c r="W132" s="44"/>
      <c r="X132" s="18"/>
      <c r="Y132" s="44"/>
      <c r="Z132" s="45"/>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0"/>
    </row>
    <row r="133" spans="1:52" ht="79.95" customHeight="1" x14ac:dyDescent="0.3">
      <c r="A133" s="40">
        <v>129</v>
      </c>
      <c r="B133" s="125"/>
      <c r="C133" s="123" t="s">
        <v>431</v>
      </c>
      <c r="D133" s="120" t="s">
        <v>197</v>
      </c>
      <c r="E133" s="120" t="s">
        <v>198</v>
      </c>
      <c r="F133" s="52" t="s">
        <v>199</v>
      </c>
      <c r="G133" s="128"/>
      <c r="H133" s="120" t="s">
        <v>634</v>
      </c>
      <c r="I133" s="120" t="s">
        <v>635</v>
      </c>
      <c r="J133" s="128" t="s">
        <v>168</v>
      </c>
      <c r="K133" s="128"/>
      <c r="L133" s="128"/>
      <c r="M133" s="128"/>
      <c r="N133" s="128"/>
      <c r="O133" s="128"/>
      <c r="P133" s="128"/>
      <c r="Q133" s="120" t="s">
        <v>202</v>
      </c>
      <c r="R133" s="41" t="s">
        <v>203</v>
      </c>
      <c r="S133" s="41" t="s">
        <v>204</v>
      </c>
      <c r="T133" s="41"/>
      <c r="U133" s="41"/>
      <c r="V133" s="41"/>
      <c r="W133" s="44"/>
      <c r="X133" s="18"/>
      <c r="Y133" s="44"/>
      <c r="Z133" s="45"/>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0"/>
    </row>
    <row r="134" spans="1:52" ht="79.95" customHeight="1" x14ac:dyDescent="0.3">
      <c r="A134" s="40">
        <v>130</v>
      </c>
      <c r="B134" s="125"/>
      <c r="C134" s="123" t="s">
        <v>431</v>
      </c>
      <c r="D134" s="120" t="s">
        <v>197</v>
      </c>
      <c r="E134" s="120" t="s">
        <v>198</v>
      </c>
      <c r="F134" s="52" t="s">
        <v>199</v>
      </c>
      <c r="G134" s="128"/>
      <c r="H134" s="120" t="s">
        <v>200</v>
      </c>
      <c r="I134" s="120" t="s">
        <v>201</v>
      </c>
      <c r="J134" s="128" t="s">
        <v>168</v>
      </c>
      <c r="K134" s="128"/>
      <c r="L134" s="128"/>
      <c r="M134" s="128"/>
      <c r="N134" s="128"/>
      <c r="O134" s="128"/>
      <c r="P134" s="128"/>
      <c r="Q134" s="120" t="s">
        <v>202</v>
      </c>
      <c r="R134" s="41" t="s">
        <v>203</v>
      </c>
      <c r="S134" s="41" t="s">
        <v>204</v>
      </c>
      <c r="T134" s="41"/>
      <c r="U134" s="41"/>
      <c r="V134" s="41"/>
      <c r="W134" s="44"/>
      <c r="X134" s="18"/>
      <c r="Y134" s="44"/>
      <c r="Z134" s="45"/>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0"/>
    </row>
    <row r="135" spans="1:52" ht="79.95" customHeight="1" x14ac:dyDescent="0.3">
      <c r="A135" s="40">
        <v>131</v>
      </c>
      <c r="B135" s="125"/>
      <c r="C135" s="123" t="s">
        <v>431</v>
      </c>
      <c r="D135" s="120" t="s">
        <v>197</v>
      </c>
      <c r="E135" s="120" t="s">
        <v>198</v>
      </c>
      <c r="F135" s="52" t="s">
        <v>199</v>
      </c>
      <c r="G135" s="128"/>
      <c r="H135" s="120" t="s">
        <v>207</v>
      </c>
      <c r="I135" s="120"/>
      <c r="J135" s="128" t="s">
        <v>168</v>
      </c>
      <c r="K135" s="128"/>
      <c r="L135" s="128"/>
      <c r="M135" s="128"/>
      <c r="N135" s="128"/>
      <c r="O135" s="128"/>
      <c r="P135" s="128"/>
      <c r="Q135" s="120" t="s">
        <v>202</v>
      </c>
      <c r="R135" s="41" t="s">
        <v>203</v>
      </c>
      <c r="S135" s="41" t="s">
        <v>208</v>
      </c>
      <c r="T135" s="41"/>
      <c r="U135" s="41"/>
      <c r="V135" s="41"/>
      <c r="W135" s="44"/>
      <c r="X135" s="18"/>
      <c r="Y135" s="44"/>
      <c r="Z135" s="45"/>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0"/>
    </row>
    <row r="136" spans="1:52" ht="79.95" customHeight="1" x14ac:dyDescent="0.3">
      <c r="A136" s="40">
        <v>132</v>
      </c>
      <c r="B136" s="125"/>
      <c r="C136" s="123" t="s">
        <v>431</v>
      </c>
      <c r="D136" s="120" t="s">
        <v>197</v>
      </c>
      <c r="E136" s="120" t="s">
        <v>198</v>
      </c>
      <c r="F136" s="52" t="s">
        <v>199</v>
      </c>
      <c r="G136" s="128"/>
      <c r="H136" s="120" t="s">
        <v>212</v>
      </c>
      <c r="I136" s="120" t="s">
        <v>201</v>
      </c>
      <c r="J136" s="128" t="s">
        <v>168</v>
      </c>
      <c r="K136" s="128"/>
      <c r="L136" s="128"/>
      <c r="M136" s="128"/>
      <c r="N136" s="128"/>
      <c r="O136" s="128"/>
      <c r="P136" s="128"/>
      <c r="Q136" s="120" t="s">
        <v>202</v>
      </c>
      <c r="R136" s="41" t="s">
        <v>203</v>
      </c>
      <c r="S136" s="41" t="s">
        <v>208</v>
      </c>
      <c r="T136" s="41"/>
      <c r="U136" s="41"/>
      <c r="V136" s="41"/>
      <c r="W136" s="44"/>
      <c r="X136" s="18"/>
      <c r="Y136" s="44"/>
      <c r="Z136" s="45"/>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0"/>
    </row>
    <row r="137" spans="1:52" ht="79.95" customHeight="1" x14ac:dyDescent="0.3">
      <c r="A137" s="40">
        <v>133</v>
      </c>
      <c r="B137" s="125"/>
      <c r="C137" s="123" t="s">
        <v>431</v>
      </c>
      <c r="D137" s="120" t="s">
        <v>197</v>
      </c>
      <c r="E137" s="120" t="s">
        <v>198</v>
      </c>
      <c r="F137" s="52" t="s">
        <v>199</v>
      </c>
      <c r="G137" s="128"/>
      <c r="H137" s="120" t="s">
        <v>215</v>
      </c>
      <c r="I137" s="120" t="s">
        <v>216</v>
      </c>
      <c r="J137" s="128" t="s">
        <v>168</v>
      </c>
      <c r="K137" s="128"/>
      <c r="L137" s="128"/>
      <c r="M137" s="128"/>
      <c r="N137" s="128"/>
      <c r="O137" s="128"/>
      <c r="P137" s="128"/>
      <c r="Q137" s="120" t="s">
        <v>202</v>
      </c>
      <c r="R137" s="41" t="s">
        <v>203</v>
      </c>
      <c r="S137" s="41" t="s">
        <v>208</v>
      </c>
      <c r="T137" s="41"/>
      <c r="U137" s="41"/>
      <c r="V137" s="41"/>
      <c r="W137" s="44"/>
      <c r="X137" s="18"/>
      <c r="Y137" s="44"/>
      <c r="Z137" s="45"/>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0"/>
    </row>
    <row r="138" spans="1:52" ht="79.95" customHeight="1" x14ac:dyDescent="0.3">
      <c r="A138" s="40">
        <v>134</v>
      </c>
      <c r="B138" s="125"/>
      <c r="C138" s="123" t="s">
        <v>431</v>
      </c>
      <c r="D138" s="120" t="s">
        <v>197</v>
      </c>
      <c r="E138" s="120" t="s">
        <v>198</v>
      </c>
      <c r="F138" s="52" t="s">
        <v>199</v>
      </c>
      <c r="G138" s="128"/>
      <c r="H138" s="120" t="s">
        <v>220</v>
      </c>
      <c r="I138" s="120" t="s">
        <v>221</v>
      </c>
      <c r="J138" s="128" t="s">
        <v>168</v>
      </c>
      <c r="K138" s="128"/>
      <c r="L138" s="128"/>
      <c r="M138" s="128"/>
      <c r="N138" s="128"/>
      <c r="O138" s="128"/>
      <c r="P138" s="128"/>
      <c r="Q138" s="120" t="s">
        <v>202</v>
      </c>
      <c r="R138" s="41" t="s">
        <v>203</v>
      </c>
      <c r="S138" s="41" t="s">
        <v>208</v>
      </c>
      <c r="T138" s="41"/>
      <c r="U138" s="41"/>
      <c r="V138" s="41"/>
      <c r="W138" s="44"/>
      <c r="X138" s="18"/>
      <c r="Y138" s="44"/>
      <c r="Z138" s="45"/>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0"/>
    </row>
    <row r="139" spans="1:52" ht="79.95" customHeight="1" x14ac:dyDescent="0.3">
      <c r="A139" s="40">
        <v>135</v>
      </c>
      <c r="B139" s="125"/>
      <c r="C139" s="123" t="s">
        <v>431</v>
      </c>
      <c r="D139" s="120" t="s">
        <v>197</v>
      </c>
      <c r="E139" s="120" t="s">
        <v>198</v>
      </c>
      <c r="F139" s="52" t="s">
        <v>199</v>
      </c>
      <c r="G139" s="128"/>
      <c r="H139" s="120" t="s">
        <v>224</v>
      </c>
      <c r="I139" s="120" t="s">
        <v>225</v>
      </c>
      <c r="J139" s="128" t="s">
        <v>168</v>
      </c>
      <c r="K139" s="128"/>
      <c r="L139" s="128"/>
      <c r="M139" s="128"/>
      <c r="N139" s="128"/>
      <c r="O139" s="128"/>
      <c r="P139" s="128"/>
      <c r="Q139" s="120" t="s">
        <v>202</v>
      </c>
      <c r="R139" s="41" t="s">
        <v>203</v>
      </c>
      <c r="S139" s="41" t="s">
        <v>208</v>
      </c>
      <c r="T139" s="41"/>
      <c r="U139" s="41"/>
      <c r="V139" s="41"/>
      <c r="W139" s="44"/>
      <c r="X139" s="18"/>
      <c r="Y139" s="44"/>
      <c r="Z139" s="45"/>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0"/>
    </row>
    <row r="140" spans="1:52" ht="79.95" customHeight="1" x14ac:dyDescent="0.3">
      <c r="A140" s="40">
        <v>136</v>
      </c>
      <c r="B140" s="125"/>
      <c r="C140" s="123" t="s">
        <v>431</v>
      </c>
      <c r="D140" s="120" t="s">
        <v>197</v>
      </c>
      <c r="E140" s="120" t="s">
        <v>228</v>
      </c>
      <c r="F140" s="52" t="s">
        <v>199</v>
      </c>
      <c r="G140" s="128"/>
      <c r="H140" s="120" t="s">
        <v>229</v>
      </c>
      <c r="I140" s="210" t="s">
        <v>230</v>
      </c>
      <c r="J140" s="128" t="s">
        <v>168</v>
      </c>
      <c r="K140" s="128"/>
      <c r="L140" s="128"/>
      <c r="M140" s="128"/>
      <c r="N140" s="128"/>
      <c r="O140" s="128"/>
      <c r="P140" s="128"/>
      <c r="Q140" s="120" t="s">
        <v>202</v>
      </c>
      <c r="R140" s="41" t="s">
        <v>203</v>
      </c>
      <c r="S140" s="41" t="s">
        <v>231</v>
      </c>
      <c r="T140" s="41"/>
      <c r="U140" s="41"/>
      <c r="V140" s="41"/>
      <c r="W140" s="44"/>
      <c r="X140" s="18"/>
      <c r="Y140" s="44"/>
      <c r="Z140" s="45"/>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0"/>
    </row>
    <row r="141" spans="1:52" ht="79.95" customHeight="1" x14ac:dyDescent="0.3">
      <c r="A141" s="40">
        <v>137</v>
      </c>
      <c r="B141" s="125"/>
      <c r="C141" s="123" t="s">
        <v>431</v>
      </c>
      <c r="D141" s="120" t="s">
        <v>197</v>
      </c>
      <c r="E141" s="120" t="s">
        <v>228</v>
      </c>
      <c r="F141" s="52" t="s">
        <v>199</v>
      </c>
      <c r="G141" s="128"/>
      <c r="H141" s="53" t="s">
        <v>234</v>
      </c>
      <c r="I141" s="211"/>
      <c r="J141" s="128" t="s">
        <v>168</v>
      </c>
      <c r="K141" s="128"/>
      <c r="L141" s="128"/>
      <c r="M141" s="128"/>
      <c r="N141" s="128"/>
      <c r="O141" s="128"/>
      <c r="P141" s="128"/>
      <c r="Q141" s="120" t="s">
        <v>202</v>
      </c>
      <c r="R141" s="41" t="s">
        <v>203</v>
      </c>
      <c r="S141" s="41" t="s">
        <v>231</v>
      </c>
      <c r="T141" s="41"/>
      <c r="U141" s="41"/>
      <c r="V141" s="41"/>
      <c r="W141" s="44"/>
      <c r="X141" s="18"/>
      <c r="Y141" s="44"/>
      <c r="Z141" s="45"/>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0"/>
    </row>
    <row r="142" spans="1:52" ht="79.95" customHeight="1" x14ac:dyDescent="0.3">
      <c r="A142" s="40">
        <v>138</v>
      </c>
      <c r="B142" s="125"/>
      <c r="C142" s="123" t="s">
        <v>431</v>
      </c>
      <c r="D142" s="120" t="s">
        <v>197</v>
      </c>
      <c r="E142" s="120" t="s">
        <v>228</v>
      </c>
      <c r="F142" s="52" t="s">
        <v>199</v>
      </c>
      <c r="G142" s="128"/>
      <c r="H142" s="120" t="s">
        <v>237</v>
      </c>
      <c r="I142" s="212"/>
      <c r="J142" s="128" t="s">
        <v>168</v>
      </c>
      <c r="K142" s="128"/>
      <c r="L142" s="128"/>
      <c r="M142" s="128"/>
      <c r="N142" s="128"/>
      <c r="O142" s="128"/>
      <c r="P142" s="128"/>
      <c r="Q142" s="120" t="s">
        <v>202</v>
      </c>
      <c r="R142" s="41" t="s">
        <v>203</v>
      </c>
      <c r="S142" s="41" t="s">
        <v>231</v>
      </c>
      <c r="T142" s="41"/>
      <c r="U142" s="41"/>
      <c r="V142" s="41"/>
      <c r="W142" s="44"/>
      <c r="X142" s="18"/>
      <c r="Y142" s="44"/>
      <c r="Z142" s="45"/>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0"/>
    </row>
    <row r="143" spans="1:52" ht="79.95" customHeight="1" x14ac:dyDescent="0.3">
      <c r="A143" s="40">
        <v>139</v>
      </c>
      <c r="B143" s="125"/>
      <c r="C143" s="123" t="s">
        <v>431</v>
      </c>
      <c r="D143" s="120" t="s">
        <v>197</v>
      </c>
      <c r="E143" s="120" t="s">
        <v>228</v>
      </c>
      <c r="F143" s="52" t="s">
        <v>199</v>
      </c>
      <c r="G143" s="128"/>
      <c r="H143" s="120" t="s">
        <v>240</v>
      </c>
      <c r="I143" s="213"/>
      <c r="J143" s="128" t="s">
        <v>168</v>
      </c>
      <c r="K143" s="128"/>
      <c r="L143" s="128"/>
      <c r="M143" s="128"/>
      <c r="N143" s="128"/>
      <c r="O143" s="128"/>
      <c r="P143" s="128"/>
      <c r="Q143" s="120" t="s">
        <v>202</v>
      </c>
      <c r="R143" s="41" t="s">
        <v>203</v>
      </c>
      <c r="S143" s="41" t="s">
        <v>231</v>
      </c>
      <c r="T143" s="41"/>
      <c r="U143" s="41"/>
      <c r="V143" s="41"/>
      <c r="W143" s="44"/>
      <c r="X143" s="18"/>
      <c r="Y143" s="44"/>
      <c r="Z143" s="45"/>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0"/>
    </row>
    <row r="144" spans="1:52" ht="79.95" customHeight="1" x14ac:dyDescent="0.3">
      <c r="A144" s="40">
        <v>140</v>
      </c>
      <c r="B144" s="125"/>
      <c r="C144" s="123" t="s">
        <v>431</v>
      </c>
      <c r="D144" s="120" t="s">
        <v>197</v>
      </c>
      <c r="E144" s="120" t="s">
        <v>228</v>
      </c>
      <c r="F144" s="52" t="s">
        <v>199</v>
      </c>
      <c r="G144" s="132"/>
      <c r="H144" s="120" t="s">
        <v>243</v>
      </c>
      <c r="I144" s="214"/>
      <c r="J144" s="128" t="s">
        <v>168</v>
      </c>
      <c r="K144" s="132"/>
      <c r="L144" s="132"/>
      <c r="M144" s="132"/>
      <c r="N144" s="132"/>
      <c r="O144" s="132"/>
      <c r="P144" s="132"/>
      <c r="Q144" s="120" t="s">
        <v>202</v>
      </c>
      <c r="R144" s="41" t="s">
        <v>203</v>
      </c>
      <c r="S144" s="41" t="s">
        <v>231</v>
      </c>
      <c r="T144" s="41"/>
      <c r="U144" s="41"/>
      <c r="V144" s="41"/>
      <c r="W144" s="44"/>
      <c r="X144" s="18"/>
      <c r="Y144" s="44"/>
      <c r="Z144" s="45"/>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0"/>
    </row>
    <row r="145" spans="1:52" ht="79.95" customHeight="1" x14ac:dyDescent="0.3">
      <c r="A145" s="40">
        <v>141</v>
      </c>
      <c r="B145" s="125"/>
      <c r="C145" s="123" t="s">
        <v>431</v>
      </c>
      <c r="D145" s="120" t="s">
        <v>197</v>
      </c>
      <c r="E145" s="120" t="s">
        <v>247</v>
      </c>
      <c r="F145" s="52" t="s">
        <v>199</v>
      </c>
      <c r="G145" s="132"/>
      <c r="H145" s="120" t="s">
        <v>248</v>
      </c>
      <c r="I145" s="215"/>
      <c r="J145" s="128" t="s">
        <v>168</v>
      </c>
      <c r="K145" s="132"/>
      <c r="L145" s="132"/>
      <c r="M145" s="132"/>
      <c r="N145" s="132"/>
      <c r="O145" s="132"/>
      <c r="P145" s="132"/>
      <c r="Q145" s="120" t="s">
        <v>202</v>
      </c>
      <c r="R145" s="41" t="s">
        <v>203</v>
      </c>
      <c r="S145" s="41" t="s">
        <v>249</v>
      </c>
      <c r="T145" s="41"/>
      <c r="U145" s="41"/>
      <c r="V145" s="41"/>
      <c r="W145" s="44"/>
      <c r="X145" s="18"/>
      <c r="Y145" s="44"/>
      <c r="Z145" s="45"/>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0"/>
    </row>
    <row r="146" spans="1:52" ht="79.95" customHeight="1" x14ac:dyDescent="0.3">
      <c r="A146" s="40">
        <v>142</v>
      </c>
      <c r="B146" s="125"/>
      <c r="C146" s="123" t="s">
        <v>431</v>
      </c>
      <c r="D146" s="120" t="s">
        <v>197</v>
      </c>
      <c r="E146" s="120" t="s">
        <v>247</v>
      </c>
      <c r="F146" s="52" t="s">
        <v>199</v>
      </c>
      <c r="G146" s="132"/>
      <c r="H146" s="120" t="s">
        <v>252</v>
      </c>
      <c r="I146" s="216"/>
      <c r="J146" s="128" t="s">
        <v>168</v>
      </c>
      <c r="K146" s="132"/>
      <c r="L146" s="132"/>
      <c r="M146" s="132"/>
      <c r="N146" s="132"/>
      <c r="O146" s="132"/>
      <c r="P146" s="132"/>
      <c r="Q146" s="120" t="s">
        <v>202</v>
      </c>
      <c r="R146" s="41" t="s">
        <v>203</v>
      </c>
      <c r="S146" s="41" t="s">
        <v>249</v>
      </c>
      <c r="T146" s="41"/>
      <c r="U146" s="41"/>
      <c r="V146" s="41"/>
      <c r="W146" s="44"/>
      <c r="X146" s="18"/>
      <c r="Y146" s="44"/>
      <c r="Z146" s="45"/>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0"/>
    </row>
    <row r="147" spans="1:52" ht="79.95" customHeight="1" x14ac:dyDescent="0.3">
      <c r="A147" s="40">
        <v>143</v>
      </c>
      <c r="B147" s="125"/>
      <c r="C147" s="123" t="s">
        <v>431</v>
      </c>
      <c r="D147" s="120" t="s">
        <v>197</v>
      </c>
      <c r="E147" s="120" t="s">
        <v>247</v>
      </c>
      <c r="F147" s="52" t="s">
        <v>199</v>
      </c>
      <c r="G147" s="132"/>
      <c r="H147" s="120" t="s">
        <v>255</v>
      </c>
      <c r="I147" s="217"/>
      <c r="J147" s="128" t="s">
        <v>168</v>
      </c>
      <c r="K147" s="132"/>
      <c r="L147" s="132"/>
      <c r="M147" s="132"/>
      <c r="N147" s="132"/>
      <c r="O147" s="132"/>
      <c r="P147" s="132"/>
      <c r="Q147" s="120" t="s">
        <v>202</v>
      </c>
      <c r="R147" s="41" t="s">
        <v>203</v>
      </c>
      <c r="S147" s="41" t="s">
        <v>249</v>
      </c>
      <c r="T147" s="41"/>
      <c r="U147" s="41"/>
      <c r="V147" s="41"/>
      <c r="W147" s="44"/>
      <c r="X147" s="18"/>
      <c r="Y147" s="44"/>
      <c r="Z147" s="45"/>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0"/>
    </row>
    <row r="148" spans="1:52" ht="79.95" customHeight="1" x14ac:dyDescent="0.3">
      <c r="A148" s="40">
        <v>144</v>
      </c>
      <c r="B148" s="125"/>
      <c r="C148" s="123" t="s">
        <v>431</v>
      </c>
      <c r="D148" s="120" t="s">
        <v>197</v>
      </c>
      <c r="E148" s="120" t="s">
        <v>264</v>
      </c>
      <c r="F148" s="52" t="s">
        <v>199</v>
      </c>
      <c r="G148" s="132"/>
      <c r="H148" s="120" t="s">
        <v>265</v>
      </c>
      <c r="I148" s="218"/>
      <c r="J148" s="128" t="s">
        <v>168</v>
      </c>
      <c r="K148" s="132"/>
      <c r="L148" s="132"/>
      <c r="M148" s="132"/>
      <c r="N148" s="132"/>
      <c r="O148" s="132"/>
      <c r="P148" s="132"/>
      <c r="Q148" s="120" t="s">
        <v>202</v>
      </c>
      <c r="R148" s="41" t="s">
        <v>203</v>
      </c>
      <c r="S148" s="41" t="s">
        <v>249</v>
      </c>
      <c r="T148" s="41"/>
      <c r="U148" s="41"/>
      <c r="V148" s="41"/>
      <c r="W148" s="44"/>
      <c r="X148" s="18"/>
      <c r="Y148" s="44"/>
      <c r="Z148" s="45"/>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0"/>
    </row>
    <row r="149" spans="1:52" ht="79.95" customHeight="1" x14ac:dyDescent="0.3">
      <c r="A149" s="40">
        <v>145</v>
      </c>
      <c r="B149" s="125"/>
      <c r="C149" s="123" t="s">
        <v>431</v>
      </c>
      <c r="D149" s="120" t="s">
        <v>197</v>
      </c>
      <c r="E149" s="120" t="s">
        <v>228</v>
      </c>
      <c r="F149" s="52" t="s">
        <v>199</v>
      </c>
      <c r="G149" s="132"/>
      <c r="H149" s="53" t="s">
        <v>272</v>
      </c>
      <c r="I149" s="43"/>
      <c r="J149" s="128" t="s">
        <v>168</v>
      </c>
      <c r="K149" s="132"/>
      <c r="L149" s="132"/>
      <c r="M149" s="132"/>
      <c r="N149" s="132"/>
      <c r="O149" s="132"/>
      <c r="P149" s="132"/>
      <c r="Q149" s="120" t="s">
        <v>202</v>
      </c>
      <c r="R149" s="41" t="s">
        <v>203</v>
      </c>
      <c r="S149" s="41" t="s">
        <v>231</v>
      </c>
      <c r="T149" s="41"/>
      <c r="U149" s="41"/>
      <c r="V149" s="41"/>
      <c r="W149" s="44"/>
      <c r="X149" s="18"/>
      <c r="Y149" s="44"/>
      <c r="Z149" s="45"/>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0"/>
    </row>
    <row r="150" spans="1:52" ht="79.95" customHeight="1" x14ac:dyDescent="0.3">
      <c r="A150" s="40">
        <v>146</v>
      </c>
      <c r="B150" s="125"/>
      <c r="C150" s="123" t="s">
        <v>431</v>
      </c>
      <c r="D150" s="120" t="s">
        <v>197</v>
      </c>
      <c r="E150" s="120" t="s">
        <v>247</v>
      </c>
      <c r="F150" s="52" t="s">
        <v>199</v>
      </c>
      <c r="G150" s="132"/>
      <c r="H150" s="120" t="s">
        <v>279</v>
      </c>
      <c r="I150" s="120" t="s">
        <v>280</v>
      </c>
      <c r="J150" s="128" t="s">
        <v>168</v>
      </c>
      <c r="K150" s="132"/>
      <c r="L150" s="132"/>
      <c r="M150" s="132"/>
      <c r="N150" s="132"/>
      <c r="O150" s="132"/>
      <c r="P150" s="132"/>
      <c r="Q150" s="120" t="s">
        <v>202</v>
      </c>
      <c r="R150" s="41" t="s">
        <v>203</v>
      </c>
      <c r="S150" s="41" t="s">
        <v>231</v>
      </c>
      <c r="T150" s="41"/>
      <c r="U150" s="41"/>
      <c r="V150" s="41"/>
      <c r="W150" s="44"/>
      <c r="X150" s="18"/>
      <c r="Y150" s="44"/>
      <c r="Z150" s="45"/>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0"/>
    </row>
    <row r="151" spans="1:52" ht="79.95" customHeight="1" x14ac:dyDescent="0.3">
      <c r="A151" s="40">
        <v>147</v>
      </c>
      <c r="B151" s="125"/>
      <c r="C151" s="123" t="s">
        <v>431</v>
      </c>
      <c r="D151" s="120" t="s">
        <v>197</v>
      </c>
      <c r="E151" s="120" t="s">
        <v>264</v>
      </c>
      <c r="F151" s="52" t="s">
        <v>199</v>
      </c>
      <c r="G151" s="132"/>
      <c r="H151" s="120" t="s">
        <v>282</v>
      </c>
      <c r="I151" s="210" t="s">
        <v>283</v>
      </c>
      <c r="J151" s="128" t="s">
        <v>168</v>
      </c>
      <c r="K151" s="132"/>
      <c r="L151" s="132"/>
      <c r="M151" s="132"/>
      <c r="N151" s="132"/>
      <c r="O151" s="132"/>
      <c r="P151" s="132"/>
      <c r="Q151" s="120" t="s">
        <v>202</v>
      </c>
      <c r="R151" s="41" t="s">
        <v>203</v>
      </c>
      <c r="S151" s="41" t="s">
        <v>231</v>
      </c>
      <c r="T151" s="41"/>
      <c r="U151" s="41"/>
      <c r="V151" s="41"/>
      <c r="W151" s="44"/>
      <c r="X151" s="18"/>
      <c r="Y151" s="44"/>
      <c r="Z151" s="45"/>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0"/>
    </row>
    <row r="152" spans="1:52" ht="79.95" customHeight="1" x14ac:dyDescent="0.3">
      <c r="A152" s="40">
        <v>148</v>
      </c>
      <c r="B152" s="125"/>
      <c r="C152" s="123" t="s">
        <v>431</v>
      </c>
      <c r="D152" s="120" t="s">
        <v>197</v>
      </c>
      <c r="E152" s="120" t="s">
        <v>264</v>
      </c>
      <c r="F152" s="52" t="s">
        <v>199</v>
      </c>
      <c r="G152" s="132"/>
      <c r="H152" s="120" t="s">
        <v>290</v>
      </c>
      <c r="I152" s="219"/>
      <c r="J152" s="128" t="s">
        <v>168</v>
      </c>
      <c r="K152" s="132"/>
      <c r="L152" s="132"/>
      <c r="M152" s="132"/>
      <c r="N152" s="132"/>
      <c r="O152" s="132"/>
      <c r="P152" s="132"/>
      <c r="Q152" s="120" t="s">
        <v>202</v>
      </c>
      <c r="R152" s="41" t="s">
        <v>203</v>
      </c>
      <c r="S152" s="41" t="s">
        <v>231</v>
      </c>
      <c r="T152" s="41"/>
      <c r="U152" s="41"/>
      <c r="V152" s="41"/>
      <c r="W152" s="44"/>
      <c r="X152" s="18"/>
      <c r="Y152" s="44"/>
      <c r="Z152" s="45"/>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0"/>
    </row>
    <row r="153" spans="1:52" ht="79.95" customHeight="1" x14ac:dyDescent="0.3">
      <c r="A153" s="40">
        <v>149</v>
      </c>
      <c r="B153" s="125"/>
      <c r="C153" s="123" t="s">
        <v>431</v>
      </c>
      <c r="D153" s="120" t="s">
        <v>197</v>
      </c>
      <c r="E153" s="120" t="s">
        <v>247</v>
      </c>
      <c r="F153" s="52" t="s">
        <v>199</v>
      </c>
      <c r="G153" s="132"/>
      <c r="H153" s="120" t="s">
        <v>295</v>
      </c>
      <c r="I153" s="43"/>
      <c r="J153" s="128" t="s">
        <v>168</v>
      </c>
      <c r="K153" s="132"/>
      <c r="L153" s="132"/>
      <c r="M153" s="132"/>
      <c r="N153" s="132"/>
      <c r="O153" s="132"/>
      <c r="P153" s="132"/>
      <c r="Q153" s="120" t="s">
        <v>202</v>
      </c>
      <c r="R153" s="41" t="s">
        <v>203</v>
      </c>
      <c r="S153" s="41" t="s">
        <v>231</v>
      </c>
      <c r="T153" s="41"/>
      <c r="U153" s="41"/>
      <c r="V153" s="41"/>
      <c r="W153" s="44"/>
      <c r="X153" s="18"/>
      <c r="Y153" s="44"/>
      <c r="Z153" s="45"/>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0"/>
    </row>
    <row r="154" spans="1:52" ht="79.95" customHeight="1" x14ac:dyDescent="0.3">
      <c r="A154" s="40">
        <v>150</v>
      </c>
      <c r="B154" s="125"/>
      <c r="C154" s="123" t="s">
        <v>431</v>
      </c>
      <c r="D154" s="120" t="s">
        <v>197</v>
      </c>
      <c r="E154" s="120" t="s">
        <v>264</v>
      </c>
      <c r="F154" s="52" t="s">
        <v>199</v>
      </c>
      <c r="G154" s="132"/>
      <c r="H154" s="53" t="s">
        <v>299</v>
      </c>
      <c r="I154" s="43"/>
      <c r="J154" s="128" t="s">
        <v>168</v>
      </c>
      <c r="K154" s="132"/>
      <c r="L154" s="132"/>
      <c r="M154" s="132"/>
      <c r="N154" s="132"/>
      <c r="O154" s="132"/>
      <c r="P154" s="132"/>
      <c r="Q154" s="120" t="s">
        <v>202</v>
      </c>
      <c r="R154" s="41" t="s">
        <v>203</v>
      </c>
      <c r="S154" s="41" t="s">
        <v>231</v>
      </c>
      <c r="T154" s="41"/>
      <c r="U154" s="41"/>
      <c r="V154" s="41"/>
      <c r="W154" s="44"/>
      <c r="X154" s="18"/>
      <c r="Y154" s="44"/>
      <c r="Z154" s="45"/>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0"/>
    </row>
    <row r="155" spans="1:52" ht="79.95" customHeight="1" x14ac:dyDescent="0.3">
      <c r="A155" s="40">
        <v>151</v>
      </c>
      <c r="B155" s="125"/>
      <c r="C155" s="123" t="s">
        <v>431</v>
      </c>
      <c r="D155" s="120" t="s">
        <v>197</v>
      </c>
      <c r="E155" s="120" t="s">
        <v>264</v>
      </c>
      <c r="F155" s="52" t="s">
        <v>199</v>
      </c>
      <c r="G155" s="132"/>
      <c r="H155" s="53" t="s">
        <v>305</v>
      </c>
      <c r="I155" s="43"/>
      <c r="J155" s="128" t="s">
        <v>168</v>
      </c>
      <c r="K155" s="132"/>
      <c r="L155" s="132"/>
      <c r="M155" s="132"/>
      <c r="N155" s="132"/>
      <c r="O155" s="132"/>
      <c r="P155" s="132"/>
      <c r="Q155" s="120" t="s">
        <v>202</v>
      </c>
      <c r="R155" s="41" t="s">
        <v>203</v>
      </c>
      <c r="S155" s="41" t="s">
        <v>231</v>
      </c>
      <c r="T155" s="41"/>
      <c r="U155" s="41"/>
      <c r="V155" s="41"/>
      <c r="W155" s="44"/>
      <c r="X155" s="18"/>
      <c r="Y155" s="44"/>
      <c r="Z155" s="45"/>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0"/>
    </row>
    <row r="156" spans="1:52" ht="79.95" customHeight="1" x14ac:dyDescent="0.3">
      <c r="A156" s="40">
        <v>152</v>
      </c>
      <c r="B156" s="125"/>
      <c r="C156" s="123" t="s">
        <v>431</v>
      </c>
      <c r="D156" s="120" t="s">
        <v>197</v>
      </c>
      <c r="E156" s="120" t="s">
        <v>264</v>
      </c>
      <c r="F156" s="52" t="s">
        <v>199</v>
      </c>
      <c r="G156" s="133"/>
      <c r="H156" s="53" t="s">
        <v>310</v>
      </c>
      <c r="I156" s="43"/>
      <c r="J156" s="128" t="s">
        <v>168</v>
      </c>
      <c r="K156" s="133"/>
      <c r="L156" s="133"/>
      <c r="M156" s="133"/>
      <c r="N156" s="133"/>
      <c r="O156" s="133"/>
      <c r="P156" s="133"/>
      <c r="Q156" s="120" t="s">
        <v>202</v>
      </c>
      <c r="R156" s="41" t="s">
        <v>203</v>
      </c>
      <c r="S156" s="41" t="s">
        <v>231</v>
      </c>
      <c r="T156" s="41"/>
      <c r="U156" s="41"/>
      <c r="V156" s="41"/>
      <c r="W156" s="44"/>
      <c r="X156" s="18"/>
      <c r="Y156" s="44"/>
      <c r="Z156" s="45"/>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0"/>
    </row>
    <row r="157" spans="1:52" ht="79.95" customHeight="1" x14ac:dyDescent="0.3">
      <c r="A157" s="40">
        <v>153</v>
      </c>
      <c r="B157" s="125"/>
      <c r="C157" s="123" t="s">
        <v>431</v>
      </c>
      <c r="D157" s="120" t="s">
        <v>197</v>
      </c>
      <c r="E157" s="120" t="s">
        <v>264</v>
      </c>
      <c r="F157" s="52" t="s">
        <v>199</v>
      </c>
      <c r="G157" s="133"/>
      <c r="H157" s="53" t="s">
        <v>314</v>
      </c>
      <c r="I157" s="43"/>
      <c r="J157" s="128" t="s">
        <v>168</v>
      </c>
      <c r="K157" s="133"/>
      <c r="L157" s="133"/>
      <c r="M157" s="133"/>
      <c r="N157" s="133"/>
      <c r="O157" s="133"/>
      <c r="P157" s="133"/>
      <c r="Q157" s="120" t="s">
        <v>202</v>
      </c>
      <c r="R157" s="41" t="s">
        <v>203</v>
      </c>
      <c r="S157" s="41" t="s">
        <v>231</v>
      </c>
      <c r="T157" s="41"/>
      <c r="U157" s="41"/>
      <c r="V157" s="41"/>
      <c r="W157" s="44"/>
      <c r="X157" s="18"/>
      <c r="Y157" s="44"/>
      <c r="Z157" s="45"/>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0"/>
    </row>
    <row r="158" spans="1:52" ht="79.95" customHeight="1" x14ac:dyDescent="0.3">
      <c r="A158" s="40">
        <v>154</v>
      </c>
      <c r="B158" s="125"/>
      <c r="C158" s="123" t="s">
        <v>431</v>
      </c>
      <c r="D158" s="120" t="s">
        <v>197</v>
      </c>
      <c r="E158" s="120" t="s">
        <v>264</v>
      </c>
      <c r="F158" s="52" t="s">
        <v>199</v>
      </c>
      <c r="G158" s="128"/>
      <c r="H158" s="53" t="s">
        <v>317</v>
      </c>
      <c r="I158" s="43"/>
      <c r="J158" s="128" t="s">
        <v>168</v>
      </c>
      <c r="K158" s="128"/>
      <c r="L158" s="128"/>
      <c r="M158" s="128"/>
      <c r="N158" s="128"/>
      <c r="O158" s="128"/>
      <c r="P158" s="128"/>
      <c r="Q158" s="120" t="s">
        <v>202</v>
      </c>
      <c r="R158" s="41" t="s">
        <v>203</v>
      </c>
      <c r="S158" s="41" t="s">
        <v>321</v>
      </c>
      <c r="T158" s="41"/>
      <c r="U158" s="41"/>
      <c r="V158" s="41"/>
      <c r="W158" s="44"/>
      <c r="X158" s="18"/>
      <c r="Y158" s="44"/>
      <c r="Z158" s="45"/>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0"/>
    </row>
    <row r="159" spans="1:52" ht="79.95" customHeight="1" x14ac:dyDescent="0.3">
      <c r="A159" s="40">
        <v>155</v>
      </c>
      <c r="B159" s="125"/>
      <c r="C159" s="123" t="s">
        <v>431</v>
      </c>
      <c r="D159" s="120" t="s">
        <v>197</v>
      </c>
      <c r="E159" s="120" t="s">
        <v>264</v>
      </c>
      <c r="F159" s="52" t="s">
        <v>199</v>
      </c>
      <c r="G159" s="128"/>
      <c r="H159" s="53" t="s">
        <v>322</v>
      </c>
      <c r="I159" s="43"/>
      <c r="J159" s="128" t="s">
        <v>168</v>
      </c>
      <c r="K159" s="128"/>
      <c r="L159" s="128"/>
      <c r="M159" s="128"/>
      <c r="N159" s="128"/>
      <c r="O159" s="128"/>
      <c r="P159" s="128"/>
      <c r="Q159" s="120" t="s">
        <v>202</v>
      </c>
      <c r="R159" s="41" t="s">
        <v>203</v>
      </c>
      <c r="S159" s="41" t="s">
        <v>321</v>
      </c>
      <c r="T159" s="41"/>
      <c r="U159" s="41"/>
      <c r="V159" s="41"/>
      <c r="W159" s="44"/>
      <c r="X159" s="18"/>
      <c r="Y159" s="44"/>
      <c r="Z159" s="45"/>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0"/>
    </row>
    <row r="160" spans="1:52" ht="79.95" customHeight="1" x14ac:dyDescent="0.3">
      <c r="A160" s="40">
        <v>156</v>
      </c>
      <c r="B160" s="125"/>
      <c r="C160" s="123" t="s">
        <v>431</v>
      </c>
      <c r="D160" s="120" t="s">
        <v>197</v>
      </c>
      <c r="E160" s="120" t="s">
        <v>264</v>
      </c>
      <c r="F160" s="52" t="s">
        <v>199</v>
      </c>
      <c r="G160" s="128"/>
      <c r="H160" s="53" t="s">
        <v>326</v>
      </c>
      <c r="I160" s="43"/>
      <c r="J160" s="128" t="s">
        <v>168</v>
      </c>
      <c r="K160" s="128"/>
      <c r="L160" s="128"/>
      <c r="M160" s="128"/>
      <c r="N160" s="128"/>
      <c r="O160" s="128"/>
      <c r="P160" s="128"/>
      <c r="Q160" s="120" t="s">
        <v>202</v>
      </c>
      <c r="R160" s="41" t="s">
        <v>203</v>
      </c>
      <c r="S160" s="41" t="s">
        <v>321</v>
      </c>
      <c r="T160" s="41"/>
      <c r="U160" s="41"/>
      <c r="V160" s="41"/>
      <c r="W160" s="44"/>
      <c r="X160" s="18"/>
      <c r="Y160" s="44"/>
      <c r="Z160" s="45"/>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0"/>
    </row>
    <row r="161" spans="1:52" ht="79.95" customHeight="1" x14ac:dyDescent="0.3">
      <c r="A161" s="40">
        <v>157</v>
      </c>
      <c r="B161" s="125"/>
      <c r="C161" s="123" t="s">
        <v>431</v>
      </c>
      <c r="D161" s="120" t="s">
        <v>197</v>
      </c>
      <c r="E161" s="120" t="s">
        <v>264</v>
      </c>
      <c r="F161" s="52" t="s">
        <v>199</v>
      </c>
      <c r="G161" s="128"/>
      <c r="H161" s="53" t="s">
        <v>330</v>
      </c>
      <c r="I161" s="43"/>
      <c r="J161" s="128" t="s">
        <v>168</v>
      </c>
      <c r="K161" s="128"/>
      <c r="L161" s="128"/>
      <c r="M161" s="128"/>
      <c r="N161" s="128"/>
      <c r="O161" s="128"/>
      <c r="P161" s="128"/>
      <c r="Q161" s="120" t="s">
        <v>202</v>
      </c>
      <c r="R161" s="41" t="s">
        <v>203</v>
      </c>
      <c r="S161" s="41" t="s">
        <v>231</v>
      </c>
      <c r="T161" s="41"/>
      <c r="U161" s="41"/>
      <c r="V161" s="41"/>
      <c r="W161" s="44"/>
      <c r="X161" s="18"/>
      <c r="Y161" s="44"/>
      <c r="Z161" s="45"/>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0"/>
    </row>
    <row r="162" spans="1:52" ht="79.95" customHeight="1" x14ac:dyDescent="0.3">
      <c r="A162" s="40">
        <v>158</v>
      </c>
      <c r="B162" s="125"/>
      <c r="C162" s="123" t="s">
        <v>431</v>
      </c>
      <c r="D162" s="120" t="s">
        <v>197</v>
      </c>
      <c r="E162" s="120" t="s">
        <v>264</v>
      </c>
      <c r="F162" s="52" t="s">
        <v>199</v>
      </c>
      <c r="G162" s="128"/>
      <c r="H162" s="53" t="s">
        <v>334</v>
      </c>
      <c r="I162" s="43"/>
      <c r="J162" s="128" t="s">
        <v>168</v>
      </c>
      <c r="K162" s="128"/>
      <c r="L162" s="128"/>
      <c r="M162" s="128"/>
      <c r="N162" s="128"/>
      <c r="O162" s="128"/>
      <c r="P162" s="128"/>
      <c r="Q162" s="120" t="s">
        <v>202</v>
      </c>
      <c r="R162" s="41" t="s">
        <v>203</v>
      </c>
      <c r="S162" s="41" t="s">
        <v>321</v>
      </c>
      <c r="T162" s="41"/>
      <c r="U162" s="41"/>
      <c r="V162" s="41"/>
      <c r="W162" s="44"/>
      <c r="X162" s="18"/>
      <c r="Y162" s="44"/>
      <c r="Z162" s="45"/>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0"/>
    </row>
    <row r="163" spans="1:52" ht="79.95" customHeight="1" x14ac:dyDescent="0.3">
      <c r="A163" s="40">
        <v>159</v>
      </c>
      <c r="B163" s="125"/>
      <c r="C163" s="123" t="s">
        <v>431</v>
      </c>
      <c r="D163" s="120" t="s">
        <v>197</v>
      </c>
      <c r="E163" s="120" t="s">
        <v>264</v>
      </c>
      <c r="F163" s="52" t="s">
        <v>199</v>
      </c>
      <c r="G163" s="128"/>
      <c r="H163" s="53" t="s">
        <v>337</v>
      </c>
      <c r="I163" s="43"/>
      <c r="J163" s="128" t="s">
        <v>168</v>
      </c>
      <c r="K163" s="128"/>
      <c r="L163" s="128"/>
      <c r="M163" s="128"/>
      <c r="N163" s="128"/>
      <c r="O163" s="128"/>
      <c r="P163" s="128"/>
      <c r="Q163" s="120" t="s">
        <v>202</v>
      </c>
      <c r="R163" s="41" t="s">
        <v>203</v>
      </c>
      <c r="S163" s="41"/>
      <c r="T163" s="41"/>
      <c r="U163" s="41"/>
      <c r="V163" s="41"/>
      <c r="W163" s="44"/>
      <c r="X163" s="18"/>
      <c r="Y163" s="44"/>
      <c r="Z163" s="45"/>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0"/>
    </row>
    <row r="164" spans="1:52" ht="79.95" customHeight="1" x14ac:dyDescent="0.3">
      <c r="A164" s="40">
        <v>160</v>
      </c>
      <c r="B164" s="125"/>
      <c r="C164" s="123" t="s">
        <v>431</v>
      </c>
      <c r="D164" s="120" t="s">
        <v>197</v>
      </c>
      <c r="E164" s="120" t="s">
        <v>264</v>
      </c>
      <c r="F164" s="52" t="s">
        <v>199</v>
      </c>
      <c r="G164" s="128"/>
      <c r="H164" s="53" t="s">
        <v>340</v>
      </c>
      <c r="I164" s="43"/>
      <c r="J164" s="128" t="s">
        <v>168</v>
      </c>
      <c r="K164" s="128"/>
      <c r="L164" s="128"/>
      <c r="M164" s="128"/>
      <c r="N164" s="128"/>
      <c r="O164" s="128"/>
      <c r="P164" s="128"/>
      <c r="Q164" s="120" t="s">
        <v>202</v>
      </c>
      <c r="R164" s="41" t="s">
        <v>203</v>
      </c>
      <c r="S164" s="41" t="s">
        <v>321</v>
      </c>
      <c r="T164" s="41"/>
      <c r="U164" s="41"/>
      <c r="V164" s="41"/>
      <c r="W164" s="44"/>
      <c r="X164" s="18"/>
      <c r="Y164" s="44"/>
      <c r="Z164" s="45"/>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0"/>
    </row>
    <row r="165" spans="1:52" ht="79.95" customHeight="1" x14ac:dyDescent="0.3">
      <c r="A165" s="40">
        <v>161</v>
      </c>
      <c r="B165" s="125"/>
      <c r="C165" s="123" t="s">
        <v>431</v>
      </c>
      <c r="D165" s="120" t="s">
        <v>197</v>
      </c>
      <c r="E165" s="120" t="s">
        <v>264</v>
      </c>
      <c r="F165" s="52" t="s">
        <v>199</v>
      </c>
      <c r="G165" s="128"/>
      <c r="H165" s="53" t="s">
        <v>344</v>
      </c>
      <c r="I165" s="43"/>
      <c r="J165" s="128" t="s">
        <v>168</v>
      </c>
      <c r="K165" s="128"/>
      <c r="L165" s="128"/>
      <c r="M165" s="128"/>
      <c r="N165" s="128"/>
      <c r="O165" s="128"/>
      <c r="P165" s="128"/>
      <c r="Q165" s="120" t="s">
        <v>202</v>
      </c>
      <c r="R165" s="41" t="s">
        <v>203</v>
      </c>
      <c r="S165" s="41"/>
      <c r="T165" s="41"/>
      <c r="U165" s="41"/>
      <c r="V165" s="41"/>
      <c r="W165" s="44"/>
      <c r="X165" s="18"/>
      <c r="Y165" s="44"/>
      <c r="Z165" s="45"/>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0"/>
    </row>
    <row r="166" spans="1:52" ht="79.95" customHeight="1" x14ac:dyDescent="0.3">
      <c r="A166" s="40">
        <v>162</v>
      </c>
      <c r="B166" s="125"/>
      <c r="C166" s="123" t="s">
        <v>431</v>
      </c>
      <c r="D166" s="120" t="s">
        <v>197</v>
      </c>
      <c r="E166" s="120" t="s">
        <v>264</v>
      </c>
      <c r="F166" s="52" t="s">
        <v>199</v>
      </c>
      <c r="G166" s="128"/>
      <c r="H166" s="53" t="s">
        <v>350</v>
      </c>
      <c r="I166" s="43"/>
      <c r="J166" s="128" t="s">
        <v>168</v>
      </c>
      <c r="K166" s="128"/>
      <c r="L166" s="128"/>
      <c r="M166" s="128"/>
      <c r="N166" s="128"/>
      <c r="O166" s="128"/>
      <c r="P166" s="128"/>
      <c r="Q166" s="120" t="s">
        <v>202</v>
      </c>
      <c r="R166" s="41" t="s">
        <v>203</v>
      </c>
      <c r="S166" s="41" t="s">
        <v>321</v>
      </c>
      <c r="T166" s="41"/>
      <c r="U166" s="41"/>
      <c r="V166" s="41"/>
      <c r="W166" s="44"/>
      <c r="X166" s="18"/>
      <c r="Y166" s="44"/>
      <c r="Z166" s="45"/>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0"/>
    </row>
    <row r="167" spans="1:52" ht="79.95" customHeight="1" x14ac:dyDescent="0.3">
      <c r="A167" s="40">
        <v>163</v>
      </c>
      <c r="B167" s="125"/>
      <c r="C167" s="123" t="s">
        <v>431</v>
      </c>
      <c r="D167" s="120" t="s">
        <v>197</v>
      </c>
      <c r="E167" s="120" t="s">
        <v>264</v>
      </c>
      <c r="F167" s="52" t="s">
        <v>199</v>
      </c>
      <c r="G167" s="128"/>
      <c r="H167" s="53" t="s">
        <v>353</v>
      </c>
      <c r="I167" s="43"/>
      <c r="J167" s="128" t="s">
        <v>168</v>
      </c>
      <c r="K167" s="128"/>
      <c r="L167" s="128"/>
      <c r="M167" s="128"/>
      <c r="N167" s="128"/>
      <c r="O167" s="128"/>
      <c r="P167" s="128"/>
      <c r="Q167" s="120" t="s">
        <v>202</v>
      </c>
      <c r="R167" s="41" t="s">
        <v>203</v>
      </c>
      <c r="S167" s="41" t="s">
        <v>321</v>
      </c>
      <c r="T167" s="41"/>
      <c r="U167" s="41"/>
      <c r="V167" s="41"/>
      <c r="W167" s="44"/>
      <c r="X167" s="18"/>
      <c r="Y167" s="44"/>
      <c r="Z167" s="45"/>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0"/>
    </row>
    <row r="168" spans="1:52" ht="79.95" customHeight="1" x14ac:dyDescent="0.3">
      <c r="A168" s="40">
        <v>164</v>
      </c>
      <c r="B168" s="125"/>
      <c r="C168" s="123" t="s">
        <v>431</v>
      </c>
      <c r="D168" s="120" t="s">
        <v>197</v>
      </c>
      <c r="E168" s="120" t="s">
        <v>264</v>
      </c>
      <c r="F168" s="52" t="s">
        <v>199</v>
      </c>
      <c r="G168" s="128"/>
      <c r="H168" s="53" t="s">
        <v>356</v>
      </c>
      <c r="I168" s="43"/>
      <c r="J168" s="128" t="s">
        <v>168</v>
      </c>
      <c r="K168" s="128"/>
      <c r="L168" s="128"/>
      <c r="M168" s="128"/>
      <c r="N168" s="128"/>
      <c r="O168" s="128"/>
      <c r="P168" s="128"/>
      <c r="Q168" s="120" t="s">
        <v>202</v>
      </c>
      <c r="R168" s="41" t="s">
        <v>203</v>
      </c>
      <c r="S168" s="41" t="s">
        <v>321</v>
      </c>
      <c r="T168" s="41"/>
      <c r="U168" s="41"/>
      <c r="V168" s="41"/>
      <c r="W168" s="44"/>
      <c r="X168" s="18"/>
      <c r="Y168" s="44"/>
      <c r="Z168" s="45"/>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0"/>
    </row>
    <row r="169" spans="1:52" ht="79.95" customHeight="1" x14ac:dyDescent="0.3">
      <c r="A169" s="40">
        <v>165</v>
      </c>
      <c r="B169" s="125"/>
      <c r="C169" s="123" t="s">
        <v>431</v>
      </c>
      <c r="D169" s="120" t="s">
        <v>197</v>
      </c>
      <c r="E169" s="120" t="s">
        <v>264</v>
      </c>
      <c r="F169" s="52" t="s">
        <v>199</v>
      </c>
      <c r="G169" s="128"/>
      <c r="H169" s="53" t="s">
        <v>358</v>
      </c>
      <c r="I169" s="43"/>
      <c r="J169" s="128" t="s">
        <v>168</v>
      </c>
      <c r="K169" s="128"/>
      <c r="L169" s="128"/>
      <c r="M169" s="128"/>
      <c r="N169" s="128"/>
      <c r="O169" s="128"/>
      <c r="P169" s="128"/>
      <c r="Q169" s="120" t="s">
        <v>202</v>
      </c>
      <c r="R169" s="41" t="s">
        <v>203</v>
      </c>
      <c r="S169" s="41" t="s">
        <v>321</v>
      </c>
      <c r="T169" s="41"/>
      <c r="U169" s="41"/>
      <c r="V169" s="41"/>
      <c r="W169" s="44"/>
      <c r="X169" s="18"/>
      <c r="Y169" s="44"/>
      <c r="Z169" s="45"/>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0"/>
    </row>
    <row r="170" spans="1:52" ht="79.95" customHeight="1" x14ac:dyDescent="0.3">
      <c r="A170" s="40">
        <v>166</v>
      </c>
      <c r="B170" s="125"/>
      <c r="C170" s="123" t="s">
        <v>431</v>
      </c>
      <c r="D170" s="120" t="s">
        <v>197</v>
      </c>
      <c r="E170" s="120" t="s">
        <v>247</v>
      </c>
      <c r="F170" s="52" t="s">
        <v>199</v>
      </c>
      <c r="G170" s="128"/>
      <c r="H170" s="120" t="s">
        <v>361</v>
      </c>
      <c r="I170" s="120" t="s">
        <v>362</v>
      </c>
      <c r="J170" s="128" t="s">
        <v>168</v>
      </c>
      <c r="K170" s="128"/>
      <c r="L170" s="128"/>
      <c r="M170" s="128"/>
      <c r="N170" s="128"/>
      <c r="O170" s="128"/>
      <c r="P170" s="128"/>
      <c r="Q170" s="120" t="s">
        <v>202</v>
      </c>
      <c r="R170" s="41" t="s">
        <v>203</v>
      </c>
      <c r="S170" s="41" t="s">
        <v>249</v>
      </c>
      <c r="T170" s="41"/>
      <c r="U170" s="41"/>
      <c r="V170" s="41"/>
      <c r="W170" s="44"/>
      <c r="X170" s="18"/>
      <c r="Y170" s="44"/>
      <c r="Z170" s="45"/>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0"/>
    </row>
    <row r="171" spans="1:52" ht="79.95" customHeight="1" x14ac:dyDescent="0.3">
      <c r="A171" s="40">
        <v>167</v>
      </c>
      <c r="B171" s="125"/>
      <c r="C171" s="123" t="s">
        <v>431</v>
      </c>
      <c r="D171" s="120" t="s">
        <v>197</v>
      </c>
      <c r="E171" s="120" t="s">
        <v>247</v>
      </c>
      <c r="F171" s="52" t="s">
        <v>199</v>
      </c>
      <c r="G171" s="128"/>
      <c r="H171" s="120" t="s">
        <v>365</v>
      </c>
      <c r="I171" s="120" t="s">
        <v>283</v>
      </c>
      <c r="J171" s="128" t="s">
        <v>168</v>
      </c>
      <c r="K171" s="128"/>
      <c r="L171" s="128"/>
      <c r="M171" s="128"/>
      <c r="N171" s="128"/>
      <c r="O171" s="128"/>
      <c r="P171" s="128"/>
      <c r="Q171" s="120" t="s">
        <v>202</v>
      </c>
      <c r="R171" s="41" t="s">
        <v>203</v>
      </c>
      <c r="S171" s="41" t="s">
        <v>249</v>
      </c>
      <c r="T171" s="41"/>
      <c r="U171" s="41"/>
      <c r="V171" s="41"/>
      <c r="W171" s="44"/>
      <c r="X171" s="18"/>
      <c r="Y171" s="44"/>
      <c r="Z171" s="45"/>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0"/>
    </row>
    <row r="172" spans="1:52" ht="79.95" customHeight="1" x14ac:dyDescent="0.3">
      <c r="A172" s="40">
        <v>168</v>
      </c>
      <c r="B172" s="125"/>
      <c r="C172" s="123" t="s">
        <v>431</v>
      </c>
      <c r="D172" s="120" t="s">
        <v>197</v>
      </c>
      <c r="E172" s="120" t="s">
        <v>247</v>
      </c>
      <c r="F172" s="52" t="s">
        <v>199</v>
      </c>
      <c r="G172" s="128"/>
      <c r="H172" s="53" t="s">
        <v>368</v>
      </c>
      <c r="I172" s="43"/>
      <c r="J172" s="128" t="s">
        <v>168</v>
      </c>
      <c r="K172" s="128"/>
      <c r="L172" s="128"/>
      <c r="M172" s="128"/>
      <c r="N172" s="128"/>
      <c r="O172" s="128"/>
      <c r="P172" s="128"/>
      <c r="Q172" s="120" t="s">
        <v>202</v>
      </c>
      <c r="R172" s="41" t="s">
        <v>203</v>
      </c>
      <c r="S172" s="41" t="s">
        <v>249</v>
      </c>
      <c r="T172" s="41"/>
      <c r="U172" s="41"/>
      <c r="V172" s="41"/>
      <c r="W172" s="44"/>
      <c r="X172" s="18"/>
      <c r="Y172" s="44"/>
      <c r="Z172" s="45"/>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0"/>
    </row>
    <row r="173" spans="1:52" ht="79.95" customHeight="1" x14ac:dyDescent="0.3">
      <c r="A173" s="40">
        <v>169</v>
      </c>
      <c r="B173" s="125"/>
      <c r="C173" s="123" t="s">
        <v>431</v>
      </c>
      <c r="D173" s="120" t="s">
        <v>197</v>
      </c>
      <c r="E173" s="120" t="s">
        <v>247</v>
      </c>
      <c r="F173" s="52" t="s">
        <v>199</v>
      </c>
      <c r="G173" s="128"/>
      <c r="H173" s="53" t="s">
        <v>371</v>
      </c>
      <c r="I173" s="43"/>
      <c r="J173" s="128" t="s">
        <v>168</v>
      </c>
      <c r="K173" s="128"/>
      <c r="L173" s="128"/>
      <c r="M173" s="128"/>
      <c r="N173" s="128"/>
      <c r="O173" s="128"/>
      <c r="P173" s="128"/>
      <c r="Q173" s="120" t="s">
        <v>202</v>
      </c>
      <c r="R173" s="41" t="s">
        <v>203</v>
      </c>
      <c r="S173" s="41" t="s">
        <v>249</v>
      </c>
      <c r="T173" s="41"/>
      <c r="U173" s="41"/>
      <c r="V173" s="41"/>
      <c r="W173" s="44"/>
      <c r="X173" s="18"/>
      <c r="Y173" s="44"/>
      <c r="Z173" s="45"/>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0"/>
    </row>
    <row r="174" spans="1:52" ht="79.95" customHeight="1" x14ac:dyDescent="0.3">
      <c r="A174" s="40">
        <v>170</v>
      </c>
      <c r="B174" s="125"/>
      <c r="C174" s="123" t="s">
        <v>431</v>
      </c>
      <c r="D174" s="120" t="s">
        <v>197</v>
      </c>
      <c r="E174" s="120" t="s">
        <v>247</v>
      </c>
      <c r="F174" s="52" t="s">
        <v>199</v>
      </c>
      <c r="G174" s="128"/>
      <c r="H174" s="120" t="s">
        <v>374</v>
      </c>
      <c r="I174" s="210" t="s">
        <v>376</v>
      </c>
      <c r="J174" s="128" t="s">
        <v>168</v>
      </c>
      <c r="K174" s="128"/>
      <c r="L174" s="128"/>
      <c r="M174" s="128"/>
      <c r="N174" s="128"/>
      <c r="O174" s="128"/>
      <c r="P174" s="128"/>
      <c r="Q174" s="120" t="s">
        <v>202</v>
      </c>
      <c r="R174" s="41" t="s">
        <v>203</v>
      </c>
      <c r="S174" s="41"/>
      <c r="T174" s="41"/>
      <c r="U174" s="41"/>
      <c r="V174" s="41"/>
      <c r="W174" s="44"/>
      <c r="X174" s="18"/>
      <c r="Y174" s="44"/>
      <c r="Z174" s="45"/>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0"/>
    </row>
    <row r="175" spans="1:52" ht="79.95" customHeight="1" x14ac:dyDescent="0.3">
      <c r="A175" s="40">
        <v>171</v>
      </c>
      <c r="B175" s="125"/>
      <c r="C175" s="123" t="s">
        <v>431</v>
      </c>
      <c r="D175" s="120" t="s">
        <v>197</v>
      </c>
      <c r="E175" s="120" t="s">
        <v>247</v>
      </c>
      <c r="F175" s="52" t="s">
        <v>199</v>
      </c>
      <c r="G175" s="128"/>
      <c r="H175" s="120" t="s">
        <v>379</v>
      </c>
      <c r="I175" s="233"/>
      <c r="J175" s="128" t="s">
        <v>168</v>
      </c>
      <c r="K175" s="128"/>
      <c r="L175" s="128"/>
      <c r="M175" s="128"/>
      <c r="N175" s="128"/>
      <c r="O175" s="128"/>
      <c r="P175" s="128"/>
      <c r="Q175" s="120" t="s">
        <v>202</v>
      </c>
      <c r="R175" s="41" t="s">
        <v>203</v>
      </c>
      <c r="S175" s="41"/>
      <c r="T175" s="41"/>
      <c r="U175" s="41"/>
      <c r="V175" s="41"/>
      <c r="W175" s="44"/>
      <c r="X175" s="18"/>
      <c r="Y175" s="44"/>
      <c r="Z175" s="45"/>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0"/>
    </row>
    <row r="176" spans="1:52" ht="79.95" customHeight="1" x14ac:dyDescent="0.3">
      <c r="A176" s="40">
        <v>172</v>
      </c>
      <c r="B176" s="125"/>
      <c r="C176" s="123" t="s">
        <v>431</v>
      </c>
      <c r="D176" s="120" t="s">
        <v>197</v>
      </c>
      <c r="E176" s="120" t="s">
        <v>247</v>
      </c>
      <c r="F176" s="52" t="s">
        <v>199</v>
      </c>
      <c r="G176" s="128"/>
      <c r="H176" s="120" t="s">
        <v>381</v>
      </c>
      <c r="I176" s="234"/>
      <c r="J176" s="128" t="s">
        <v>168</v>
      </c>
      <c r="K176" s="128"/>
      <c r="L176" s="128"/>
      <c r="M176" s="128"/>
      <c r="N176" s="128"/>
      <c r="O176" s="128"/>
      <c r="P176" s="128"/>
      <c r="Q176" s="120" t="s">
        <v>202</v>
      </c>
      <c r="R176" s="41" t="s">
        <v>203</v>
      </c>
      <c r="S176" s="41"/>
      <c r="T176" s="41"/>
      <c r="U176" s="41"/>
      <c r="V176" s="41"/>
      <c r="W176" s="44"/>
      <c r="X176" s="18"/>
      <c r="Y176" s="44"/>
      <c r="Z176" s="45"/>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0"/>
    </row>
    <row r="177" spans="1:52" ht="79.95" customHeight="1" x14ac:dyDescent="0.3">
      <c r="A177" s="40">
        <v>173</v>
      </c>
      <c r="B177" s="125"/>
      <c r="C177" s="123" t="s">
        <v>431</v>
      </c>
      <c r="D177" s="120" t="s">
        <v>197</v>
      </c>
      <c r="E177" s="120" t="s">
        <v>247</v>
      </c>
      <c r="F177" s="52" t="s">
        <v>199</v>
      </c>
      <c r="G177" s="128"/>
      <c r="H177" s="120" t="s">
        <v>384</v>
      </c>
      <c r="I177" s="235"/>
      <c r="J177" s="128" t="s">
        <v>168</v>
      </c>
      <c r="K177" s="128"/>
      <c r="L177" s="128"/>
      <c r="M177" s="128"/>
      <c r="N177" s="128"/>
      <c r="O177" s="128"/>
      <c r="P177" s="128"/>
      <c r="Q177" s="120" t="s">
        <v>202</v>
      </c>
      <c r="R177" s="41" t="s">
        <v>203</v>
      </c>
      <c r="S177" s="41"/>
      <c r="T177" s="41"/>
      <c r="U177" s="41"/>
      <c r="V177" s="41"/>
      <c r="W177" s="44"/>
      <c r="X177" s="18"/>
      <c r="Y177" s="44"/>
      <c r="Z177" s="45"/>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0"/>
    </row>
    <row r="178" spans="1:52" ht="79.95" customHeight="1" x14ac:dyDescent="0.3">
      <c r="A178" s="40">
        <v>174</v>
      </c>
      <c r="B178" s="125"/>
      <c r="C178" s="123" t="s">
        <v>431</v>
      </c>
      <c r="D178" s="120" t="s">
        <v>197</v>
      </c>
      <c r="E178" s="120" t="s">
        <v>389</v>
      </c>
      <c r="F178" s="52" t="s">
        <v>199</v>
      </c>
      <c r="G178" s="128"/>
      <c r="H178" s="120" t="s">
        <v>390</v>
      </c>
      <c r="I178" s="210" t="s">
        <v>391</v>
      </c>
      <c r="J178" s="128" t="s">
        <v>168</v>
      </c>
      <c r="K178" s="128"/>
      <c r="L178" s="128"/>
      <c r="M178" s="128"/>
      <c r="N178" s="128"/>
      <c r="O178" s="128"/>
      <c r="P178" s="128"/>
      <c r="Q178" s="120" t="s">
        <v>202</v>
      </c>
      <c r="R178" s="41" t="s">
        <v>203</v>
      </c>
      <c r="S178" s="41" t="s">
        <v>321</v>
      </c>
      <c r="T178" s="41"/>
      <c r="U178" s="41"/>
      <c r="V178" s="41"/>
      <c r="W178" s="44"/>
      <c r="X178" s="18"/>
      <c r="Y178" s="44"/>
      <c r="Z178" s="45"/>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0"/>
    </row>
    <row r="179" spans="1:52" ht="79.95" customHeight="1" x14ac:dyDescent="0.3">
      <c r="A179" s="40">
        <v>175</v>
      </c>
      <c r="B179" s="125"/>
      <c r="C179" s="123" t="s">
        <v>431</v>
      </c>
      <c r="D179" s="120" t="s">
        <v>197</v>
      </c>
      <c r="E179" s="120" t="s">
        <v>389</v>
      </c>
      <c r="F179" s="52" t="s">
        <v>199</v>
      </c>
      <c r="G179" s="128"/>
      <c r="H179" s="120" t="s">
        <v>394</v>
      </c>
      <c r="I179" s="236"/>
      <c r="J179" s="128" t="s">
        <v>168</v>
      </c>
      <c r="K179" s="128"/>
      <c r="L179" s="128"/>
      <c r="M179" s="128"/>
      <c r="N179" s="128"/>
      <c r="O179" s="128"/>
      <c r="P179" s="128"/>
      <c r="Q179" s="120" t="s">
        <v>202</v>
      </c>
      <c r="R179" s="41" t="s">
        <v>203</v>
      </c>
      <c r="S179" s="41" t="s">
        <v>321</v>
      </c>
      <c r="T179" s="41"/>
      <c r="U179" s="41"/>
      <c r="V179" s="41"/>
      <c r="W179" s="44"/>
      <c r="X179" s="18"/>
      <c r="Y179" s="44"/>
      <c r="Z179" s="45"/>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0"/>
    </row>
    <row r="180" spans="1:52" ht="79.95" customHeight="1" x14ac:dyDescent="0.3">
      <c r="A180" s="40">
        <v>176</v>
      </c>
      <c r="B180" s="125"/>
      <c r="C180" s="123" t="s">
        <v>431</v>
      </c>
      <c r="D180" s="120" t="s">
        <v>197</v>
      </c>
      <c r="E180" s="120" t="s">
        <v>389</v>
      </c>
      <c r="F180" s="52" t="s">
        <v>199</v>
      </c>
      <c r="G180" s="128"/>
      <c r="H180" s="120" t="s">
        <v>397</v>
      </c>
      <c r="I180" s="237"/>
      <c r="J180" s="128" t="s">
        <v>168</v>
      </c>
      <c r="K180" s="128"/>
      <c r="L180" s="128"/>
      <c r="M180" s="128"/>
      <c r="N180" s="128"/>
      <c r="O180" s="128"/>
      <c r="P180" s="128"/>
      <c r="Q180" s="120" t="s">
        <v>202</v>
      </c>
      <c r="R180" s="41" t="s">
        <v>203</v>
      </c>
      <c r="S180" s="41" t="s">
        <v>321</v>
      </c>
      <c r="T180" s="41"/>
      <c r="U180" s="41"/>
      <c r="V180" s="41"/>
      <c r="W180" s="44"/>
      <c r="X180" s="18"/>
      <c r="Y180" s="44"/>
      <c r="Z180" s="45"/>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0"/>
    </row>
    <row r="181" spans="1:52" ht="79.95" customHeight="1" x14ac:dyDescent="0.3">
      <c r="A181" s="40">
        <v>177</v>
      </c>
      <c r="B181" s="125"/>
      <c r="C181" s="123" t="s">
        <v>431</v>
      </c>
      <c r="D181" s="120" t="s">
        <v>197</v>
      </c>
      <c r="E181" s="120" t="s">
        <v>389</v>
      </c>
      <c r="F181" s="52" t="s">
        <v>199</v>
      </c>
      <c r="G181" s="128"/>
      <c r="H181" s="120" t="s">
        <v>401</v>
      </c>
      <c r="I181" s="120" t="s">
        <v>402</v>
      </c>
      <c r="J181" s="128" t="s">
        <v>168</v>
      </c>
      <c r="K181" s="128"/>
      <c r="L181" s="128"/>
      <c r="M181" s="128"/>
      <c r="N181" s="128"/>
      <c r="O181" s="128"/>
      <c r="P181" s="128"/>
      <c r="Q181" s="120" t="s">
        <v>202</v>
      </c>
      <c r="R181" s="41" t="s">
        <v>203</v>
      </c>
      <c r="S181" s="41" t="s">
        <v>321</v>
      </c>
      <c r="T181" s="41"/>
      <c r="U181" s="41"/>
      <c r="V181" s="41"/>
      <c r="W181" s="44"/>
      <c r="X181" s="18"/>
      <c r="Y181" s="44"/>
      <c r="Z181" s="45"/>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0"/>
    </row>
    <row r="182" spans="1:52" ht="79.95" customHeight="1" x14ac:dyDescent="0.3">
      <c r="A182" s="40">
        <v>178</v>
      </c>
      <c r="B182" s="125"/>
      <c r="C182" s="123" t="s">
        <v>431</v>
      </c>
      <c r="D182" s="120" t="s">
        <v>197</v>
      </c>
      <c r="E182" s="120" t="s">
        <v>389</v>
      </c>
      <c r="F182" s="52" t="s">
        <v>199</v>
      </c>
      <c r="G182" s="128"/>
      <c r="H182" s="120" t="s">
        <v>405</v>
      </c>
      <c r="I182" s="120" t="s">
        <v>225</v>
      </c>
      <c r="J182" s="128" t="s">
        <v>168</v>
      </c>
      <c r="K182" s="128"/>
      <c r="L182" s="128"/>
      <c r="M182" s="128"/>
      <c r="N182" s="128"/>
      <c r="O182" s="128"/>
      <c r="P182" s="128"/>
      <c r="Q182" s="120" t="s">
        <v>202</v>
      </c>
      <c r="R182" s="41" t="s">
        <v>203</v>
      </c>
      <c r="S182" s="41" t="s">
        <v>321</v>
      </c>
      <c r="T182" s="41"/>
      <c r="U182" s="41"/>
      <c r="V182" s="41"/>
      <c r="W182" s="44"/>
      <c r="X182" s="18"/>
      <c r="Y182" s="44"/>
      <c r="Z182" s="45"/>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0"/>
    </row>
    <row r="183" spans="1:52" ht="79.95" customHeight="1" x14ac:dyDescent="0.3">
      <c r="A183" s="40">
        <v>179</v>
      </c>
      <c r="B183" s="125"/>
      <c r="C183" s="123" t="s">
        <v>431</v>
      </c>
      <c r="D183" s="120" t="s">
        <v>197</v>
      </c>
      <c r="E183" s="120" t="s">
        <v>408</v>
      </c>
      <c r="F183" s="52" t="s">
        <v>199</v>
      </c>
      <c r="G183" s="128"/>
      <c r="H183" s="120" t="s">
        <v>409</v>
      </c>
      <c r="I183" s="43"/>
      <c r="J183" s="128" t="s">
        <v>261</v>
      </c>
      <c r="K183" s="128"/>
      <c r="L183" s="128"/>
      <c r="M183" s="128"/>
      <c r="N183" s="128"/>
      <c r="O183" s="128"/>
      <c r="P183" s="128"/>
      <c r="Q183" s="120" t="s">
        <v>202</v>
      </c>
      <c r="R183" s="41" t="s">
        <v>203</v>
      </c>
      <c r="S183" s="41"/>
      <c r="T183" s="41"/>
      <c r="U183" s="41"/>
      <c r="V183" s="41"/>
      <c r="W183" s="44"/>
      <c r="X183" s="18"/>
      <c r="Y183" s="44"/>
      <c r="Z183" s="45"/>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0"/>
    </row>
    <row r="184" spans="1:52" ht="79.95" customHeight="1" x14ac:dyDescent="0.3">
      <c r="A184" s="40">
        <v>180</v>
      </c>
      <c r="B184" s="125"/>
      <c r="C184" s="123" t="s">
        <v>431</v>
      </c>
      <c r="D184" s="120" t="s">
        <v>197</v>
      </c>
      <c r="E184" s="120" t="s">
        <v>408</v>
      </c>
      <c r="F184" s="52" t="s">
        <v>199</v>
      </c>
      <c r="G184" s="128"/>
      <c r="H184" s="120" t="s">
        <v>412</v>
      </c>
      <c r="I184" s="43"/>
      <c r="J184" s="128" t="s">
        <v>261</v>
      </c>
      <c r="K184" s="128"/>
      <c r="L184" s="128"/>
      <c r="M184" s="128"/>
      <c r="N184" s="128"/>
      <c r="O184" s="128"/>
      <c r="P184" s="128"/>
      <c r="Q184" s="120" t="s">
        <v>202</v>
      </c>
      <c r="R184" s="41" t="s">
        <v>203</v>
      </c>
      <c r="S184" s="41"/>
      <c r="T184" s="41"/>
      <c r="U184" s="41"/>
      <c r="V184" s="41"/>
      <c r="W184" s="44"/>
      <c r="X184" s="18"/>
      <c r="Y184" s="44"/>
      <c r="Z184" s="45"/>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0"/>
    </row>
    <row r="185" spans="1:52" ht="79.95" customHeight="1" x14ac:dyDescent="0.3">
      <c r="A185" s="40">
        <v>181</v>
      </c>
      <c r="B185" s="125"/>
      <c r="C185" s="123" t="s">
        <v>431</v>
      </c>
      <c r="D185" s="120" t="s">
        <v>197</v>
      </c>
      <c r="E185" s="120" t="s">
        <v>408</v>
      </c>
      <c r="F185" s="52" t="s">
        <v>199</v>
      </c>
      <c r="G185" s="128"/>
      <c r="H185" s="120" t="s">
        <v>415</v>
      </c>
      <c r="I185" s="43"/>
      <c r="J185" s="128" t="s">
        <v>261</v>
      </c>
      <c r="K185" s="128"/>
      <c r="L185" s="128"/>
      <c r="M185" s="128"/>
      <c r="N185" s="128"/>
      <c r="O185" s="128"/>
      <c r="P185" s="128"/>
      <c r="Q185" s="120" t="s">
        <v>202</v>
      </c>
      <c r="R185" s="41" t="s">
        <v>203</v>
      </c>
      <c r="S185" s="41"/>
      <c r="T185" s="41"/>
      <c r="U185" s="41"/>
      <c r="V185" s="41"/>
      <c r="W185" s="44"/>
      <c r="X185" s="18"/>
      <c r="Y185" s="44"/>
      <c r="Z185" s="45"/>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0"/>
    </row>
    <row r="186" spans="1:52" ht="79.95" customHeight="1" x14ac:dyDescent="0.3">
      <c r="A186" s="40">
        <v>182</v>
      </c>
      <c r="B186" s="125"/>
      <c r="C186" s="123" t="s">
        <v>431</v>
      </c>
      <c r="D186" s="120" t="s">
        <v>197</v>
      </c>
      <c r="E186" s="120" t="s">
        <v>408</v>
      </c>
      <c r="F186" s="52" t="s">
        <v>199</v>
      </c>
      <c r="G186" s="128"/>
      <c r="H186" s="120" t="s">
        <v>421</v>
      </c>
      <c r="I186" s="43"/>
      <c r="J186" s="128" t="s">
        <v>261</v>
      </c>
      <c r="K186" s="128"/>
      <c r="L186" s="128"/>
      <c r="M186" s="128"/>
      <c r="N186" s="128"/>
      <c r="O186" s="128"/>
      <c r="P186" s="128"/>
      <c r="Q186" s="120" t="s">
        <v>202</v>
      </c>
      <c r="R186" s="41" t="s">
        <v>203</v>
      </c>
      <c r="S186" s="41"/>
      <c r="T186" s="41"/>
      <c r="U186" s="41"/>
      <c r="V186" s="41"/>
      <c r="W186" s="44"/>
      <c r="X186" s="18"/>
      <c r="Y186" s="44"/>
      <c r="Z186" s="45"/>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0"/>
    </row>
    <row r="187" spans="1:52" ht="79.95" customHeight="1" x14ac:dyDescent="0.3">
      <c r="A187" s="40">
        <v>183</v>
      </c>
      <c r="B187" s="125"/>
      <c r="C187" s="123" t="s">
        <v>431</v>
      </c>
      <c r="D187" s="120" t="s">
        <v>197</v>
      </c>
      <c r="E187" s="120" t="s">
        <v>408</v>
      </c>
      <c r="F187" s="52" t="s">
        <v>199</v>
      </c>
      <c r="G187" s="128"/>
      <c r="H187" s="120" t="s">
        <v>424</v>
      </c>
      <c r="I187" s="43"/>
      <c r="J187" s="128" t="s">
        <v>261</v>
      </c>
      <c r="K187" s="128"/>
      <c r="L187" s="128"/>
      <c r="M187" s="128"/>
      <c r="N187" s="128"/>
      <c r="O187" s="128"/>
      <c r="P187" s="128"/>
      <c r="Q187" s="120" t="s">
        <v>202</v>
      </c>
      <c r="R187" s="41" t="s">
        <v>203</v>
      </c>
      <c r="S187" s="41"/>
      <c r="T187" s="41"/>
      <c r="U187" s="41"/>
      <c r="V187" s="41"/>
      <c r="W187" s="44"/>
      <c r="X187" s="18"/>
      <c r="Y187" s="44"/>
      <c r="Z187" s="45"/>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0"/>
    </row>
    <row r="188" spans="1:52" ht="79.95" customHeight="1" x14ac:dyDescent="0.3">
      <c r="A188" s="40">
        <v>184</v>
      </c>
      <c r="B188" s="125"/>
      <c r="C188" s="123" t="s">
        <v>431</v>
      </c>
      <c r="D188" s="120" t="s">
        <v>197</v>
      </c>
      <c r="E188" s="120" t="s">
        <v>408</v>
      </c>
      <c r="F188" s="52" t="s">
        <v>199</v>
      </c>
      <c r="G188" s="128"/>
      <c r="H188" s="120" t="s">
        <v>428</v>
      </c>
      <c r="I188" s="43"/>
      <c r="J188" s="128" t="s">
        <v>261</v>
      </c>
      <c r="K188" s="128"/>
      <c r="L188" s="128"/>
      <c r="M188" s="128"/>
      <c r="N188" s="128"/>
      <c r="O188" s="128"/>
      <c r="P188" s="128"/>
      <c r="Q188" s="120" t="s">
        <v>202</v>
      </c>
      <c r="R188" s="41" t="s">
        <v>203</v>
      </c>
      <c r="S188" s="41"/>
      <c r="T188" s="41"/>
      <c r="U188" s="41"/>
      <c r="V188" s="41"/>
      <c r="W188" s="44"/>
      <c r="X188" s="18"/>
      <c r="Y188" s="44"/>
      <c r="Z188" s="45"/>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0"/>
    </row>
    <row r="189" spans="1:52" ht="79.95" customHeight="1" x14ac:dyDescent="0.3">
      <c r="A189" s="40">
        <v>185</v>
      </c>
      <c r="B189" s="125"/>
      <c r="C189" s="123" t="s">
        <v>431</v>
      </c>
      <c r="D189" s="120" t="s">
        <v>431</v>
      </c>
      <c r="E189" s="120" t="s">
        <v>432</v>
      </c>
      <c r="F189" s="52" t="s">
        <v>199</v>
      </c>
      <c r="G189" s="128"/>
      <c r="H189" s="120" t="s">
        <v>433</v>
      </c>
      <c r="I189" s="43" t="s">
        <v>434</v>
      </c>
      <c r="J189" s="128" t="s">
        <v>168</v>
      </c>
      <c r="K189" s="128"/>
      <c r="L189" s="128"/>
      <c r="M189" s="128"/>
      <c r="N189" s="128"/>
      <c r="O189" s="128"/>
      <c r="P189" s="128"/>
      <c r="Q189" s="120" t="s">
        <v>202</v>
      </c>
      <c r="R189" s="41" t="s">
        <v>435</v>
      </c>
      <c r="S189" s="41" t="s">
        <v>436</v>
      </c>
      <c r="T189" s="41"/>
      <c r="U189" s="41"/>
      <c r="V189" s="41"/>
      <c r="W189" s="44"/>
      <c r="X189" s="18"/>
      <c r="Y189" s="44"/>
      <c r="Z189" s="45"/>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0"/>
    </row>
    <row r="190" spans="1:52" ht="79.95" customHeight="1" x14ac:dyDescent="0.3">
      <c r="A190" s="40">
        <v>186</v>
      </c>
      <c r="B190" s="125"/>
      <c r="C190" s="123" t="s">
        <v>438</v>
      </c>
      <c r="D190" s="120" t="s">
        <v>438</v>
      </c>
      <c r="E190" s="120" t="s">
        <v>439</v>
      </c>
      <c r="F190" s="52" t="s">
        <v>199</v>
      </c>
      <c r="G190" s="128"/>
      <c r="H190" s="120" t="s">
        <v>440</v>
      </c>
      <c r="I190" s="43" t="s">
        <v>441</v>
      </c>
      <c r="J190" s="128" t="s">
        <v>168</v>
      </c>
      <c r="K190" s="128"/>
      <c r="L190" s="128"/>
      <c r="M190" s="128"/>
      <c r="N190" s="128"/>
      <c r="O190" s="128"/>
      <c r="P190" s="128"/>
      <c r="Q190" s="120" t="s">
        <v>202</v>
      </c>
      <c r="R190" s="41" t="s">
        <v>435</v>
      </c>
      <c r="S190" s="41" t="s">
        <v>443</v>
      </c>
      <c r="T190" s="41"/>
      <c r="U190" s="41"/>
      <c r="V190" s="41"/>
      <c r="W190" s="44"/>
      <c r="X190" s="18"/>
      <c r="Y190" s="44"/>
      <c r="Z190" s="45"/>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0"/>
    </row>
    <row r="191" spans="1:52" ht="79.95" customHeight="1" x14ac:dyDescent="0.3">
      <c r="A191" s="40">
        <v>187</v>
      </c>
      <c r="B191" s="125"/>
      <c r="C191" s="123" t="s">
        <v>438</v>
      </c>
      <c r="D191" s="120" t="s">
        <v>446</v>
      </c>
      <c r="E191" s="120" t="s">
        <v>447</v>
      </c>
      <c r="F191" s="52" t="s">
        <v>199</v>
      </c>
      <c r="G191" s="128">
        <v>1</v>
      </c>
      <c r="H191" s="42" t="s">
        <v>448</v>
      </c>
      <c r="I191" s="43" t="s">
        <v>449</v>
      </c>
      <c r="J191" s="128" t="s">
        <v>168</v>
      </c>
      <c r="K191" s="128"/>
      <c r="L191" s="128"/>
      <c r="M191" s="128"/>
      <c r="N191" s="128"/>
      <c r="O191" s="128"/>
      <c r="P191" s="128"/>
      <c r="Q191" s="120"/>
      <c r="R191" s="41"/>
      <c r="S191" s="41"/>
      <c r="T191" s="41"/>
      <c r="U191" s="41"/>
      <c r="V191" s="41"/>
      <c r="W191" s="44"/>
      <c r="X191" s="18"/>
      <c r="Y191" s="44"/>
      <c r="Z191" s="45"/>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0"/>
    </row>
    <row r="192" spans="1:52" ht="79.95" customHeight="1" x14ac:dyDescent="0.3">
      <c r="A192" s="40">
        <v>188</v>
      </c>
      <c r="B192" s="125"/>
      <c r="C192" s="123" t="s">
        <v>508</v>
      </c>
      <c r="D192" s="120" t="s">
        <v>446</v>
      </c>
      <c r="E192" s="115" t="s">
        <v>452</v>
      </c>
      <c r="F192" s="52" t="s">
        <v>453</v>
      </c>
      <c r="G192" s="128">
        <v>2</v>
      </c>
      <c r="H192" s="42" t="s">
        <v>454</v>
      </c>
      <c r="I192" s="43" t="s">
        <v>455</v>
      </c>
      <c r="J192" s="128" t="s">
        <v>168</v>
      </c>
      <c r="K192" s="128"/>
      <c r="L192" s="128"/>
      <c r="M192" s="128"/>
      <c r="N192" s="128"/>
      <c r="O192" s="128"/>
      <c r="P192" s="128"/>
      <c r="Q192" s="120"/>
      <c r="R192" s="41"/>
      <c r="S192" s="41"/>
      <c r="T192" s="41"/>
      <c r="U192" s="41"/>
      <c r="V192" s="41"/>
      <c r="W192" s="44"/>
      <c r="X192" s="18"/>
      <c r="Y192" s="44"/>
      <c r="Z192" s="45"/>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0"/>
    </row>
    <row r="193" spans="1:52" ht="79.95" customHeight="1" x14ac:dyDescent="0.3">
      <c r="A193" s="40">
        <v>189</v>
      </c>
      <c r="B193" s="125"/>
      <c r="C193" s="123" t="s">
        <v>793</v>
      </c>
      <c r="D193" s="120" t="s">
        <v>446</v>
      </c>
      <c r="E193" s="120" t="s">
        <v>458</v>
      </c>
      <c r="F193" s="52" t="s">
        <v>459</v>
      </c>
      <c r="G193" s="128">
        <v>1</v>
      </c>
      <c r="H193" s="42" t="s">
        <v>460</v>
      </c>
      <c r="I193" s="43" t="s">
        <v>461</v>
      </c>
      <c r="J193" s="128" t="s">
        <v>168</v>
      </c>
      <c r="K193" s="128"/>
      <c r="L193" s="128"/>
      <c r="M193" s="128"/>
      <c r="N193" s="128"/>
      <c r="O193" s="128"/>
      <c r="P193" s="128"/>
      <c r="Q193" s="120"/>
      <c r="R193" s="41"/>
      <c r="S193" s="41"/>
      <c r="T193" s="41"/>
      <c r="U193" s="41"/>
      <c r="V193" s="41"/>
      <c r="W193" s="44"/>
      <c r="X193" s="18"/>
      <c r="Y193" s="44"/>
      <c r="Z193" s="45"/>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0"/>
    </row>
    <row r="194" spans="1:52" ht="79.95" customHeight="1" x14ac:dyDescent="0.3">
      <c r="A194" s="40">
        <v>190</v>
      </c>
      <c r="B194" s="125"/>
      <c r="C194" s="123" t="s">
        <v>948</v>
      </c>
      <c r="D194" s="120" t="s">
        <v>446</v>
      </c>
      <c r="E194" s="120" t="s">
        <v>464</v>
      </c>
      <c r="F194" s="52" t="s">
        <v>199</v>
      </c>
      <c r="G194" s="128">
        <v>2</v>
      </c>
      <c r="H194" s="42" t="s">
        <v>465</v>
      </c>
      <c r="I194" s="43" t="s">
        <v>466</v>
      </c>
      <c r="J194" s="128" t="s">
        <v>168</v>
      </c>
      <c r="K194" s="128"/>
      <c r="L194" s="128"/>
      <c r="M194" s="128"/>
      <c r="N194" s="128"/>
      <c r="O194" s="128"/>
      <c r="P194" s="128"/>
      <c r="Q194" s="120"/>
      <c r="R194" s="41"/>
      <c r="S194" s="41"/>
      <c r="T194" s="41"/>
      <c r="U194" s="41"/>
      <c r="V194" s="41"/>
      <c r="W194" s="44"/>
      <c r="X194" s="18"/>
      <c r="Y194" s="44"/>
      <c r="Z194" s="45"/>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0"/>
    </row>
    <row r="195" spans="1:52" ht="79.95" customHeight="1" x14ac:dyDescent="0.3">
      <c r="A195" s="40">
        <v>191</v>
      </c>
      <c r="B195" s="125"/>
      <c r="C195" s="123" t="s">
        <v>945</v>
      </c>
      <c r="D195" s="120" t="s">
        <v>446</v>
      </c>
      <c r="E195" s="120" t="s">
        <v>472</v>
      </c>
      <c r="F195" s="52" t="s">
        <v>459</v>
      </c>
      <c r="G195" s="128">
        <v>1</v>
      </c>
      <c r="H195" s="42" t="s">
        <v>473</v>
      </c>
      <c r="I195" s="43" t="s">
        <v>474</v>
      </c>
      <c r="J195" s="128" t="s">
        <v>168</v>
      </c>
      <c r="K195" s="128"/>
      <c r="L195" s="128"/>
      <c r="M195" s="128"/>
      <c r="N195" s="128"/>
      <c r="O195" s="128"/>
      <c r="P195" s="128"/>
      <c r="Q195" s="120"/>
      <c r="R195" s="41"/>
      <c r="S195" s="41"/>
      <c r="T195" s="41"/>
      <c r="U195" s="41"/>
      <c r="V195" s="41"/>
      <c r="W195" s="44"/>
      <c r="X195" s="18"/>
      <c r="Y195" s="44"/>
      <c r="Z195" s="45"/>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0"/>
    </row>
    <row r="196" spans="1:52" ht="79.95" customHeight="1" x14ac:dyDescent="0.3">
      <c r="A196" s="40">
        <v>192</v>
      </c>
      <c r="B196" s="125"/>
      <c r="C196" s="123" t="s">
        <v>793</v>
      </c>
      <c r="D196" s="120" t="s">
        <v>446</v>
      </c>
      <c r="E196" s="120" t="s">
        <v>458</v>
      </c>
      <c r="F196" s="52" t="s">
        <v>459</v>
      </c>
      <c r="G196" s="128">
        <v>2</v>
      </c>
      <c r="H196" s="42" t="s">
        <v>480</v>
      </c>
      <c r="I196" s="43" t="s">
        <v>481</v>
      </c>
      <c r="J196" s="128" t="s">
        <v>168</v>
      </c>
      <c r="K196" s="128"/>
      <c r="L196" s="128"/>
      <c r="M196" s="128"/>
      <c r="N196" s="128"/>
      <c r="O196" s="128"/>
      <c r="P196" s="128"/>
      <c r="Q196" s="120"/>
      <c r="R196" s="41"/>
      <c r="S196" s="41"/>
      <c r="T196" s="41"/>
      <c r="U196" s="41"/>
      <c r="V196" s="41"/>
      <c r="W196" s="44"/>
      <c r="X196" s="18"/>
      <c r="Y196" s="44"/>
      <c r="Z196" s="45"/>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0"/>
    </row>
    <row r="197" spans="1:52" ht="79.95" customHeight="1" x14ac:dyDescent="0.3">
      <c r="A197" s="40">
        <v>193</v>
      </c>
      <c r="B197" s="125"/>
      <c r="C197" s="123" t="s">
        <v>948</v>
      </c>
      <c r="D197" s="120" t="s">
        <v>487</v>
      </c>
      <c r="E197" s="120" t="s">
        <v>488</v>
      </c>
      <c r="F197" s="52" t="s">
        <v>199</v>
      </c>
      <c r="G197" s="128">
        <v>2</v>
      </c>
      <c r="H197" s="42" t="s">
        <v>489</v>
      </c>
      <c r="I197" s="43" t="s">
        <v>490</v>
      </c>
      <c r="J197" s="128" t="s">
        <v>168</v>
      </c>
      <c r="K197" s="128"/>
      <c r="L197" s="128"/>
      <c r="M197" s="128"/>
      <c r="N197" s="128"/>
      <c r="O197" s="128"/>
      <c r="P197" s="128"/>
      <c r="Q197" s="120"/>
      <c r="R197" s="41"/>
      <c r="S197" s="41"/>
      <c r="T197" s="41"/>
      <c r="U197" s="41"/>
      <c r="V197" s="41"/>
      <c r="W197" s="44"/>
      <c r="X197" s="18"/>
      <c r="Y197" s="44"/>
      <c r="Z197" s="45"/>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0"/>
    </row>
    <row r="198" spans="1:52" ht="79.95" customHeight="1" x14ac:dyDescent="0.3">
      <c r="A198" s="40">
        <v>194</v>
      </c>
      <c r="B198" s="125"/>
      <c r="C198" s="123" t="s">
        <v>431</v>
      </c>
      <c r="D198" s="120" t="s">
        <v>446</v>
      </c>
      <c r="E198" s="120" t="s">
        <v>496</v>
      </c>
      <c r="F198" s="52" t="s">
        <v>459</v>
      </c>
      <c r="G198" s="128">
        <v>2</v>
      </c>
      <c r="H198" s="42" t="s">
        <v>497</v>
      </c>
      <c r="I198" s="43" t="s">
        <v>498</v>
      </c>
      <c r="J198" s="128" t="s">
        <v>168</v>
      </c>
      <c r="K198" s="128"/>
      <c r="L198" s="128"/>
      <c r="M198" s="128"/>
      <c r="N198" s="128"/>
      <c r="O198" s="128"/>
      <c r="P198" s="128"/>
      <c r="Q198" s="120"/>
      <c r="R198" s="41"/>
      <c r="S198" s="41"/>
      <c r="T198" s="41"/>
      <c r="U198" s="41"/>
      <c r="V198" s="41"/>
      <c r="W198" s="44"/>
      <c r="X198" s="18"/>
      <c r="Y198" s="44"/>
      <c r="Z198" s="45"/>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0"/>
    </row>
    <row r="199" spans="1:52" ht="79.95" customHeight="1" x14ac:dyDescent="0.3">
      <c r="A199" s="40">
        <v>195</v>
      </c>
      <c r="B199" s="125"/>
      <c r="C199" s="123" t="s">
        <v>952</v>
      </c>
      <c r="D199" s="120" t="s">
        <v>446</v>
      </c>
      <c r="E199" s="120" t="s">
        <v>469</v>
      </c>
      <c r="F199" s="52" t="s">
        <v>134</v>
      </c>
      <c r="G199" s="128">
        <v>2</v>
      </c>
      <c r="H199" s="42" t="s">
        <v>505</v>
      </c>
      <c r="I199" s="43" t="s">
        <v>506</v>
      </c>
      <c r="J199" s="128" t="s">
        <v>261</v>
      </c>
      <c r="K199" s="128"/>
      <c r="L199" s="128"/>
      <c r="M199" s="128"/>
      <c r="N199" s="128"/>
      <c r="O199" s="128"/>
      <c r="P199" s="128"/>
      <c r="Q199" s="120"/>
      <c r="R199" s="41"/>
      <c r="S199" s="41"/>
      <c r="T199" s="41"/>
      <c r="U199" s="41"/>
      <c r="V199" s="41"/>
      <c r="W199" s="44"/>
      <c r="X199" s="18"/>
      <c r="Y199" s="44"/>
      <c r="Z199" s="45"/>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0"/>
    </row>
    <row r="200" spans="1:52" ht="79.95" customHeight="1" x14ac:dyDescent="0.3">
      <c r="A200" s="40">
        <v>196</v>
      </c>
      <c r="B200" s="125"/>
      <c r="C200" s="123" t="s">
        <v>952</v>
      </c>
      <c r="D200" s="120" t="s">
        <v>446</v>
      </c>
      <c r="E200" s="120" t="s">
        <v>469</v>
      </c>
      <c r="F200" s="52" t="s">
        <v>134</v>
      </c>
      <c r="G200" s="128">
        <v>2</v>
      </c>
      <c r="H200" s="42" t="s">
        <v>470</v>
      </c>
      <c r="I200" s="43" t="s">
        <v>471</v>
      </c>
      <c r="J200" s="128" t="s">
        <v>168</v>
      </c>
      <c r="K200" s="128"/>
      <c r="L200" s="128"/>
      <c r="M200" s="128"/>
      <c r="N200" s="128"/>
      <c r="O200" s="128"/>
      <c r="P200" s="128"/>
      <c r="Q200" s="120"/>
      <c r="R200" s="41"/>
      <c r="S200" s="41"/>
      <c r="T200" s="41"/>
      <c r="U200" s="41"/>
      <c r="V200" s="41"/>
      <c r="W200" s="44"/>
      <c r="X200" s="18"/>
      <c r="Y200" s="44"/>
      <c r="Z200" s="45"/>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0"/>
    </row>
    <row r="201" spans="1:52" ht="79.95" customHeight="1" x14ac:dyDescent="0.3">
      <c r="A201" s="40">
        <v>197</v>
      </c>
      <c r="B201" s="125"/>
      <c r="C201" s="123" t="s">
        <v>944</v>
      </c>
      <c r="D201" s="120" t="s">
        <v>446</v>
      </c>
      <c r="E201" s="120" t="s">
        <v>477</v>
      </c>
      <c r="F201" s="52" t="s">
        <v>110</v>
      </c>
      <c r="G201" s="128">
        <v>2</v>
      </c>
      <c r="H201" s="42" t="s">
        <v>478</v>
      </c>
      <c r="I201" s="43" t="s">
        <v>479</v>
      </c>
      <c r="J201" s="128" t="s">
        <v>168</v>
      </c>
      <c r="K201" s="128"/>
      <c r="L201" s="128"/>
      <c r="M201" s="128"/>
      <c r="N201" s="128"/>
      <c r="O201" s="128"/>
      <c r="P201" s="128"/>
      <c r="Q201" s="120"/>
      <c r="R201" s="41"/>
      <c r="S201" s="41"/>
      <c r="T201" s="41"/>
      <c r="U201" s="41"/>
      <c r="V201" s="41"/>
      <c r="W201" s="44"/>
      <c r="X201" s="18"/>
      <c r="Y201" s="44"/>
      <c r="Z201" s="45"/>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0"/>
    </row>
    <row r="202" spans="1:52" s="16" customFormat="1" ht="79.95" customHeight="1" x14ac:dyDescent="0.3">
      <c r="A202" s="40">
        <v>198</v>
      </c>
      <c r="B202" s="126"/>
      <c r="C202" s="123" t="s">
        <v>483</v>
      </c>
      <c r="D202" s="119" t="s">
        <v>483</v>
      </c>
      <c r="E202" s="119"/>
      <c r="F202" s="52"/>
      <c r="G202" s="128"/>
      <c r="H202" s="119" t="s">
        <v>484</v>
      </c>
      <c r="I202" s="43"/>
      <c r="J202" s="128"/>
      <c r="K202" s="128"/>
      <c r="L202" s="128"/>
      <c r="M202" s="128"/>
      <c r="N202" s="128"/>
      <c r="O202" s="128"/>
      <c r="P202" s="128"/>
      <c r="Q202" s="119" t="s">
        <v>485</v>
      </c>
      <c r="R202" s="41"/>
      <c r="S202" s="61" t="s">
        <v>486</v>
      </c>
      <c r="T202" s="41"/>
      <c r="U202" s="41"/>
      <c r="V202" s="41"/>
      <c r="W202" s="18"/>
      <c r="X202" s="61">
        <v>640</v>
      </c>
      <c r="Y202" s="18"/>
      <c r="Z202" s="62"/>
      <c r="AA202" s="62"/>
      <c r="AB202" s="62"/>
      <c r="AC202" s="62"/>
      <c r="AD202" s="62"/>
      <c r="AE202" s="62"/>
      <c r="AF202" s="62"/>
      <c r="AG202" s="62"/>
      <c r="AH202" s="62"/>
      <c r="AI202" s="62"/>
      <c r="AJ202" s="62"/>
      <c r="AK202" s="62"/>
      <c r="AL202" s="62"/>
      <c r="AM202" s="62"/>
      <c r="AN202" s="62"/>
      <c r="AO202" s="62"/>
      <c r="AP202" s="62"/>
      <c r="AQ202" s="62"/>
      <c r="AR202" s="62"/>
      <c r="AS202" s="62"/>
      <c r="AT202" s="62"/>
      <c r="AU202" s="62"/>
      <c r="AV202" s="62"/>
      <c r="AW202" s="62"/>
      <c r="AX202" s="62"/>
      <c r="AY202" s="62"/>
      <c r="AZ202" s="18"/>
    </row>
    <row r="203" spans="1:52" s="16" customFormat="1" ht="79.95" customHeight="1" x14ac:dyDescent="0.3">
      <c r="A203" s="40">
        <v>199</v>
      </c>
      <c r="B203" s="126"/>
      <c r="C203" s="123" t="s">
        <v>492</v>
      </c>
      <c r="D203" s="117" t="s">
        <v>492</v>
      </c>
      <c r="E203" s="119" t="s">
        <v>493</v>
      </c>
      <c r="F203" s="52"/>
      <c r="G203" s="128"/>
      <c r="H203" s="119" t="s">
        <v>494</v>
      </c>
      <c r="I203" s="43"/>
      <c r="J203" s="128"/>
      <c r="K203" s="128"/>
      <c r="L203" s="128"/>
      <c r="M203" s="128"/>
      <c r="N203" s="128"/>
      <c r="O203" s="128"/>
      <c r="P203" s="128"/>
      <c r="Q203" s="119" t="s">
        <v>485</v>
      </c>
      <c r="R203" s="41"/>
      <c r="S203" s="61" t="s">
        <v>495</v>
      </c>
      <c r="T203" s="41"/>
      <c r="U203" s="41"/>
      <c r="V203" s="41"/>
      <c r="W203" s="18"/>
      <c r="X203" s="61">
        <v>1362</v>
      </c>
      <c r="Y203" s="18"/>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c r="AY203" s="62"/>
      <c r="AZ203" s="18"/>
    </row>
    <row r="204" spans="1:52" s="16" customFormat="1" ht="79.95" customHeight="1" x14ac:dyDescent="0.3">
      <c r="A204" s="40">
        <v>200</v>
      </c>
      <c r="B204" s="126"/>
      <c r="C204" s="123" t="s">
        <v>285</v>
      </c>
      <c r="D204" s="119" t="s">
        <v>501</v>
      </c>
      <c r="E204" s="119" t="s">
        <v>502</v>
      </c>
      <c r="F204" s="52"/>
      <c r="G204" s="128"/>
      <c r="H204" s="119" t="s">
        <v>503</v>
      </c>
      <c r="I204" s="43"/>
      <c r="J204" s="128"/>
      <c r="K204" s="128"/>
      <c r="L204" s="128"/>
      <c r="M204" s="128"/>
      <c r="N204" s="128"/>
      <c r="O204" s="128"/>
      <c r="P204" s="128"/>
      <c r="Q204" s="119" t="s">
        <v>485</v>
      </c>
      <c r="R204" s="41"/>
      <c r="S204" s="61" t="s">
        <v>504</v>
      </c>
      <c r="T204" s="41"/>
      <c r="U204" s="41"/>
      <c r="V204" s="41"/>
      <c r="W204" s="18"/>
      <c r="X204" s="61"/>
      <c r="Y204" s="18"/>
      <c r="Z204" s="62"/>
      <c r="AA204" s="62"/>
      <c r="AB204" s="62"/>
      <c r="AC204" s="62"/>
      <c r="AD204" s="62"/>
      <c r="AE204" s="62"/>
      <c r="AF204" s="62"/>
      <c r="AG204" s="62"/>
      <c r="AH204" s="62"/>
      <c r="AI204" s="62"/>
      <c r="AJ204" s="62"/>
      <c r="AK204" s="62"/>
      <c r="AL204" s="62"/>
      <c r="AM204" s="62"/>
      <c r="AN204" s="62"/>
      <c r="AO204" s="62"/>
      <c r="AP204" s="62"/>
      <c r="AQ204" s="62"/>
      <c r="AR204" s="62"/>
      <c r="AS204" s="62"/>
      <c r="AT204" s="62"/>
      <c r="AU204" s="62"/>
      <c r="AV204" s="62"/>
      <c r="AW204" s="62"/>
      <c r="AX204" s="62"/>
      <c r="AY204" s="62"/>
      <c r="AZ204" s="18"/>
    </row>
    <row r="205" spans="1:52" s="16" customFormat="1" ht="79.95" customHeight="1" x14ac:dyDescent="0.3">
      <c r="A205" s="40">
        <v>201</v>
      </c>
      <c r="B205" s="126"/>
      <c r="C205" s="123" t="s">
        <v>508</v>
      </c>
      <c r="D205" s="119" t="s">
        <v>508</v>
      </c>
      <c r="E205" s="118" t="s">
        <v>509</v>
      </c>
      <c r="F205" s="52"/>
      <c r="G205" s="128"/>
      <c r="H205" s="119" t="s">
        <v>510</v>
      </c>
      <c r="I205" s="43"/>
      <c r="J205" s="128"/>
      <c r="K205" s="128"/>
      <c r="L205" s="128"/>
      <c r="M205" s="128"/>
      <c r="N205" s="128"/>
      <c r="O205" s="128"/>
      <c r="P205" s="128"/>
      <c r="Q205" s="119" t="s">
        <v>485</v>
      </c>
      <c r="R205" s="41"/>
      <c r="S205" s="61" t="s">
        <v>504</v>
      </c>
      <c r="T205" s="41"/>
      <c r="U205" s="41"/>
      <c r="V205" s="41"/>
      <c r="W205" s="18"/>
      <c r="X205" s="61"/>
      <c r="Y205" s="18"/>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c r="AY205" s="62"/>
      <c r="AZ205" s="18"/>
    </row>
    <row r="206" spans="1:52" s="16" customFormat="1" ht="79.95" customHeight="1" x14ac:dyDescent="0.3">
      <c r="A206" s="40">
        <v>202</v>
      </c>
      <c r="B206" s="126"/>
      <c r="C206" s="123" t="s">
        <v>515</v>
      </c>
      <c r="D206" s="117" t="s">
        <v>515</v>
      </c>
      <c r="E206" s="119" t="s">
        <v>516</v>
      </c>
      <c r="F206" s="52"/>
      <c r="G206" s="128"/>
      <c r="H206" s="119" t="s">
        <v>517</v>
      </c>
      <c r="I206" s="43"/>
      <c r="J206" s="128"/>
      <c r="K206" s="128"/>
      <c r="L206" s="128"/>
      <c r="M206" s="128"/>
      <c r="N206" s="128"/>
      <c r="O206" s="128"/>
      <c r="P206" s="128"/>
      <c r="Q206" s="119" t="s">
        <v>485</v>
      </c>
      <c r="R206" s="41"/>
      <c r="S206" s="61" t="s">
        <v>518</v>
      </c>
      <c r="T206" s="41"/>
      <c r="U206" s="41"/>
      <c r="V206" s="41"/>
      <c r="W206" s="18"/>
      <c r="X206" s="61">
        <v>1750</v>
      </c>
      <c r="Y206" s="18"/>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2"/>
      <c r="AV206" s="62"/>
      <c r="AW206" s="62"/>
      <c r="AX206" s="62"/>
      <c r="AY206" s="62"/>
      <c r="AZ206" s="18"/>
    </row>
    <row r="207" spans="1:52" s="16" customFormat="1" ht="79.95" customHeight="1" x14ac:dyDescent="0.3">
      <c r="A207" s="40">
        <v>203</v>
      </c>
      <c r="B207" s="126"/>
      <c r="C207" s="123" t="s">
        <v>285</v>
      </c>
      <c r="D207" s="119" t="s">
        <v>524</v>
      </c>
      <c r="E207" s="119" t="s">
        <v>525</v>
      </c>
      <c r="F207" s="52"/>
      <c r="G207" s="128"/>
      <c r="H207" s="119" t="s">
        <v>526</v>
      </c>
      <c r="I207" s="43"/>
      <c r="J207" s="128"/>
      <c r="K207" s="128"/>
      <c r="L207" s="128"/>
      <c r="M207" s="128"/>
      <c r="N207" s="128"/>
      <c r="O207" s="128"/>
      <c r="P207" s="128"/>
      <c r="Q207" s="119" t="s">
        <v>485</v>
      </c>
      <c r="R207" s="41"/>
      <c r="S207" s="61" t="s">
        <v>504</v>
      </c>
      <c r="T207" s="41"/>
      <c r="U207" s="41"/>
      <c r="V207" s="41"/>
      <c r="W207" s="18"/>
      <c r="X207" s="61"/>
      <c r="Y207" s="18"/>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62"/>
      <c r="AZ207" s="18"/>
    </row>
    <row r="208" spans="1:52" s="16" customFormat="1" ht="79.95" customHeight="1" x14ac:dyDescent="0.3">
      <c r="A208" s="40">
        <v>204</v>
      </c>
      <c r="B208" s="126"/>
      <c r="C208" s="123" t="s">
        <v>492</v>
      </c>
      <c r="D208" s="119" t="s">
        <v>532</v>
      </c>
      <c r="E208" s="119" t="s">
        <v>533</v>
      </c>
      <c r="F208" s="52"/>
      <c r="G208" s="128"/>
      <c r="H208" s="119" t="s">
        <v>534</v>
      </c>
      <c r="I208" s="43"/>
      <c r="J208" s="128"/>
      <c r="K208" s="128"/>
      <c r="L208" s="128"/>
      <c r="M208" s="128"/>
      <c r="N208" s="128"/>
      <c r="O208" s="128"/>
      <c r="P208" s="128"/>
      <c r="Q208" s="119" t="s">
        <v>485</v>
      </c>
      <c r="R208" s="41"/>
      <c r="S208" s="61"/>
      <c r="T208" s="41"/>
      <c r="U208" s="41"/>
      <c r="V208" s="41"/>
      <c r="W208" s="18"/>
      <c r="X208" s="61">
        <v>478</v>
      </c>
      <c r="Y208" s="18"/>
      <c r="Z208" s="62"/>
      <c r="AA208" s="62"/>
      <c r="AB208" s="62"/>
      <c r="AC208" s="62"/>
      <c r="AD208" s="62"/>
      <c r="AE208" s="62"/>
      <c r="AF208" s="62"/>
      <c r="AG208" s="62"/>
      <c r="AH208" s="62"/>
      <c r="AI208" s="62"/>
      <c r="AJ208" s="62"/>
      <c r="AK208" s="62"/>
      <c r="AL208" s="62"/>
      <c r="AM208" s="62"/>
      <c r="AN208" s="62"/>
      <c r="AO208" s="62"/>
      <c r="AP208" s="62"/>
      <c r="AQ208" s="62"/>
      <c r="AR208" s="62"/>
      <c r="AS208" s="62"/>
      <c r="AT208" s="62"/>
      <c r="AU208" s="62"/>
      <c r="AV208" s="62"/>
      <c r="AW208" s="62"/>
      <c r="AX208" s="62"/>
      <c r="AY208" s="62"/>
      <c r="AZ208" s="18"/>
    </row>
    <row r="209" spans="1:52" s="16" customFormat="1" ht="79.95" customHeight="1" x14ac:dyDescent="0.3">
      <c r="A209" s="40">
        <v>205</v>
      </c>
      <c r="B209" s="126"/>
      <c r="C209" s="123" t="s">
        <v>828</v>
      </c>
      <c r="D209" s="119" t="s">
        <v>543</v>
      </c>
      <c r="E209" s="119" t="s">
        <v>544</v>
      </c>
      <c r="F209" s="52"/>
      <c r="G209" s="128"/>
      <c r="H209" s="119" t="s">
        <v>545</v>
      </c>
      <c r="I209" s="43"/>
      <c r="J209" s="128"/>
      <c r="K209" s="128"/>
      <c r="L209" s="128"/>
      <c r="M209" s="128"/>
      <c r="N209" s="128"/>
      <c r="O209" s="128"/>
      <c r="P209" s="128"/>
      <c r="Q209" s="119" t="s">
        <v>485</v>
      </c>
      <c r="R209" s="41"/>
      <c r="S209" s="61" t="s">
        <v>518</v>
      </c>
      <c r="T209" s="41"/>
      <c r="U209" s="41"/>
      <c r="V209" s="41"/>
      <c r="W209" s="18"/>
      <c r="X209" s="61">
        <v>358</v>
      </c>
      <c r="Y209" s="18"/>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c r="AY209" s="62"/>
      <c r="AZ209" s="18"/>
    </row>
    <row r="210" spans="1:52" s="16" customFormat="1" ht="79.95" customHeight="1" x14ac:dyDescent="0.3">
      <c r="A210" s="40">
        <v>206</v>
      </c>
      <c r="B210" s="126"/>
      <c r="C210" s="123" t="s">
        <v>828</v>
      </c>
      <c r="D210" s="119" t="s">
        <v>543</v>
      </c>
      <c r="E210" s="119" t="s">
        <v>544</v>
      </c>
      <c r="F210" s="52"/>
      <c r="G210" s="128"/>
      <c r="H210" s="119" t="s">
        <v>552</v>
      </c>
      <c r="I210" s="43"/>
      <c r="J210" s="128"/>
      <c r="K210" s="128"/>
      <c r="L210" s="128"/>
      <c r="M210" s="128"/>
      <c r="N210" s="128"/>
      <c r="O210" s="128"/>
      <c r="P210" s="128"/>
      <c r="Q210" s="119" t="s">
        <v>485</v>
      </c>
      <c r="R210" s="41"/>
      <c r="S210" s="61" t="s">
        <v>495</v>
      </c>
      <c r="T210" s="41"/>
      <c r="U210" s="41"/>
      <c r="V210" s="41"/>
      <c r="W210" s="18"/>
      <c r="X210" s="61">
        <v>1713</v>
      </c>
      <c r="Y210" s="18"/>
      <c r="Z210" s="62"/>
      <c r="AA210" s="62"/>
      <c r="AB210" s="62"/>
      <c r="AC210" s="62"/>
      <c r="AD210" s="62"/>
      <c r="AE210" s="62"/>
      <c r="AF210" s="62"/>
      <c r="AG210" s="62"/>
      <c r="AH210" s="62"/>
      <c r="AI210" s="62"/>
      <c r="AJ210" s="62"/>
      <c r="AK210" s="62"/>
      <c r="AL210" s="62"/>
      <c r="AM210" s="62"/>
      <c r="AN210" s="62"/>
      <c r="AO210" s="62"/>
      <c r="AP210" s="62"/>
      <c r="AQ210" s="62"/>
      <c r="AR210" s="62"/>
      <c r="AS210" s="62"/>
      <c r="AT210" s="62"/>
      <c r="AU210" s="62"/>
      <c r="AV210" s="62"/>
      <c r="AW210" s="62"/>
      <c r="AX210" s="62"/>
      <c r="AY210" s="62"/>
      <c r="AZ210" s="18"/>
    </row>
    <row r="211" spans="1:52" s="16" customFormat="1" ht="79.95" customHeight="1" x14ac:dyDescent="0.3">
      <c r="A211" s="40">
        <v>207</v>
      </c>
      <c r="B211" s="126"/>
      <c r="C211" s="123" t="s">
        <v>529</v>
      </c>
      <c r="D211" s="119"/>
      <c r="E211" s="119" t="s">
        <v>556</v>
      </c>
      <c r="F211" s="52"/>
      <c r="G211" s="128"/>
      <c r="H211" s="119" t="s">
        <v>557</v>
      </c>
      <c r="I211" s="43"/>
      <c r="J211" s="128"/>
      <c r="K211" s="128"/>
      <c r="L211" s="128"/>
      <c r="M211" s="128"/>
      <c r="N211" s="128"/>
      <c r="O211" s="128"/>
      <c r="P211" s="128"/>
      <c r="Q211" s="119" t="s">
        <v>485</v>
      </c>
      <c r="R211" s="41"/>
      <c r="S211" s="61" t="s">
        <v>504</v>
      </c>
      <c r="T211" s="41"/>
      <c r="U211" s="41"/>
      <c r="V211" s="41"/>
      <c r="W211" s="18"/>
      <c r="X211" s="61"/>
      <c r="Y211" s="18"/>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c r="AY211" s="62"/>
      <c r="AZ211" s="18"/>
    </row>
    <row r="212" spans="1:52" s="16" customFormat="1" ht="79.95" customHeight="1" x14ac:dyDescent="0.3">
      <c r="A212" s="40">
        <v>208</v>
      </c>
      <c r="B212" s="126"/>
      <c r="C212" s="123" t="s">
        <v>954</v>
      </c>
      <c r="D212" s="119" t="s">
        <v>564</v>
      </c>
      <c r="E212" s="119" t="s">
        <v>565</v>
      </c>
      <c r="F212" s="52"/>
      <c r="G212" s="128"/>
      <c r="H212" s="119" t="s">
        <v>567</v>
      </c>
      <c r="I212" s="43"/>
      <c r="J212" s="128"/>
      <c r="K212" s="128"/>
      <c r="L212" s="128"/>
      <c r="M212" s="128"/>
      <c r="N212" s="128"/>
      <c r="O212" s="128"/>
      <c r="P212" s="128"/>
      <c r="Q212" s="119" t="s">
        <v>485</v>
      </c>
      <c r="R212" s="41"/>
      <c r="S212" s="61" t="s">
        <v>504</v>
      </c>
      <c r="T212" s="41"/>
      <c r="U212" s="41"/>
      <c r="V212" s="41"/>
      <c r="W212" s="18"/>
      <c r="X212" s="61"/>
      <c r="Y212" s="18"/>
      <c r="Z212" s="62"/>
      <c r="AA212" s="62"/>
      <c r="AB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c r="AY212" s="62"/>
      <c r="AZ212" s="18"/>
    </row>
    <row r="213" spans="1:52" s="16" customFormat="1" ht="79.95" customHeight="1" x14ac:dyDescent="0.3">
      <c r="A213" s="40">
        <v>209</v>
      </c>
      <c r="B213" s="126"/>
      <c r="C213" s="123" t="s">
        <v>529</v>
      </c>
      <c r="D213" s="119"/>
      <c r="E213" s="119"/>
      <c r="F213" s="52"/>
      <c r="G213" s="128"/>
      <c r="H213" s="119" t="s">
        <v>574</v>
      </c>
      <c r="I213" s="43"/>
      <c r="J213" s="128"/>
      <c r="K213" s="128"/>
      <c r="L213" s="128"/>
      <c r="M213" s="128"/>
      <c r="N213" s="128"/>
      <c r="O213" s="128"/>
      <c r="P213" s="128"/>
      <c r="Q213" s="119" t="s">
        <v>485</v>
      </c>
      <c r="R213" s="41"/>
      <c r="S213" s="61" t="s">
        <v>504</v>
      </c>
      <c r="T213" s="41"/>
      <c r="U213" s="41"/>
      <c r="V213" s="41"/>
      <c r="W213" s="18"/>
      <c r="X213" s="61" t="s">
        <v>581</v>
      </c>
      <c r="Y213" s="18"/>
      <c r="Z213" s="62"/>
      <c r="AA213" s="62"/>
      <c r="AB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c r="AY213" s="62"/>
      <c r="AZ213" s="18"/>
    </row>
    <row r="214" spans="1:52" s="16" customFormat="1" ht="79.95" customHeight="1" x14ac:dyDescent="0.3">
      <c r="A214" s="40">
        <v>210</v>
      </c>
      <c r="B214" s="126"/>
      <c r="C214" s="123" t="s">
        <v>954</v>
      </c>
      <c r="D214" s="119" t="s">
        <v>582</v>
      </c>
      <c r="E214" s="119" t="s">
        <v>565</v>
      </c>
      <c r="F214" s="52"/>
      <c r="G214" s="128"/>
      <c r="H214" s="119" t="s">
        <v>583</v>
      </c>
      <c r="I214" s="43"/>
      <c r="J214" s="128"/>
      <c r="K214" s="128"/>
      <c r="L214" s="128"/>
      <c r="M214" s="128"/>
      <c r="N214" s="128"/>
      <c r="O214" s="128"/>
      <c r="P214" s="128"/>
      <c r="Q214" s="119" t="s">
        <v>485</v>
      </c>
      <c r="R214" s="41"/>
      <c r="S214" s="61" t="s">
        <v>504</v>
      </c>
      <c r="T214" s="41"/>
      <c r="U214" s="41"/>
      <c r="V214" s="41"/>
      <c r="W214" s="18"/>
      <c r="X214" s="61"/>
      <c r="Y214" s="18"/>
      <c r="Z214" s="62"/>
      <c r="AA214" s="62"/>
      <c r="AB214" s="62"/>
      <c r="AC214" s="62"/>
      <c r="AD214" s="62"/>
      <c r="AE214" s="62"/>
      <c r="AF214" s="62"/>
      <c r="AG214" s="62"/>
      <c r="AH214" s="62"/>
      <c r="AI214" s="62"/>
      <c r="AJ214" s="62"/>
      <c r="AK214" s="62"/>
      <c r="AL214" s="62"/>
      <c r="AM214" s="62"/>
      <c r="AN214" s="62"/>
      <c r="AO214" s="62"/>
      <c r="AP214" s="62"/>
      <c r="AQ214" s="62"/>
      <c r="AR214" s="62"/>
      <c r="AS214" s="62"/>
      <c r="AT214" s="62"/>
      <c r="AU214" s="62"/>
      <c r="AV214" s="62"/>
      <c r="AW214" s="62"/>
      <c r="AX214" s="62"/>
      <c r="AY214" s="62"/>
      <c r="AZ214" s="18"/>
    </row>
    <row r="215" spans="1:52" s="16" customFormat="1" ht="79.95" customHeight="1" x14ac:dyDescent="0.3">
      <c r="A215" s="40">
        <v>211</v>
      </c>
      <c r="B215" s="126"/>
      <c r="C215" s="123" t="s">
        <v>589</v>
      </c>
      <c r="D215" s="119" t="s">
        <v>589</v>
      </c>
      <c r="E215" s="119" t="s">
        <v>590</v>
      </c>
      <c r="F215" s="52"/>
      <c r="G215" s="128"/>
      <c r="H215" s="119" t="s">
        <v>592</v>
      </c>
      <c r="I215" s="43"/>
      <c r="J215" s="128"/>
      <c r="K215" s="128"/>
      <c r="L215" s="128"/>
      <c r="M215" s="128"/>
      <c r="N215" s="128"/>
      <c r="O215" s="128"/>
      <c r="P215" s="128"/>
      <c r="Q215" s="119" t="s">
        <v>485</v>
      </c>
      <c r="R215" s="41"/>
      <c r="S215" s="61"/>
      <c r="T215" s="41"/>
      <c r="U215" s="41"/>
      <c r="V215" s="41"/>
      <c r="W215" s="18"/>
      <c r="X215" s="61"/>
      <c r="Y215" s="18"/>
      <c r="Z215" s="62"/>
      <c r="AA215" s="62"/>
      <c r="AB215" s="62"/>
      <c r="AC215" s="62"/>
      <c r="AD215" s="62"/>
      <c r="AE215" s="62"/>
      <c r="AF215" s="62"/>
      <c r="AG215" s="62"/>
      <c r="AH215" s="62"/>
      <c r="AI215" s="62"/>
      <c r="AJ215" s="62"/>
      <c r="AK215" s="62"/>
      <c r="AL215" s="62"/>
      <c r="AM215" s="62"/>
      <c r="AN215" s="62"/>
      <c r="AO215" s="62"/>
      <c r="AP215" s="62"/>
      <c r="AQ215" s="62"/>
      <c r="AR215" s="62"/>
      <c r="AS215" s="62"/>
      <c r="AT215" s="62"/>
      <c r="AU215" s="62"/>
      <c r="AV215" s="62"/>
      <c r="AW215" s="62"/>
      <c r="AX215" s="62"/>
      <c r="AY215" s="62"/>
      <c r="AZ215" s="18"/>
    </row>
    <row r="216" spans="1:52" s="16" customFormat="1" ht="79.95" customHeight="1" x14ac:dyDescent="0.3">
      <c r="A216" s="40">
        <v>212</v>
      </c>
      <c r="B216" s="126"/>
      <c r="C216" s="123" t="s">
        <v>492</v>
      </c>
      <c r="D216" s="119" t="s">
        <v>598</v>
      </c>
      <c r="E216" s="119" t="s">
        <v>600</v>
      </c>
      <c r="F216" s="52"/>
      <c r="G216" s="128"/>
      <c r="H216" s="119" t="s">
        <v>601</v>
      </c>
      <c r="I216" s="43"/>
      <c r="J216" s="128"/>
      <c r="K216" s="128"/>
      <c r="L216" s="128"/>
      <c r="M216" s="128"/>
      <c r="N216" s="128"/>
      <c r="O216" s="128"/>
      <c r="P216" s="128"/>
      <c r="Q216" s="119" t="s">
        <v>485</v>
      </c>
      <c r="R216" s="41"/>
      <c r="S216" s="61" t="s">
        <v>495</v>
      </c>
      <c r="T216" s="41"/>
      <c r="U216" s="41"/>
      <c r="V216" s="41"/>
      <c r="W216" s="18"/>
      <c r="X216" s="61"/>
      <c r="Y216" s="18"/>
      <c r="Z216" s="62"/>
      <c r="AA216" s="62"/>
      <c r="AB216" s="62"/>
      <c r="AC216" s="62"/>
      <c r="AD216" s="62"/>
      <c r="AE216" s="62"/>
      <c r="AF216" s="62"/>
      <c r="AG216" s="62"/>
      <c r="AH216" s="62"/>
      <c r="AI216" s="62"/>
      <c r="AJ216" s="62"/>
      <c r="AK216" s="62"/>
      <c r="AL216" s="62"/>
      <c r="AM216" s="62"/>
      <c r="AN216" s="62"/>
      <c r="AO216" s="62"/>
      <c r="AP216" s="62"/>
      <c r="AQ216" s="62"/>
      <c r="AR216" s="62"/>
      <c r="AS216" s="62"/>
      <c r="AT216" s="62"/>
      <c r="AU216" s="62"/>
      <c r="AV216" s="62"/>
      <c r="AW216" s="62"/>
      <c r="AX216" s="62"/>
      <c r="AY216" s="62"/>
      <c r="AZ216" s="18"/>
    </row>
    <row r="217" spans="1:52" s="16" customFormat="1" ht="79.95" customHeight="1" x14ac:dyDescent="0.3">
      <c r="A217" s="40">
        <v>213</v>
      </c>
      <c r="B217" s="126"/>
      <c r="C217" s="123" t="s">
        <v>529</v>
      </c>
      <c r="D217" s="119"/>
      <c r="E217" s="119" t="s">
        <v>556</v>
      </c>
      <c r="F217" s="52"/>
      <c r="G217" s="128"/>
      <c r="H217" s="119" t="s">
        <v>606</v>
      </c>
      <c r="I217" s="43"/>
      <c r="J217" s="128"/>
      <c r="K217" s="128"/>
      <c r="L217" s="128"/>
      <c r="M217" s="128"/>
      <c r="N217" s="128"/>
      <c r="O217" s="128"/>
      <c r="P217" s="128"/>
      <c r="Q217" s="119" t="s">
        <v>485</v>
      </c>
      <c r="R217" s="41"/>
      <c r="S217" s="61" t="s">
        <v>504</v>
      </c>
      <c r="T217" s="41"/>
      <c r="U217" s="41"/>
      <c r="V217" s="41"/>
      <c r="W217" s="18"/>
      <c r="X217" s="61"/>
      <c r="Y217" s="18"/>
      <c r="Z217" s="62"/>
      <c r="AA217" s="62"/>
      <c r="AB217" s="62"/>
      <c r="AC217" s="62"/>
      <c r="AD217" s="62"/>
      <c r="AE217" s="62"/>
      <c r="AF217" s="62"/>
      <c r="AG217" s="62"/>
      <c r="AH217" s="62"/>
      <c r="AI217" s="62"/>
      <c r="AJ217" s="62"/>
      <c r="AK217" s="62"/>
      <c r="AL217" s="62"/>
      <c r="AM217" s="62"/>
      <c r="AN217" s="62"/>
      <c r="AO217" s="62"/>
      <c r="AP217" s="62"/>
      <c r="AQ217" s="62"/>
      <c r="AR217" s="62"/>
      <c r="AS217" s="62"/>
      <c r="AT217" s="62"/>
      <c r="AU217" s="62"/>
      <c r="AV217" s="62"/>
      <c r="AW217" s="62"/>
      <c r="AX217" s="62"/>
      <c r="AY217" s="62"/>
      <c r="AZ217" s="18"/>
    </row>
    <row r="218" spans="1:52" s="16" customFormat="1" ht="79.95" customHeight="1" x14ac:dyDescent="0.3">
      <c r="A218" s="40">
        <v>214</v>
      </c>
      <c r="B218" s="126"/>
      <c r="C218" s="123" t="s">
        <v>954</v>
      </c>
      <c r="D218" s="119" t="s">
        <v>609</v>
      </c>
      <c r="E218" s="119" t="s">
        <v>565</v>
      </c>
      <c r="F218" s="52"/>
      <c r="G218" s="128"/>
      <c r="H218" s="119" t="s">
        <v>610</v>
      </c>
      <c r="I218" s="43"/>
      <c r="J218" s="128"/>
      <c r="K218" s="128"/>
      <c r="L218" s="128"/>
      <c r="M218" s="128"/>
      <c r="N218" s="128"/>
      <c r="O218" s="128"/>
      <c r="P218" s="128"/>
      <c r="Q218" s="119" t="s">
        <v>485</v>
      </c>
      <c r="R218" s="41"/>
      <c r="S218" s="61" t="s">
        <v>504</v>
      </c>
      <c r="T218" s="41"/>
      <c r="U218" s="41"/>
      <c r="V218" s="41"/>
      <c r="W218" s="18"/>
      <c r="X218" s="61"/>
      <c r="Y218" s="18"/>
      <c r="Z218" s="62"/>
      <c r="AA218" s="62"/>
      <c r="AB218" s="62"/>
      <c r="AC218" s="62"/>
      <c r="AD218" s="62"/>
      <c r="AE218" s="62"/>
      <c r="AF218" s="62"/>
      <c r="AG218" s="62"/>
      <c r="AH218" s="62"/>
      <c r="AI218" s="62"/>
      <c r="AJ218" s="62"/>
      <c r="AK218" s="62"/>
      <c r="AL218" s="62"/>
      <c r="AM218" s="62"/>
      <c r="AN218" s="62"/>
      <c r="AO218" s="62"/>
      <c r="AP218" s="62"/>
      <c r="AQ218" s="62"/>
      <c r="AR218" s="62"/>
      <c r="AS218" s="62"/>
      <c r="AT218" s="62"/>
      <c r="AU218" s="62"/>
      <c r="AV218" s="62"/>
      <c r="AW218" s="62"/>
      <c r="AX218" s="62"/>
      <c r="AY218" s="62"/>
      <c r="AZ218" s="18"/>
    </row>
    <row r="219" spans="1:52" s="16" customFormat="1" ht="79.95" customHeight="1" x14ac:dyDescent="0.3">
      <c r="A219" s="40">
        <v>215</v>
      </c>
      <c r="B219" s="126"/>
      <c r="C219" s="123" t="s">
        <v>614</v>
      </c>
      <c r="D219" s="119" t="s">
        <v>614</v>
      </c>
      <c r="E219" s="119" t="s">
        <v>615</v>
      </c>
      <c r="F219" s="52"/>
      <c r="G219" s="128"/>
      <c r="H219" s="119" t="s">
        <v>616</v>
      </c>
      <c r="I219" s="43"/>
      <c r="J219" s="128"/>
      <c r="K219" s="128"/>
      <c r="L219" s="128"/>
      <c r="M219" s="128"/>
      <c r="N219" s="128"/>
      <c r="O219" s="128"/>
      <c r="P219" s="128"/>
      <c r="Q219" s="119" t="s">
        <v>485</v>
      </c>
      <c r="R219" s="41"/>
      <c r="S219" s="61" t="s">
        <v>486</v>
      </c>
      <c r="T219" s="41"/>
      <c r="U219" s="41"/>
      <c r="V219" s="41"/>
      <c r="W219" s="18"/>
      <c r="X219" s="61"/>
      <c r="Y219" s="18"/>
      <c r="Z219" s="62"/>
      <c r="AA219" s="62"/>
      <c r="AB219" s="62"/>
      <c r="AC219" s="62"/>
      <c r="AD219" s="62"/>
      <c r="AE219" s="62"/>
      <c r="AF219" s="62"/>
      <c r="AG219" s="62"/>
      <c r="AH219" s="62"/>
      <c r="AI219" s="62"/>
      <c r="AJ219" s="62"/>
      <c r="AK219" s="62"/>
      <c r="AL219" s="62"/>
      <c r="AM219" s="62"/>
      <c r="AN219" s="62"/>
      <c r="AO219" s="62"/>
      <c r="AP219" s="62"/>
      <c r="AQ219" s="62"/>
      <c r="AR219" s="62"/>
      <c r="AS219" s="62"/>
      <c r="AT219" s="62"/>
      <c r="AU219" s="62"/>
      <c r="AV219" s="62"/>
      <c r="AW219" s="62"/>
      <c r="AX219" s="62"/>
      <c r="AY219" s="62"/>
      <c r="AZ219" s="18"/>
    </row>
    <row r="220" spans="1:52" s="16" customFormat="1" ht="79.95" customHeight="1" x14ac:dyDescent="0.3">
      <c r="A220" s="40">
        <v>216</v>
      </c>
      <c r="B220" s="126"/>
      <c r="C220" s="123" t="s">
        <v>619</v>
      </c>
      <c r="D220" s="119" t="s">
        <v>619</v>
      </c>
      <c r="E220" s="119" t="s">
        <v>620</v>
      </c>
      <c r="F220" s="52"/>
      <c r="G220" s="128"/>
      <c r="H220" s="119" t="s">
        <v>621</v>
      </c>
      <c r="I220" s="43"/>
      <c r="J220" s="128"/>
      <c r="K220" s="128"/>
      <c r="L220" s="128"/>
      <c r="M220" s="128"/>
      <c r="N220" s="128"/>
      <c r="O220" s="128"/>
      <c r="P220" s="128"/>
      <c r="Q220" s="119" t="s">
        <v>485</v>
      </c>
      <c r="R220" s="41"/>
      <c r="S220" s="61" t="s">
        <v>495</v>
      </c>
      <c r="T220" s="41"/>
      <c r="U220" s="41"/>
      <c r="V220" s="41"/>
      <c r="W220" s="18"/>
      <c r="X220" s="61"/>
      <c r="Y220" s="18"/>
      <c r="Z220" s="62"/>
      <c r="AA220" s="62"/>
      <c r="AB220" s="62"/>
      <c r="AC220" s="62"/>
      <c r="AD220" s="62"/>
      <c r="AE220" s="62"/>
      <c r="AF220" s="62"/>
      <c r="AG220" s="62"/>
      <c r="AH220" s="62"/>
      <c r="AI220" s="62"/>
      <c r="AJ220" s="62"/>
      <c r="AK220" s="62"/>
      <c r="AL220" s="62"/>
      <c r="AM220" s="62"/>
      <c r="AN220" s="62"/>
      <c r="AO220" s="62"/>
      <c r="AP220" s="62"/>
      <c r="AQ220" s="62"/>
      <c r="AR220" s="62"/>
      <c r="AS220" s="62"/>
      <c r="AT220" s="62"/>
      <c r="AU220" s="62"/>
      <c r="AV220" s="62"/>
      <c r="AW220" s="62"/>
      <c r="AX220" s="62"/>
      <c r="AY220" s="62"/>
      <c r="AZ220" s="18"/>
    </row>
    <row r="221" spans="1:52" s="16" customFormat="1" ht="79.95" customHeight="1" x14ac:dyDescent="0.3">
      <c r="A221" s="40">
        <v>217</v>
      </c>
      <c r="B221" s="126"/>
      <c r="C221" s="123" t="s">
        <v>624</v>
      </c>
      <c r="D221" s="119" t="s">
        <v>624</v>
      </c>
      <c r="E221" s="119" t="s">
        <v>625</v>
      </c>
      <c r="F221" s="52"/>
      <c r="G221" s="128"/>
      <c r="H221" s="119" t="s">
        <v>626</v>
      </c>
      <c r="I221" s="43"/>
      <c r="J221" s="128"/>
      <c r="K221" s="128"/>
      <c r="L221" s="128"/>
      <c r="M221" s="128"/>
      <c r="N221" s="128"/>
      <c r="O221" s="128"/>
      <c r="P221" s="128"/>
      <c r="Q221" s="119" t="s">
        <v>485</v>
      </c>
      <c r="R221" s="41"/>
      <c r="S221" s="61" t="s">
        <v>504</v>
      </c>
      <c r="T221" s="41"/>
      <c r="U221" s="41"/>
      <c r="V221" s="41"/>
      <c r="W221" s="18"/>
      <c r="X221" s="61"/>
      <c r="Y221" s="18"/>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62"/>
      <c r="AZ221" s="18"/>
    </row>
    <row r="222" spans="1:52" s="16" customFormat="1" ht="79.95" customHeight="1" x14ac:dyDescent="0.3">
      <c r="A222" s="40">
        <v>218</v>
      </c>
      <c r="B222" s="126"/>
      <c r="C222" s="123" t="s">
        <v>589</v>
      </c>
      <c r="D222" s="119" t="s">
        <v>589</v>
      </c>
      <c r="E222" s="119" t="s">
        <v>590</v>
      </c>
      <c r="F222" s="52"/>
      <c r="G222" s="128"/>
      <c r="H222" s="119" t="s">
        <v>630</v>
      </c>
      <c r="I222" s="43"/>
      <c r="J222" s="128"/>
      <c r="K222" s="128"/>
      <c r="L222" s="128"/>
      <c r="M222" s="128"/>
      <c r="N222" s="128"/>
      <c r="O222" s="128"/>
      <c r="P222" s="128"/>
      <c r="Q222" s="119" t="s">
        <v>485</v>
      </c>
      <c r="R222" s="41"/>
      <c r="S222" s="61"/>
      <c r="T222" s="41"/>
      <c r="U222" s="41"/>
      <c r="V222" s="41"/>
      <c r="W222" s="18"/>
      <c r="X222" s="61"/>
      <c r="Y222" s="18"/>
      <c r="Z222" s="62"/>
      <c r="AA222" s="62"/>
      <c r="AB222" s="62"/>
      <c r="AC222" s="62"/>
      <c r="AD222" s="62"/>
      <c r="AE222" s="62"/>
      <c r="AF222" s="62"/>
      <c r="AG222" s="62"/>
      <c r="AH222" s="62"/>
      <c r="AI222" s="62"/>
      <c r="AJ222" s="62"/>
      <c r="AK222" s="62"/>
      <c r="AL222" s="62"/>
      <c r="AM222" s="62"/>
      <c r="AN222" s="62"/>
      <c r="AO222" s="62"/>
      <c r="AP222" s="62"/>
      <c r="AQ222" s="62"/>
      <c r="AR222" s="62"/>
      <c r="AS222" s="62"/>
      <c r="AT222" s="62"/>
      <c r="AU222" s="62"/>
      <c r="AV222" s="62"/>
      <c r="AW222" s="62"/>
      <c r="AX222" s="62"/>
      <c r="AY222" s="62"/>
      <c r="AZ222" s="18"/>
    </row>
    <row r="223" spans="1:52" s="16" customFormat="1" ht="79.95" customHeight="1" x14ac:dyDescent="0.3">
      <c r="A223" s="40">
        <v>219</v>
      </c>
      <c r="B223" s="126"/>
      <c r="C223" s="123" t="s">
        <v>589</v>
      </c>
      <c r="D223" s="119" t="s">
        <v>631</v>
      </c>
      <c r="E223" s="119" t="s">
        <v>632</v>
      </c>
      <c r="F223" s="52"/>
      <c r="G223" s="128"/>
      <c r="H223" s="119" t="s">
        <v>633</v>
      </c>
      <c r="I223" s="43"/>
      <c r="J223" s="128"/>
      <c r="K223" s="128"/>
      <c r="L223" s="128"/>
      <c r="M223" s="128"/>
      <c r="N223" s="128"/>
      <c r="O223" s="128"/>
      <c r="P223" s="128"/>
      <c r="Q223" s="119" t="s">
        <v>485</v>
      </c>
      <c r="R223" s="41"/>
      <c r="S223" s="61"/>
      <c r="T223" s="41"/>
      <c r="U223" s="41"/>
      <c r="V223" s="41"/>
      <c r="W223" s="18"/>
      <c r="X223" s="61"/>
      <c r="Y223" s="18"/>
      <c r="Z223" s="62"/>
      <c r="AA223" s="62"/>
      <c r="AB223" s="62"/>
      <c r="AC223" s="62"/>
      <c r="AD223" s="62"/>
      <c r="AE223" s="62"/>
      <c r="AF223" s="62"/>
      <c r="AG223" s="62"/>
      <c r="AH223" s="62"/>
      <c r="AI223" s="62"/>
      <c r="AJ223" s="62"/>
      <c r="AK223" s="62"/>
      <c r="AL223" s="62"/>
      <c r="AM223" s="62"/>
      <c r="AN223" s="62"/>
      <c r="AO223" s="62"/>
      <c r="AP223" s="62"/>
      <c r="AQ223" s="62"/>
      <c r="AR223" s="62"/>
      <c r="AS223" s="62"/>
      <c r="AT223" s="62"/>
      <c r="AU223" s="62"/>
      <c r="AV223" s="62"/>
      <c r="AW223" s="62"/>
      <c r="AX223" s="62"/>
      <c r="AY223" s="62"/>
      <c r="AZ223" s="18"/>
    </row>
    <row r="224" spans="1:52" s="16" customFormat="1" ht="79.95" customHeight="1" x14ac:dyDescent="0.3">
      <c r="A224" s="40">
        <v>220</v>
      </c>
      <c r="B224" s="126"/>
      <c r="C224" s="123" t="s">
        <v>438</v>
      </c>
      <c r="D224" s="119" t="s">
        <v>561</v>
      </c>
      <c r="E224" s="119" t="s">
        <v>637</v>
      </c>
      <c r="F224" s="52"/>
      <c r="G224" s="128"/>
      <c r="H224" s="119" t="s">
        <v>638</v>
      </c>
      <c r="I224" s="43"/>
      <c r="J224" s="128"/>
      <c r="K224" s="128"/>
      <c r="L224" s="128"/>
      <c r="M224" s="128"/>
      <c r="N224" s="128"/>
      <c r="O224" s="128"/>
      <c r="P224" s="128"/>
      <c r="Q224" s="119" t="s">
        <v>485</v>
      </c>
      <c r="R224" s="41"/>
      <c r="S224" s="61"/>
      <c r="T224" s="41"/>
      <c r="U224" s="41"/>
      <c r="V224" s="41"/>
      <c r="W224" s="18"/>
      <c r="X224" s="61"/>
      <c r="Y224" s="18"/>
      <c r="Z224" s="62"/>
      <c r="AA224" s="62"/>
      <c r="AB224" s="62"/>
      <c r="AC224" s="62"/>
      <c r="AD224" s="62"/>
      <c r="AE224" s="62"/>
      <c r="AF224" s="62"/>
      <c r="AG224" s="62"/>
      <c r="AH224" s="62"/>
      <c r="AI224" s="62"/>
      <c r="AJ224" s="62"/>
      <c r="AK224" s="62"/>
      <c r="AL224" s="62"/>
      <c r="AM224" s="62"/>
      <c r="AN224" s="62"/>
      <c r="AO224" s="62"/>
      <c r="AP224" s="62"/>
      <c r="AQ224" s="62"/>
      <c r="AR224" s="62"/>
      <c r="AS224" s="62"/>
      <c r="AT224" s="62"/>
      <c r="AU224" s="62"/>
      <c r="AV224" s="62"/>
      <c r="AW224" s="62"/>
      <c r="AX224" s="62"/>
      <c r="AY224" s="62"/>
      <c r="AZ224" s="18"/>
    </row>
    <row r="225" spans="1:52" s="16" customFormat="1" ht="79.95" customHeight="1" x14ac:dyDescent="0.3">
      <c r="A225" s="40">
        <v>221</v>
      </c>
      <c r="B225" s="126"/>
      <c r="C225" s="123" t="s">
        <v>438</v>
      </c>
      <c r="D225" s="119" t="s">
        <v>561</v>
      </c>
      <c r="E225" s="119" t="s">
        <v>641</v>
      </c>
      <c r="F225" s="52"/>
      <c r="G225" s="128"/>
      <c r="H225" s="119" t="s">
        <v>642</v>
      </c>
      <c r="I225" s="43"/>
      <c r="J225" s="128"/>
      <c r="K225" s="128"/>
      <c r="L225" s="128"/>
      <c r="M225" s="128"/>
      <c r="N225" s="128"/>
      <c r="O225" s="128"/>
      <c r="P225" s="128"/>
      <c r="Q225" s="119" t="s">
        <v>485</v>
      </c>
      <c r="R225" s="41"/>
      <c r="S225" s="61"/>
      <c r="T225" s="41"/>
      <c r="U225" s="41"/>
      <c r="V225" s="41"/>
      <c r="W225" s="18"/>
      <c r="X225" s="61"/>
      <c r="Y225" s="18"/>
      <c r="Z225" s="62"/>
      <c r="AA225" s="62"/>
      <c r="AB225" s="62"/>
      <c r="AC225" s="62"/>
      <c r="AD225" s="62"/>
      <c r="AE225" s="62"/>
      <c r="AF225" s="62"/>
      <c r="AG225" s="62"/>
      <c r="AH225" s="62"/>
      <c r="AI225" s="62"/>
      <c r="AJ225" s="62"/>
      <c r="AK225" s="62"/>
      <c r="AL225" s="62"/>
      <c r="AM225" s="62"/>
      <c r="AN225" s="62"/>
      <c r="AO225" s="62"/>
      <c r="AP225" s="62"/>
      <c r="AQ225" s="62"/>
      <c r="AR225" s="62"/>
      <c r="AS225" s="62"/>
      <c r="AT225" s="62"/>
      <c r="AU225" s="62"/>
      <c r="AV225" s="62"/>
      <c r="AW225" s="62"/>
      <c r="AX225" s="62"/>
      <c r="AY225" s="62"/>
      <c r="AZ225" s="18"/>
    </row>
    <row r="226" spans="1:52" s="16" customFormat="1" ht="79.95" customHeight="1" x14ac:dyDescent="0.3">
      <c r="A226" s="40">
        <v>222</v>
      </c>
      <c r="B226" s="126"/>
      <c r="C226" s="123" t="s">
        <v>438</v>
      </c>
      <c r="D226" s="119" t="s">
        <v>561</v>
      </c>
      <c r="E226" s="119" t="s">
        <v>644</v>
      </c>
      <c r="F226" s="52"/>
      <c r="G226" s="128"/>
      <c r="H226" s="119" t="s">
        <v>645</v>
      </c>
      <c r="I226" s="43"/>
      <c r="J226" s="128"/>
      <c r="K226" s="128"/>
      <c r="L226" s="128"/>
      <c r="M226" s="128"/>
      <c r="N226" s="128"/>
      <c r="O226" s="128"/>
      <c r="P226" s="128"/>
      <c r="Q226" s="119" t="s">
        <v>485</v>
      </c>
      <c r="R226" s="41"/>
      <c r="S226" s="61"/>
      <c r="T226" s="41"/>
      <c r="U226" s="41"/>
      <c r="V226" s="41"/>
      <c r="W226" s="18"/>
      <c r="X226" s="61"/>
      <c r="Y226" s="18"/>
      <c r="Z226" s="62"/>
      <c r="AA226" s="62"/>
      <c r="AB226" s="62"/>
      <c r="AC226" s="62"/>
      <c r="AD226" s="62"/>
      <c r="AE226" s="62"/>
      <c r="AF226" s="62"/>
      <c r="AG226" s="62"/>
      <c r="AH226" s="62"/>
      <c r="AI226" s="62"/>
      <c r="AJ226" s="62"/>
      <c r="AK226" s="62"/>
      <c r="AL226" s="62"/>
      <c r="AM226" s="62"/>
      <c r="AN226" s="62"/>
      <c r="AO226" s="62"/>
      <c r="AP226" s="62"/>
      <c r="AQ226" s="62"/>
      <c r="AR226" s="62"/>
      <c r="AS226" s="62"/>
      <c r="AT226" s="62"/>
      <c r="AU226" s="62"/>
      <c r="AV226" s="62"/>
      <c r="AW226" s="62"/>
      <c r="AX226" s="62"/>
      <c r="AY226" s="62"/>
      <c r="AZ226" s="18"/>
    </row>
    <row r="227" spans="1:52" s="16" customFormat="1" ht="79.95" customHeight="1" x14ac:dyDescent="0.3">
      <c r="A227" s="40">
        <v>223</v>
      </c>
      <c r="B227" s="126"/>
      <c r="C227" s="123" t="s">
        <v>438</v>
      </c>
      <c r="D227" s="119" t="s">
        <v>561</v>
      </c>
      <c r="E227" s="119" t="s">
        <v>647</v>
      </c>
      <c r="F227" s="52"/>
      <c r="G227" s="128"/>
      <c r="H227" s="119" t="s">
        <v>648</v>
      </c>
      <c r="I227" s="43"/>
      <c r="J227" s="128"/>
      <c r="K227" s="128"/>
      <c r="L227" s="128"/>
      <c r="M227" s="128"/>
      <c r="N227" s="128"/>
      <c r="O227" s="128"/>
      <c r="P227" s="128"/>
      <c r="Q227" s="119" t="s">
        <v>485</v>
      </c>
      <c r="R227" s="41"/>
      <c r="S227" s="61"/>
      <c r="T227" s="41"/>
      <c r="U227" s="41"/>
      <c r="V227" s="41"/>
      <c r="W227" s="18"/>
      <c r="X227" s="61"/>
      <c r="Y227" s="18"/>
      <c r="Z227" s="62"/>
      <c r="AA227" s="62"/>
      <c r="AB227" s="62"/>
      <c r="AC227" s="62"/>
      <c r="AD227" s="62"/>
      <c r="AE227" s="62"/>
      <c r="AF227" s="62"/>
      <c r="AG227" s="62"/>
      <c r="AH227" s="62"/>
      <c r="AI227" s="62"/>
      <c r="AJ227" s="62"/>
      <c r="AK227" s="62"/>
      <c r="AL227" s="62"/>
      <c r="AM227" s="62"/>
      <c r="AN227" s="62"/>
      <c r="AO227" s="62"/>
      <c r="AP227" s="62"/>
      <c r="AQ227" s="62"/>
      <c r="AR227" s="62"/>
      <c r="AS227" s="62"/>
      <c r="AT227" s="62"/>
      <c r="AU227" s="62"/>
      <c r="AV227" s="62"/>
      <c r="AW227" s="62"/>
      <c r="AX227" s="62"/>
      <c r="AY227" s="62"/>
      <c r="AZ227" s="18"/>
    </row>
    <row r="228" spans="1:52" s="16" customFormat="1" ht="79.95" customHeight="1" x14ac:dyDescent="0.3">
      <c r="A228" s="40">
        <v>224</v>
      </c>
      <c r="B228" s="126"/>
      <c r="C228" s="123" t="s">
        <v>943</v>
      </c>
      <c r="D228" s="119" t="s">
        <v>650</v>
      </c>
      <c r="E228" s="119" t="s">
        <v>651</v>
      </c>
      <c r="F228" s="52"/>
      <c r="G228" s="128"/>
      <c r="H228" s="119" t="s">
        <v>652</v>
      </c>
      <c r="I228" s="43"/>
      <c r="J228" s="128"/>
      <c r="K228" s="128"/>
      <c r="L228" s="128"/>
      <c r="M228" s="128"/>
      <c r="N228" s="128"/>
      <c r="O228" s="128"/>
      <c r="P228" s="128"/>
      <c r="Q228" s="119" t="s">
        <v>485</v>
      </c>
      <c r="R228" s="41"/>
      <c r="S228" s="61"/>
      <c r="T228" s="41"/>
      <c r="U228" s="41"/>
      <c r="V228" s="41"/>
      <c r="W228" s="18"/>
      <c r="X228" s="61"/>
      <c r="Y228" s="18"/>
      <c r="Z228" s="62"/>
      <c r="AA228" s="62"/>
      <c r="AB228" s="62"/>
      <c r="AC228" s="62"/>
      <c r="AD228" s="62"/>
      <c r="AE228" s="62"/>
      <c r="AF228" s="62"/>
      <c r="AG228" s="62"/>
      <c r="AH228" s="62"/>
      <c r="AI228" s="62"/>
      <c r="AJ228" s="62"/>
      <c r="AK228" s="62"/>
      <c r="AL228" s="62"/>
      <c r="AM228" s="62"/>
      <c r="AN228" s="62"/>
      <c r="AO228" s="62"/>
      <c r="AP228" s="62"/>
      <c r="AQ228" s="62"/>
      <c r="AR228" s="62"/>
      <c r="AS228" s="62"/>
      <c r="AT228" s="62"/>
      <c r="AU228" s="62"/>
      <c r="AV228" s="62"/>
      <c r="AW228" s="62"/>
      <c r="AX228" s="62"/>
      <c r="AY228" s="62"/>
      <c r="AZ228" s="18"/>
    </row>
    <row r="229" spans="1:52" s="16" customFormat="1" ht="79.95" customHeight="1" x14ac:dyDescent="0.3">
      <c r="A229" s="40">
        <v>225</v>
      </c>
      <c r="B229" s="126"/>
      <c r="C229" s="123" t="s">
        <v>943</v>
      </c>
      <c r="D229" s="119" t="s">
        <v>650</v>
      </c>
      <c r="E229" s="119" t="s">
        <v>655</v>
      </c>
      <c r="F229" s="52"/>
      <c r="G229" s="128"/>
      <c r="H229" s="119" t="s">
        <v>656</v>
      </c>
      <c r="I229" s="43"/>
      <c r="J229" s="128"/>
      <c r="K229" s="128"/>
      <c r="L229" s="128"/>
      <c r="M229" s="128"/>
      <c r="N229" s="128"/>
      <c r="O229" s="128"/>
      <c r="P229" s="128"/>
      <c r="Q229" s="119" t="s">
        <v>485</v>
      </c>
      <c r="R229" s="41"/>
      <c r="S229" s="61"/>
      <c r="T229" s="41"/>
      <c r="U229" s="41"/>
      <c r="V229" s="41"/>
      <c r="W229" s="18"/>
      <c r="X229" s="61"/>
      <c r="Y229" s="18"/>
      <c r="Z229" s="62"/>
      <c r="AA229" s="62"/>
      <c r="AB229" s="62"/>
      <c r="AC229" s="62"/>
      <c r="AD229" s="62"/>
      <c r="AE229" s="62"/>
      <c r="AF229" s="62"/>
      <c r="AG229" s="62"/>
      <c r="AH229" s="62"/>
      <c r="AI229" s="62"/>
      <c r="AJ229" s="62"/>
      <c r="AK229" s="62"/>
      <c r="AL229" s="62"/>
      <c r="AM229" s="62"/>
      <c r="AN229" s="62"/>
      <c r="AO229" s="62"/>
      <c r="AP229" s="62"/>
      <c r="AQ229" s="62"/>
      <c r="AR229" s="62"/>
      <c r="AS229" s="62"/>
      <c r="AT229" s="62"/>
      <c r="AU229" s="62"/>
      <c r="AV229" s="62"/>
      <c r="AW229" s="62"/>
      <c r="AX229" s="62"/>
      <c r="AY229" s="62"/>
      <c r="AZ229" s="18"/>
    </row>
    <row r="230" spans="1:52" s="16" customFormat="1" ht="79.95" customHeight="1" x14ac:dyDescent="0.3">
      <c r="A230" s="40">
        <v>226</v>
      </c>
      <c r="B230" s="126"/>
      <c r="C230" s="123" t="s">
        <v>943</v>
      </c>
      <c r="D230" s="119" t="s">
        <v>650</v>
      </c>
      <c r="E230" s="119" t="s">
        <v>655</v>
      </c>
      <c r="F230" s="52"/>
      <c r="G230" s="128"/>
      <c r="H230" s="119" t="s">
        <v>659</v>
      </c>
      <c r="I230" s="43"/>
      <c r="J230" s="128"/>
      <c r="K230" s="128"/>
      <c r="L230" s="128"/>
      <c r="M230" s="128"/>
      <c r="N230" s="128"/>
      <c r="O230" s="128"/>
      <c r="P230" s="128"/>
      <c r="Q230" s="119" t="s">
        <v>485</v>
      </c>
      <c r="R230" s="41"/>
      <c r="S230" s="61"/>
      <c r="T230" s="41"/>
      <c r="U230" s="41"/>
      <c r="V230" s="41"/>
      <c r="W230" s="18"/>
      <c r="X230" s="61"/>
      <c r="Y230" s="18"/>
      <c r="Z230" s="62"/>
      <c r="AA230" s="62"/>
      <c r="AB230" s="62"/>
      <c r="AC230" s="62"/>
      <c r="AD230" s="62"/>
      <c r="AE230" s="62"/>
      <c r="AF230" s="62"/>
      <c r="AG230" s="62"/>
      <c r="AH230" s="62"/>
      <c r="AI230" s="62"/>
      <c r="AJ230" s="62"/>
      <c r="AK230" s="62"/>
      <c r="AL230" s="62"/>
      <c r="AM230" s="62"/>
      <c r="AN230" s="62"/>
      <c r="AO230" s="62"/>
      <c r="AP230" s="62"/>
      <c r="AQ230" s="62"/>
      <c r="AR230" s="62"/>
      <c r="AS230" s="62"/>
      <c r="AT230" s="62"/>
      <c r="AU230" s="62"/>
      <c r="AV230" s="62"/>
      <c r="AW230" s="62"/>
      <c r="AX230" s="62"/>
      <c r="AY230" s="62"/>
      <c r="AZ230" s="18"/>
    </row>
    <row r="231" spans="1:52" s="16" customFormat="1" ht="79.95" customHeight="1" x14ac:dyDescent="0.3">
      <c r="A231" s="40">
        <v>227</v>
      </c>
      <c r="B231" s="126"/>
      <c r="C231" s="123" t="s">
        <v>943</v>
      </c>
      <c r="D231" s="119" t="s">
        <v>650</v>
      </c>
      <c r="E231" s="119" t="s">
        <v>662</v>
      </c>
      <c r="F231" s="52"/>
      <c r="G231" s="128"/>
      <c r="H231" s="119" t="s">
        <v>663</v>
      </c>
      <c r="I231" s="134"/>
      <c r="J231" s="128"/>
      <c r="K231" s="128"/>
      <c r="L231" s="128"/>
      <c r="M231" s="128"/>
      <c r="N231" s="128"/>
      <c r="O231" s="128"/>
      <c r="P231" s="128"/>
      <c r="Q231" s="119" t="s">
        <v>485</v>
      </c>
      <c r="R231" s="41"/>
      <c r="S231" s="61"/>
      <c r="T231" s="41"/>
      <c r="U231" s="41"/>
      <c r="V231" s="41"/>
      <c r="W231" s="18"/>
      <c r="X231" s="61"/>
      <c r="Y231" s="18"/>
      <c r="Z231" s="62"/>
      <c r="AA231" s="62"/>
      <c r="AB231" s="62"/>
      <c r="AC231" s="62"/>
      <c r="AD231" s="62"/>
      <c r="AE231" s="62"/>
      <c r="AF231" s="62"/>
      <c r="AG231" s="62"/>
      <c r="AH231" s="62"/>
      <c r="AI231" s="62"/>
      <c r="AJ231" s="62"/>
      <c r="AK231" s="62"/>
      <c r="AL231" s="62"/>
      <c r="AM231" s="62"/>
      <c r="AN231" s="62"/>
      <c r="AO231" s="62"/>
      <c r="AP231" s="62"/>
      <c r="AQ231" s="62"/>
      <c r="AR231" s="62"/>
      <c r="AS231" s="62"/>
      <c r="AT231" s="62"/>
      <c r="AU231" s="62"/>
      <c r="AV231" s="62"/>
      <c r="AW231" s="62"/>
      <c r="AX231" s="62"/>
      <c r="AY231" s="62"/>
      <c r="AZ231" s="18"/>
    </row>
    <row r="232" spans="1:52" s="16" customFormat="1" ht="79.95" customHeight="1" x14ac:dyDescent="0.3">
      <c r="A232" s="40">
        <v>228</v>
      </c>
      <c r="B232" s="126"/>
      <c r="C232" s="123" t="s">
        <v>836</v>
      </c>
      <c r="D232" s="119" t="s">
        <v>665</v>
      </c>
      <c r="E232" s="119" t="s">
        <v>666</v>
      </c>
      <c r="F232" s="52"/>
      <c r="G232" s="128"/>
      <c r="H232" s="119" t="s">
        <v>667</v>
      </c>
      <c r="I232" s="134"/>
      <c r="J232" s="128"/>
      <c r="K232" s="128"/>
      <c r="L232" s="128"/>
      <c r="M232" s="128"/>
      <c r="N232" s="128"/>
      <c r="O232" s="128"/>
      <c r="P232" s="128"/>
      <c r="Q232" s="119" t="s">
        <v>485</v>
      </c>
      <c r="R232" s="41"/>
      <c r="S232" s="61"/>
      <c r="T232" s="41"/>
      <c r="U232" s="41"/>
      <c r="V232" s="41"/>
      <c r="W232" s="18"/>
      <c r="X232" s="61"/>
      <c r="Y232" s="18"/>
      <c r="Z232" s="62"/>
      <c r="AA232" s="62"/>
      <c r="AB232" s="62"/>
      <c r="AC232" s="62"/>
      <c r="AD232" s="62"/>
      <c r="AE232" s="62"/>
      <c r="AF232" s="62"/>
      <c r="AG232" s="62"/>
      <c r="AH232" s="62"/>
      <c r="AI232" s="62"/>
      <c r="AJ232" s="62"/>
      <c r="AK232" s="62"/>
      <c r="AL232" s="62"/>
      <c r="AM232" s="62"/>
      <c r="AN232" s="62"/>
      <c r="AO232" s="62"/>
      <c r="AP232" s="62"/>
      <c r="AQ232" s="62"/>
      <c r="AR232" s="62"/>
      <c r="AS232" s="62"/>
      <c r="AT232" s="62"/>
      <c r="AU232" s="62"/>
      <c r="AV232" s="62"/>
      <c r="AW232" s="62"/>
      <c r="AX232" s="62"/>
      <c r="AY232" s="62"/>
      <c r="AZ232" s="18"/>
    </row>
    <row r="233" spans="1:52" s="16" customFormat="1" ht="79.95" customHeight="1" x14ac:dyDescent="0.3">
      <c r="A233" s="40">
        <v>229</v>
      </c>
      <c r="B233" s="126"/>
      <c r="C233" s="123" t="s">
        <v>438</v>
      </c>
      <c r="D233" s="119" t="s">
        <v>519</v>
      </c>
      <c r="E233" s="119" t="s">
        <v>520</v>
      </c>
      <c r="F233" s="52"/>
      <c r="G233" s="128"/>
      <c r="H233" s="119" t="s">
        <v>521</v>
      </c>
      <c r="I233" s="134"/>
      <c r="J233" s="128"/>
      <c r="K233" s="128"/>
      <c r="L233" s="128"/>
      <c r="M233" s="128"/>
      <c r="N233" s="128"/>
      <c r="O233" s="128"/>
      <c r="P233" s="128"/>
      <c r="Q233" s="119" t="s">
        <v>485</v>
      </c>
      <c r="R233" s="41"/>
      <c r="S233" s="61"/>
      <c r="T233" s="41"/>
      <c r="U233" s="41"/>
      <c r="V233" s="41"/>
      <c r="W233" s="18"/>
      <c r="X233" s="61"/>
      <c r="Y233" s="18"/>
      <c r="Z233" s="62"/>
      <c r="AA233" s="62"/>
      <c r="AB233" s="62"/>
      <c r="AC233" s="62"/>
      <c r="AD233" s="62"/>
      <c r="AE233" s="62"/>
      <c r="AF233" s="62"/>
      <c r="AG233" s="62"/>
      <c r="AH233" s="62"/>
      <c r="AI233" s="62"/>
      <c r="AJ233" s="62"/>
      <c r="AK233" s="62"/>
      <c r="AL233" s="62"/>
      <c r="AM233" s="62"/>
      <c r="AN233" s="62"/>
      <c r="AO233" s="62"/>
      <c r="AP233" s="62"/>
      <c r="AQ233" s="62"/>
      <c r="AR233" s="62"/>
      <c r="AS233" s="62"/>
      <c r="AT233" s="62"/>
      <c r="AU233" s="62"/>
      <c r="AV233" s="62"/>
      <c r="AW233" s="62"/>
      <c r="AX233" s="62"/>
      <c r="AY233" s="62"/>
      <c r="AZ233" s="18"/>
    </row>
    <row r="234" spans="1:52" s="16" customFormat="1" ht="79.95" customHeight="1" x14ac:dyDescent="0.3">
      <c r="A234" s="40">
        <v>230</v>
      </c>
      <c r="B234" s="126"/>
      <c r="C234" s="123" t="s">
        <v>438</v>
      </c>
      <c r="D234" s="119" t="s">
        <v>519</v>
      </c>
      <c r="E234" s="119" t="s">
        <v>520</v>
      </c>
      <c r="F234" s="52"/>
      <c r="G234" s="128"/>
      <c r="H234" s="119" t="s">
        <v>527</v>
      </c>
      <c r="I234" s="134"/>
      <c r="J234" s="128"/>
      <c r="K234" s="128"/>
      <c r="L234" s="128"/>
      <c r="M234" s="128"/>
      <c r="N234" s="128"/>
      <c r="O234" s="128"/>
      <c r="P234" s="128"/>
      <c r="Q234" s="119" t="s">
        <v>485</v>
      </c>
      <c r="R234" s="41"/>
      <c r="S234" s="61"/>
      <c r="T234" s="41"/>
      <c r="U234" s="41"/>
      <c r="V234" s="41"/>
      <c r="W234" s="18"/>
      <c r="X234" s="61"/>
      <c r="Y234" s="18"/>
      <c r="Z234" s="62"/>
      <c r="AA234" s="62"/>
      <c r="AB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c r="AX234" s="62"/>
      <c r="AY234" s="62"/>
      <c r="AZ234" s="18"/>
    </row>
    <row r="235" spans="1:52" s="65" customFormat="1" ht="79.95" customHeight="1" x14ac:dyDescent="0.3">
      <c r="A235" s="40">
        <v>231</v>
      </c>
      <c r="B235" s="126"/>
      <c r="C235" s="123" t="s">
        <v>950</v>
      </c>
      <c r="D235" s="119" t="s">
        <v>535</v>
      </c>
      <c r="E235" s="119" t="s">
        <v>536</v>
      </c>
      <c r="F235" s="52"/>
      <c r="G235" s="128"/>
      <c r="H235" s="119" t="s">
        <v>537</v>
      </c>
      <c r="I235" s="134"/>
      <c r="J235" s="128"/>
      <c r="K235" s="128"/>
      <c r="L235" s="128"/>
      <c r="M235" s="128"/>
      <c r="N235" s="128"/>
      <c r="O235" s="128"/>
      <c r="P235" s="128"/>
      <c r="Q235" s="119" t="s">
        <v>485</v>
      </c>
      <c r="R235" s="41"/>
      <c r="S235" s="61"/>
      <c r="T235" s="41"/>
      <c r="U235" s="41"/>
      <c r="V235" s="41"/>
      <c r="W235" s="18"/>
      <c r="X235" s="61"/>
      <c r="Y235" s="18"/>
      <c r="Z235" s="62"/>
      <c r="AA235" s="62"/>
      <c r="AB235" s="62"/>
      <c r="AC235" s="62"/>
      <c r="AD235" s="62"/>
      <c r="AE235" s="62"/>
      <c r="AF235" s="62"/>
      <c r="AG235" s="62"/>
      <c r="AH235" s="62"/>
      <c r="AI235" s="62"/>
      <c r="AJ235" s="62"/>
      <c r="AK235" s="62"/>
      <c r="AL235" s="62"/>
      <c r="AM235" s="62"/>
      <c r="AN235" s="62"/>
      <c r="AO235" s="62"/>
      <c r="AP235" s="62"/>
      <c r="AQ235" s="62"/>
      <c r="AR235" s="62"/>
      <c r="AS235" s="62"/>
      <c r="AT235" s="62"/>
      <c r="AU235" s="62"/>
      <c r="AV235" s="62"/>
      <c r="AW235" s="62"/>
      <c r="AX235" s="62"/>
      <c r="AY235" s="62"/>
      <c r="AZ235" s="18"/>
    </row>
    <row r="236" spans="1:52" s="16" customFormat="1" ht="79.95" customHeight="1" x14ac:dyDescent="0.3">
      <c r="A236" s="40">
        <v>232</v>
      </c>
      <c r="B236" s="126"/>
      <c r="C236" s="123" t="s">
        <v>438</v>
      </c>
      <c r="D236" s="119"/>
      <c r="E236" s="119" t="s">
        <v>546</v>
      </c>
      <c r="F236" s="52"/>
      <c r="G236" s="135"/>
      <c r="H236" s="119" t="s">
        <v>547</v>
      </c>
      <c r="I236" s="52"/>
      <c r="J236" s="52"/>
      <c r="K236" s="135"/>
      <c r="L236" s="135"/>
      <c r="M236" s="135"/>
      <c r="N236" s="135"/>
      <c r="O236" s="135"/>
      <c r="P236" s="135"/>
      <c r="Q236" s="119" t="s">
        <v>485</v>
      </c>
      <c r="R236" s="18"/>
      <c r="S236" s="61"/>
      <c r="T236" s="18"/>
      <c r="U236" s="18"/>
      <c r="V236" s="18"/>
      <c r="W236" s="18"/>
      <c r="X236" s="61"/>
      <c r="Y236" s="18"/>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8"/>
    </row>
    <row r="237" spans="1:52" s="16" customFormat="1" ht="79.95" customHeight="1" x14ac:dyDescent="0.3">
      <c r="A237" s="40">
        <v>233</v>
      </c>
      <c r="B237" s="126"/>
      <c r="C237" s="123" t="s">
        <v>438</v>
      </c>
      <c r="D237" s="119" t="s">
        <v>553</v>
      </c>
      <c r="E237" s="119" t="s">
        <v>554</v>
      </c>
      <c r="F237" s="52"/>
      <c r="G237" s="135"/>
      <c r="H237" s="119" t="s">
        <v>555</v>
      </c>
      <c r="I237" s="52"/>
      <c r="J237" s="52"/>
      <c r="K237" s="135"/>
      <c r="L237" s="135"/>
      <c r="M237" s="135"/>
      <c r="N237" s="135"/>
      <c r="O237" s="135"/>
      <c r="P237" s="135"/>
      <c r="Q237" s="119" t="s">
        <v>485</v>
      </c>
      <c r="R237" s="18"/>
      <c r="S237" s="61"/>
      <c r="T237" s="18"/>
      <c r="U237" s="18"/>
      <c r="V237" s="18"/>
      <c r="W237" s="18"/>
      <c r="X237" s="61"/>
      <c r="Y237" s="18"/>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8"/>
    </row>
    <row r="238" spans="1:52" s="16" customFormat="1" ht="79.95" customHeight="1" x14ac:dyDescent="0.3">
      <c r="A238" s="40">
        <v>234</v>
      </c>
      <c r="B238" s="126"/>
      <c r="C238" s="123" t="s">
        <v>438</v>
      </c>
      <c r="D238" s="119" t="s">
        <v>561</v>
      </c>
      <c r="E238" s="119" t="s">
        <v>562</v>
      </c>
      <c r="F238" s="52"/>
      <c r="G238" s="135"/>
      <c r="H238" s="119" t="s">
        <v>563</v>
      </c>
      <c r="I238" s="52"/>
      <c r="J238" s="52"/>
      <c r="K238" s="135"/>
      <c r="L238" s="135"/>
      <c r="M238" s="135"/>
      <c r="N238" s="135"/>
      <c r="O238" s="135"/>
      <c r="P238" s="135"/>
      <c r="Q238" s="119" t="s">
        <v>485</v>
      </c>
      <c r="R238" s="18"/>
      <c r="S238" s="61"/>
      <c r="T238" s="18"/>
      <c r="U238" s="18"/>
      <c r="V238" s="18"/>
      <c r="W238" s="18"/>
      <c r="X238" s="61"/>
      <c r="Y238" s="18"/>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8"/>
    </row>
    <row r="239" spans="1:52" s="16" customFormat="1" ht="79.95" customHeight="1" x14ac:dyDescent="0.3">
      <c r="A239" s="40">
        <v>235</v>
      </c>
      <c r="B239" s="126"/>
      <c r="C239" s="123" t="s">
        <v>953</v>
      </c>
      <c r="D239" s="246" t="s">
        <v>568</v>
      </c>
      <c r="E239" s="264" t="s">
        <v>570</v>
      </c>
      <c r="F239" s="52"/>
      <c r="G239" s="135"/>
      <c r="H239" s="119" t="s">
        <v>573</v>
      </c>
      <c r="I239" s="52"/>
      <c r="J239" s="52"/>
      <c r="K239" s="135"/>
      <c r="L239" s="135"/>
      <c r="M239" s="135"/>
      <c r="N239" s="135"/>
      <c r="O239" s="135"/>
      <c r="P239" s="135"/>
      <c r="Q239" s="119" t="s">
        <v>485</v>
      </c>
      <c r="R239" s="18"/>
      <c r="S239" s="282" t="s">
        <v>518</v>
      </c>
      <c r="T239" s="18"/>
      <c r="U239" s="18"/>
      <c r="V239" s="18"/>
      <c r="W239" s="18"/>
      <c r="X239" s="61">
        <v>813</v>
      </c>
      <c r="Y239" s="18"/>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8"/>
    </row>
    <row r="240" spans="1:52" s="16" customFormat="1" ht="79.95" customHeight="1" x14ac:dyDescent="0.3">
      <c r="A240" s="40">
        <v>236</v>
      </c>
      <c r="B240" s="126"/>
      <c r="C240" s="123" t="s">
        <v>953</v>
      </c>
      <c r="D240" s="247"/>
      <c r="E240" s="265"/>
      <c r="F240" s="52"/>
      <c r="G240" s="135"/>
      <c r="H240" s="119" t="s">
        <v>576</v>
      </c>
      <c r="I240" s="52"/>
      <c r="J240" s="52"/>
      <c r="K240" s="135"/>
      <c r="L240" s="135"/>
      <c r="M240" s="135"/>
      <c r="N240" s="135"/>
      <c r="O240" s="135"/>
      <c r="P240" s="135"/>
      <c r="Q240" s="119" t="s">
        <v>485</v>
      </c>
      <c r="R240" s="18"/>
      <c r="S240" s="283"/>
      <c r="T240" s="18"/>
      <c r="U240" s="18"/>
      <c r="V240" s="18"/>
      <c r="W240" s="18"/>
      <c r="X240" s="61">
        <v>902</v>
      </c>
      <c r="Y240" s="18"/>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8"/>
    </row>
    <row r="241" spans="1:52" s="16" customFormat="1" ht="79.95" customHeight="1" x14ac:dyDescent="0.3">
      <c r="A241" s="40">
        <v>237</v>
      </c>
      <c r="B241" s="126"/>
      <c r="C241" s="123" t="s">
        <v>953</v>
      </c>
      <c r="D241" s="248"/>
      <c r="E241" s="266"/>
      <c r="F241" s="52"/>
      <c r="G241" s="135"/>
      <c r="H241" s="119" t="s">
        <v>584</v>
      </c>
      <c r="I241" s="52"/>
      <c r="J241" s="52"/>
      <c r="K241" s="135"/>
      <c r="L241" s="135"/>
      <c r="M241" s="135"/>
      <c r="N241" s="135"/>
      <c r="O241" s="135"/>
      <c r="P241" s="135"/>
      <c r="Q241" s="119" t="s">
        <v>485</v>
      </c>
      <c r="R241" s="18"/>
      <c r="S241" s="284"/>
      <c r="T241" s="18"/>
      <c r="U241" s="18"/>
      <c r="V241" s="18"/>
      <c r="W241" s="18"/>
      <c r="X241" s="61">
        <v>896</v>
      </c>
      <c r="Y241" s="18"/>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8"/>
    </row>
    <row r="242" spans="1:52" s="16" customFormat="1" ht="79.95" customHeight="1" x14ac:dyDescent="0.3">
      <c r="A242" s="40">
        <v>238</v>
      </c>
      <c r="B242" s="126"/>
      <c r="C242" s="123" t="s">
        <v>953</v>
      </c>
      <c r="D242" s="249"/>
      <c r="E242" s="267"/>
      <c r="F242" s="52"/>
      <c r="G242" s="135"/>
      <c r="H242" s="119" t="s">
        <v>591</v>
      </c>
      <c r="I242" s="52"/>
      <c r="J242" s="52"/>
      <c r="K242" s="135"/>
      <c r="L242" s="135"/>
      <c r="M242" s="135"/>
      <c r="N242" s="135"/>
      <c r="O242" s="135"/>
      <c r="P242" s="135"/>
      <c r="Q242" s="119" t="s">
        <v>485</v>
      </c>
      <c r="R242" s="18"/>
      <c r="S242" s="285"/>
      <c r="T242" s="18"/>
      <c r="U242" s="18"/>
      <c r="V242" s="18"/>
      <c r="W242" s="18"/>
      <c r="X242" s="61">
        <v>635</v>
      </c>
      <c r="Y242" s="18"/>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8"/>
    </row>
    <row r="243" spans="1:52" s="16" customFormat="1" ht="79.95" customHeight="1" x14ac:dyDescent="0.3">
      <c r="A243" s="40">
        <v>239</v>
      </c>
      <c r="B243" s="126"/>
      <c r="C243" s="123" t="s">
        <v>953</v>
      </c>
      <c r="D243" s="250"/>
      <c r="E243" s="268"/>
      <c r="F243" s="52"/>
      <c r="G243" s="135"/>
      <c r="H243" s="119" t="s">
        <v>599</v>
      </c>
      <c r="I243" s="52"/>
      <c r="J243" s="52"/>
      <c r="K243" s="135"/>
      <c r="L243" s="135"/>
      <c r="M243" s="135"/>
      <c r="N243" s="135"/>
      <c r="O243" s="135"/>
      <c r="P243" s="135"/>
      <c r="Q243" s="119" t="s">
        <v>485</v>
      </c>
      <c r="R243" s="18"/>
      <c r="S243" s="286"/>
      <c r="T243" s="18"/>
      <c r="U243" s="18"/>
      <c r="V243" s="18"/>
      <c r="W243" s="18"/>
      <c r="X243" s="61">
        <v>742</v>
      </c>
      <c r="Y243" s="18"/>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8"/>
    </row>
    <row r="244" spans="1:52" s="16" customFormat="1" ht="79.95" customHeight="1" x14ac:dyDescent="0.3">
      <c r="A244" s="40">
        <v>240</v>
      </c>
      <c r="B244" s="126"/>
      <c r="C244" s="123" t="s">
        <v>953</v>
      </c>
      <c r="D244" s="251"/>
      <c r="E244" s="269"/>
      <c r="F244" s="52"/>
      <c r="G244" s="135"/>
      <c r="H244" s="119" t="s">
        <v>605</v>
      </c>
      <c r="I244" s="52"/>
      <c r="J244" s="52"/>
      <c r="K244" s="135"/>
      <c r="L244" s="135"/>
      <c r="M244" s="135"/>
      <c r="N244" s="135"/>
      <c r="O244" s="135"/>
      <c r="P244" s="135"/>
      <c r="Q244" s="119" t="s">
        <v>485</v>
      </c>
      <c r="R244" s="18"/>
      <c r="S244" s="287"/>
      <c r="T244" s="18"/>
      <c r="U244" s="18"/>
      <c r="V244" s="18"/>
      <c r="W244" s="18"/>
      <c r="X244" s="61">
        <v>671</v>
      </c>
      <c r="Y244" s="18"/>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8"/>
    </row>
    <row r="245" spans="1:52" s="16" customFormat="1" ht="79.95" customHeight="1" x14ac:dyDescent="0.3">
      <c r="A245" s="40">
        <v>241</v>
      </c>
      <c r="B245" s="126"/>
      <c r="C245" s="123" t="s">
        <v>953</v>
      </c>
      <c r="D245" s="252"/>
      <c r="E245" s="270"/>
      <c r="F245" s="52"/>
      <c r="G245" s="135"/>
      <c r="H245" s="119" t="s">
        <v>608</v>
      </c>
      <c r="I245" s="52"/>
      <c r="J245" s="52"/>
      <c r="K245" s="135"/>
      <c r="L245" s="135"/>
      <c r="M245" s="135"/>
      <c r="N245" s="135"/>
      <c r="O245" s="135"/>
      <c r="P245" s="135"/>
      <c r="Q245" s="119" t="s">
        <v>485</v>
      </c>
      <c r="R245" s="18"/>
      <c r="S245" s="288"/>
      <c r="T245" s="18"/>
      <c r="U245" s="18"/>
      <c r="V245" s="18"/>
      <c r="W245" s="18"/>
      <c r="X245" s="61">
        <v>647</v>
      </c>
      <c r="Y245" s="18"/>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8"/>
    </row>
    <row r="246" spans="1:52" s="16" customFormat="1" ht="79.95" customHeight="1" x14ac:dyDescent="0.3">
      <c r="A246" s="40">
        <v>242</v>
      </c>
      <c r="B246" s="126"/>
      <c r="C246" s="123" t="s">
        <v>953</v>
      </c>
      <c r="D246" s="253"/>
      <c r="E246" s="271"/>
      <c r="F246" s="52"/>
      <c r="G246" s="135"/>
      <c r="H246" s="119" t="s">
        <v>613</v>
      </c>
      <c r="I246" s="52"/>
      <c r="J246" s="52"/>
      <c r="K246" s="135"/>
      <c r="L246" s="135"/>
      <c r="M246" s="135"/>
      <c r="N246" s="135"/>
      <c r="O246" s="135"/>
      <c r="P246" s="135"/>
      <c r="Q246" s="119" t="s">
        <v>485</v>
      </c>
      <c r="R246" s="18"/>
      <c r="S246" s="289"/>
      <c r="T246" s="18"/>
      <c r="U246" s="18"/>
      <c r="V246" s="18"/>
      <c r="W246" s="18"/>
      <c r="X246" s="61">
        <v>761</v>
      </c>
      <c r="Y246" s="18"/>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8"/>
    </row>
    <row r="247" spans="1:52" s="16" customFormat="1" ht="79.95" customHeight="1" x14ac:dyDescent="0.3">
      <c r="A247" s="40">
        <v>243</v>
      </c>
      <c r="B247" s="126"/>
      <c r="C247" s="123" t="s">
        <v>953</v>
      </c>
      <c r="D247" s="254"/>
      <c r="E247" s="272"/>
      <c r="F247" s="52"/>
      <c r="G247" s="135"/>
      <c r="H247" s="119" t="s">
        <v>617</v>
      </c>
      <c r="I247" s="52"/>
      <c r="J247" s="52"/>
      <c r="K247" s="135"/>
      <c r="L247" s="135"/>
      <c r="M247" s="135"/>
      <c r="N247" s="135"/>
      <c r="O247" s="135"/>
      <c r="P247" s="135"/>
      <c r="Q247" s="119" t="s">
        <v>485</v>
      </c>
      <c r="R247" s="18"/>
      <c r="S247" s="290"/>
      <c r="T247" s="18"/>
      <c r="U247" s="18"/>
      <c r="V247" s="18"/>
      <c r="W247" s="18"/>
      <c r="X247" s="61">
        <v>554</v>
      </c>
      <c r="Y247" s="18"/>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8"/>
    </row>
    <row r="248" spans="1:52" s="16" customFormat="1" ht="79.95" customHeight="1" x14ac:dyDescent="0.3">
      <c r="A248" s="40">
        <v>244</v>
      </c>
      <c r="B248" s="126"/>
      <c r="C248" s="123" t="s">
        <v>953</v>
      </c>
      <c r="D248" s="255"/>
      <c r="E248" s="273"/>
      <c r="F248" s="52"/>
      <c r="G248" s="135"/>
      <c r="H248" s="119" t="s">
        <v>622</v>
      </c>
      <c r="I248" s="52"/>
      <c r="J248" s="52"/>
      <c r="K248" s="135"/>
      <c r="L248" s="135"/>
      <c r="M248" s="135"/>
      <c r="N248" s="135"/>
      <c r="O248" s="135"/>
      <c r="P248" s="135"/>
      <c r="Q248" s="119" t="s">
        <v>485</v>
      </c>
      <c r="R248" s="18"/>
      <c r="S248" s="291"/>
      <c r="T248" s="18"/>
      <c r="U248" s="18"/>
      <c r="V248" s="18"/>
      <c r="W248" s="18"/>
      <c r="X248" s="61">
        <v>461</v>
      </c>
      <c r="Y248" s="18"/>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8"/>
    </row>
    <row r="249" spans="1:52" s="16" customFormat="1" ht="79.95" customHeight="1" x14ac:dyDescent="0.3">
      <c r="A249" s="40">
        <v>245</v>
      </c>
      <c r="B249" s="126"/>
      <c r="C249" s="123" t="s">
        <v>953</v>
      </c>
      <c r="D249" s="256"/>
      <c r="E249" s="274"/>
      <c r="F249" s="52"/>
      <c r="G249" s="135"/>
      <c r="H249" s="119" t="s">
        <v>627</v>
      </c>
      <c r="I249" s="52"/>
      <c r="J249" s="52"/>
      <c r="K249" s="135"/>
      <c r="L249" s="135"/>
      <c r="M249" s="135"/>
      <c r="N249" s="135"/>
      <c r="O249" s="135"/>
      <c r="P249" s="135"/>
      <c r="Q249" s="119" t="s">
        <v>485</v>
      </c>
      <c r="R249" s="18"/>
      <c r="S249" s="292"/>
      <c r="T249" s="18"/>
      <c r="U249" s="18"/>
      <c r="V249" s="18"/>
      <c r="W249" s="18"/>
      <c r="X249" s="61">
        <v>481</v>
      </c>
      <c r="Y249" s="18"/>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8"/>
    </row>
    <row r="250" spans="1:52" s="16" customFormat="1" ht="79.95" customHeight="1" x14ac:dyDescent="0.3">
      <c r="A250" s="40">
        <v>246</v>
      </c>
      <c r="B250" s="126"/>
      <c r="C250" s="123" t="s">
        <v>953</v>
      </c>
      <c r="D250" s="257"/>
      <c r="E250" s="275"/>
      <c r="F250" s="52"/>
      <c r="G250" s="135"/>
      <c r="H250" s="119" t="s">
        <v>627</v>
      </c>
      <c r="I250" s="52"/>
      <c r="J250" s="52"/>
      <c r="K250" s="135"/>
      <c r="L250" s="135"/>
      <c r="M250" s="135"/>
      <c r="N250" s="135"/>
      <c r="O250" s="135"/>
      <c r="P250" s="135"/>
      <c r="Q250" s="119" t="s">
        <v>485</v>
      </c>
      <c r="R250" s="18"/>
      <c r="S250" s="293"/>
      <c r="T250" s="18"/>
      <c r="U250" s="18"/>
      <c r="V250" s="18"/>
      <c r="W250" s="18"/>
      <c r="X250" s="61">
        <v>561</v>
      </c>
      <c r="Y250" s="18"/>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8"/>
    </row>
    <row r="251" spans="1:52" s="16" customFormat="1" ht="79.95" customHeight="1" x14ac:dyDescent="0.3">
      <c r="A251" s="40">
        <v>247</v>
      </c>
      <c r="B251" s="126"/>
      <c r="C251" s="123" t="s">
        <v>953</v>
      </c>
      <c r="D251" s="258"/>
      <c r="E251" s="276"/>
      <c r="F251" s="52"/>
      <c r="G251" s="135"/>
      <c r="H251" s="119" t="s">
        <v>636</v>
      </c>
      <c r="I251" s="52"/>
      <c r="J251" s="52"/>
      <c r="K251" s="135"/>
      <c r="L251" s="135"/>
      <c r="M251" s="135"/>
      <c r="N251" s="135"/>
      <c r="O251" s="135"/>
      <c r="P251" s="135"/>
      <c r="Q251" s="119" t="s">
        <v>485</v>
      </c>
      <c r="R251" s="18"/>
      <c r="S251" s="294"/>
      <c r="T251" s="18"/>
      <c r="U251" s="18"/>
      <c r="V251" s="18"/>
      <c r="W251" s="18"/>
      <c r="X251" s="61">
        <v>1342</v>
      </c>
      <c r="Y251" s="18"/>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8"/>
    </row>
    <row r="252" spans="1:52" s="16" customFormat="1" ht="79.95" customHeight="1" x14ac:dyDescent="0.3">
      <c r="A252" s="40">
        <v>248</v>
      </c>
      <c r="B252" s="126"/>
      <c r="C252" s="123" t="s">
        <v>953</v>
      </c>
      <c r="D252" s="259"/>
      <c r="E252" s="277"/>
      <c r="F252" s="52"/>
      <c r="G252" s="135"/>
      <c r="H252" s="119" t="s">
        <v>639</v>
      </c>
      <c r="I252" s="52"/>
      <c r="J252" s="52"/>
      <c r="K252" s="135"/>
      <c r="L252" s="135"/>
      <c r="M252" s="135"/>
      <c r="N252" s="135"/>
      <c r="O252" s="135"/>
      <c r="P252" s="135"/>
      <c r="Q252" s="119" t="s">
        <v>485</v>
      </c>
      <c r="R252" s="18"/>
      <c r="S252" s="295"/>
      <c r="T252" s="18"/>
      <c r="U252" s="18"/>
      <c r="V252" s="18"/>
      <c r="W252" s="18"/>
      <c r="X252" s="61">
        <v>742</v>
      </c>
      <c r="Y252" s="18"/>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8"/>
    </row>
    <row r="253" spans="1:52" s="16" customFormat="1" ht="79.95" customHeight="1" x14ac:dyDescent="0.3">
      <c r="A253" s="40">
        <v>249</v>
      </c>
      <c r="B253" s="126"/>
      <c r="C253" s="123" t="s">
        <v>953</v>
      </c>
      <c r="D253" s="260"/>
      <c r="E253" s="278"/>
      <c r="F253" s="52"/>
      <c r="G253" s="135"/>
      <c r="H253" s="119" t="s">
        <v>640</v>
      </c>
      <c r="I253" s="52"/>
      <c r="J253" s="52"/>
      <c r="K253" s="135"/>
      <c r="L253" s="135"/>
      <c r="M253" s="135"/>
      <c r="N253" s="135"/>
      <c r="O253" s="135"/>
      <c r="P253" s="135"/>
      <c r="Q253" s="119" t="s">
        <v>485</v>
      </c>
      <c r="R253" s="18"/>
      <c r="S253" s="296"/>
      <c r="T253" s="18"/>
      <c r="U253" s="18"/>
      <c r="V253" s="18"/>
      <c r="W253" s="18"/>
      <c r="X253" s="61">
        <v>434</v>
      </c>
      <c r="Y253" s="18"/>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8"/>
    </row>
    <row r="254" spans="1:52" s="16" customFormat="1" ht="79.95" customHeight="1" x14ac:dyDescent="0.3">
      <c r="A254" s="40">
        <v>250</v>
      </c>
      <c r="B254" s="126"/>
      <c r="C254" s="123" t="s">
        <v>953</v>
      </c>
      <c r="D254" s="261"/>
      <c r="E254" s="279"/>
      <c r="F254" s="52"/>
      <c r="G254" s="135"/>
      <c r="H254" s="119" t="s">
        <v>643</v>
      </c>
      <c r="I254" s="52"/>
      <c r="J254" s="52"/>
      <c r="K254" s="135"/>
      <c r="L254" s="135"/>
      <c r="M254" s="135"/>
      <c r="N254" s="135"/>
      <c r="O254" s="135"/>
      <c r="P254" s="135"/>
      <c r="Q254" s="119" t="s">
        <v>485</v>
      </c>
      <c r="R254" s="18"/>
      <c r="S254" s="297"/>
      <c r="T254" s="18"/>
      <c r="U254" s="18"/>
      <c r="V254" s="18"/>
      <c r="W254" s="18"/>
      <c r="X254" s="61">
        <v>441</v>
      </c>
      <c r="Y254" s="18"/>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8"/>
    </row>
    <row r="255" spans="1:52" s="16" customFormat="1" ht="79.95" customHeight="1" x14ac:dyDescent="0.3">
      <c r="A255" s="40">
        <v>251</v>
      </c>
      <c r="B255" s="126"/>
      <c r="C255" s="123" t="s">
        <v>953</v>
      </c>
      <c r="D255" s="262"/>
      <c r="E255" s="280"/>
      <c r="F255" s="52"/>
      <c r="G255" s="135"/>
      <c r="H255" s="119" t="s">
        <v>646</v>
      </c>
      <c r="I255" s="52"/>
      <c r="J255" s="52"/>
      <c r="K255" s="135"/>
      <c r="L255" s="135"/>
      <c r="M255" s="135"/>
      <c r="N255" s="135"/>
      <c r="O255" s="135"/>
      <c r="P255" s="135"/>
      <c r="Q255" s="119" t="s">
        <v>485</v>
      </c>
      <c r="R255" s="18"/>
      <c r="S255" s="298"/>
      <c r="T255" s="18"/>
      <c r="U255" s="18"/>
      <c r="V255" s="18"/>
      <c r="W255" s="18"/>
      <c r="X255" s="61">
        <v>541</v>
      </c>
      <c r="Y255" s="18"/>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8"/>
    </row>
    <row r="256" spans="1:52" s="16" customFormat="1" ht="79.95" customHeight="1" x14ac:dyDescent="0.3">
      <c r="A256" s="40">
        <v>252</v>
      </c>
      <c r="B256" s="126"/>
      <c r="C256" s="123" t="s">
        <v>953</v>
      </c>
      <c r="D256" s="263"/>
      <c r="E256" s="281"/>
      <c r="F256" s="52"/>
      <c r="G256" s="135"/>
      <c r="H256" s="119" t="s">
        <v>649</v>
      </c>
      <c r="I256" s="52"/>
      <c r="J256" s="52"/>
      <c r="K256" s="135"/>
      <c r="L256" s="135"/>
      <c r="M256" s="135"/>
      <c r="N256" s="135"/>
      <c r="O256" s="135"/>
      <c r="P256" s="135"/>
      <c r="Q256" s="119" t="s">
        <v>485</v>
      </c>
      <c r="R256" s="18"/>
      <c r="S256" s="299"/>
      <c r="T256" s="18"/>
      <c r="U256" s="18"/>
      <c r="V256" s="18"/>
      <c r="W256" s="18"/>
      <c r="X256" s="61">
        <v>724</v>
      </c>
      <c r="Y256" s="18"/>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8"/>
    </row>
    <row r="257" spans="1:52" s="16" customFormat="1" ht="79.95" customHeight="1" x14ac:dyDescent="0.3">
      <c r="A257" s="40">
        <v>253</v>
      </c>
      <c r="B257" s="126"/>
      <c r="C257" s="123" t="s">
        <v>483</v>
      </c>
      <c r="D257" s="119" t="s">
        <v>483</v>
      </c>
      <c r="E257" s="119" t="s">
        <v>653</v>
      </c>
      <c r="F257" s="52"/>
      <c r="G257" s="135"/>
      <c r="H257" s="119" t="s">
        <v>654</v>
      </c>
      <c r="I257" s="52"/>
      <c r="J257" s="52"/>
      <c r="K257" s="135"/>
      <c r="L257" s="135"/>
      <c r="M257" s="135"/>
      <c r="N257" s="135"/>
      <c r="O257" s="135"/>
      <c r="P257" s="135"/>
      <c r="Q257" s="119" t="s">
        <v>485</v>
      </c>
      <c r="R257" s="18"/>
      <c r="S257" s="61"/>
      <c r="T257" s="18"/>
      <c r="U257" s="18"/>
      <c r="V257" s="18"/>
      <c r="W257" s="18"/>
      <c r="X257" s="61">
        <v>505</v>
      </c>
      <c r="Y257" s="18"/>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8"/>
    </row>
    <row r="258" spans="1:52" s="16" customFormat="1" ht="79.95" customHeight="1" x14ac:dyDescent="0.3">
      <c r="A258" s="40">
        <v>254</v>
      </c>
      <c r="B258" s="126"/>
      <c r="C258" s="123" t="s">
        <v>483</v>
      </c>
      <c r="D258" s="119" t="s">
        <v>483</v>
      </c>
      <c r="E258" s="119" t="s">
        <v>657</v>
      </c>
      <c r="F258" s="52"/>
      <c r="G258" s="135"/>
      <c r="H258" s="119" t="s">
        <v>658</v>
      </c>
      <c r="I258" s="52"/>
      <c r="J258" s="52"/>
      <c r="K258" s="135"/>
      <c r="L258" s="135"/>
      <c r="M258" s="135"/>
      <c r="N258" s="135"/>
      <c r="O258" s="135"/>
      <c r="P258" s="135"/>
      <c r="Q258" s="119" t="s">
        <v>485</v>
      </c>
      <c r="R258" s="18"/>
      <c r="S258" s="61"/>
      <c r="T258" s="18"/>
      <c r="U258" s="18"/>
      <c r="V258" s="18"/>
      <c r="W258" s="18"/>
      <c r="X258" s="61">
        <v>760</v>
      </c>
      <c r="Y258" s="18"/>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8"/>
    </row>
    <row r="259" spans="1:52" s="16" customFormat="1" ht="79.95" customHeight="1" x14ac:dyDescent="0.3">
      <c r="A259" s="40">
        <v>255</v>
      </c>
      <c r="B259" s="126"/>
      <c r="C259" s="123" t="s">
        <v>483</v>
      </c>
      <c r="D259" s="119" t="s">
        <v>483</v>
      </c>
      <c r="E259" s="119" t="s">
        <v>660</v>
      </c>
      <c r="F259" s="52"/>
      <c r="G259" s="135"/>
      <c r="H259" s="119" t="s">
        <v>661</v>
      </c>
      <c r="I259" s="52"/>
      <c r="J259" s="52"/>
      <c r="K259" s="135"/>
      <c r="L259" s="135"/>
      <c r="M259" s="135"/>
      <c r="N259" s="135"/>
      <c r="O259" s="135"/>
      <c r="P259" s="135"/>
      <c r="Q259" s="119" t="s">
        <v>485</v>
      </c>
      <c r="R259" s="18"/>
      <c r="S259" s="61"/>
      <c r="T259" s="18"/>
      <c r="U259" s="18"/>
      <c r="V259" s="18"/>
      <c r="W259" s="18"/>
      <c r="X259" s="61">
        <v>683</v>
      </c>
      <c r="Y259" s="18"/>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8"/>
    </row>
    <row r="260" spans="1:52" s="16" customFormat="1" ht="79.95" customHeight="1" x14ac:dyDescent="0.3">
      <c r="A260" s="40">
        <v>256</v>
      </c>
      <c r="B260" s="126"/>
      <c r="C260" s="123" t="s">
        <v>529</v>
      </c>
      <c r="D260" s="119"/>
      <c r="E260" s="119"/>
      <c r="F260" s="52"/>
      <c r="G260" s="135"/>
      <c r="H260" s="119" t="s">
        <v>664</v>
      </c>
      <c r="I260" s="52"/>
      <c r="J260" s="52"/>
      <c r="K260" s="135"/>
      <c r="L260" s="135"/>
      <c r="M260" s="135"/>
      <c r="N260" s="135"/>
      <c r="O260" s="135"/>
      <c r="P260" s="135"/>
      <c r="Q260" s="119" t="s">
        <v>485</v>
      </c>
      <c r="R260" s="18"/>
      <c r="S260" s="61"/>
      <c r="T260" s="18"/>
      <c r="U260" s="18"/>
      <c r="V260" s="18"/>
      <c r="W260" s="18"/>
      <c r="X260" s="61"/>
      <c r="Y260" s="18"/>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8"/>
    </row>
    <row r="261" spans="1:52" s="16" customFormat="1" ht="79.95" customHeight="1" x14ac:dyDescent="0.3">
      <c r="A261" s="40">
        <v>257</v>
      </c>
      <c r="B261" s="126"/>
      <c r="C261" s="123" t="s">
        <v>529</v>
      </c>
      <c r="D261" s="119"/>
      <c r="E261" s="119"/>
      <c r="F261" s="52"/>
      <c r="G261" s="135"/>
      <c r="H261" s="119" t="s">
        <v>668</v>
      </c>
      <c r="I261" s="52"/>
      <c r="J261" s="52"/>
      <c r="K261" s="135"/>
      <c r="L261" s="135"/>
      <c r="M261" s="135"/>
      <c r="N261" s="135"/>
      <c r="O261" s="135"/>
      <c r="P261" s="135"/>
      <c r="Q261" s="119" t="s">
        <v>485</v>
      </c>
      <c r="R261" s="18"/>
      <c r="S261" s="61"/>
      <c r="T261" s="18"/>
      <c r="U261" s="18"/>
      <c r="V261" s="18"/>
      <c r="W261" s="18"/>
      <c r="X261" s="61"/>
      <c r="Y261" s="18"/>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8"/>
    </row>
    <row r="262" spans="1:52" s="16" customFormat="1" ht="79.95" customHeight="1" x14ac:dyDescent="0.3">
      <c r="A262" s="40">
        <v>258</v>
      </c>
      <c r="B262" s="126"/>
      <c r="C262" s="127" t="s">
        <v>285</v>
      </c>
      <c r="D262" s="52" t="s">
        <v>958</v>
      </c>
      <c r="E262" s="52"/>
      <c r="F262" s="52"/>
      <c r="G262" s="135"/>
      <c r="H262" s="119" t="s">
        <v>959</v>
      </c>
      <c r="I262" s="119" t="s">
        <v>960</v>
      </c>
      <c r="J262" s="52"/>
      <c r="K262" s="135"/>
      <c r="L262" s="135"/>
      <c r="M262" s="135"/>
      <c r="N262" s="135"/>
      <c r="O262" s="135"/>
      <c r="P262" s="135"/>
      <c r="Q262" s="119" t="s">
        <v>958</v>
      </c>
      <c r="R262" s="18"/>
      <c r="S262" s="18"/>
      <c r="T262" s="18"/>
      <c r="U262" s="18"/>
      <c r="V262" s="18"/>
      <c r="W262" s="18"/>
      <c r="X262" s="18"/>
      <c r="Y262" s="18">
        <v>2152</v>
      </c>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8"/>
    </row>
    <row r="263" spans="1:52" s="16" customFormat="1" ht="79.95" customHeight="1" x14ac:dyDescent="0.3">
      <c r="A263" s="40">
        <v>259</v>
      </c>
      <c r="B263" s="126"/>
      <c r="C263" s="123"/>
      <c r="D263" s="52" t="s">
        <v>958</v>
      </c>
      <c r="E263" s="52"/>
      <c r="F263" s="52"/>
      <c r="G263" s="135"/>
      <c r="H263" s="119" t="s">
        <v>961</v>
      </c>
      <c r="I263" s="119" t="s">
        <v>962</v>
      </c>
      <c r="J263" s="52"/>
      <c r="K263" s="135"/>
      <c r="L263" s="135"/>
      <c r="M263" s="135"/>
      <c r="N263" s="135"/>
      <c r="O263" s="135"/>
      <c r="P263" s="135"/>
      <c r="Q263" s="119" t="s">
        <v>958</v>
      </c>
      <c r="R263" s="18"/>
      <c r="S263" s="18"/>
      <c r="T263" s="18"/>
      <c r="U263" s="18"/>
      <c r="V263" s="18"/>
      <c r="W263" s="18"/>
      <c r="X263" s="18"/>
      <c r="Y263" s="18">
        <v>2152</v>
      </c>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8"/>
    </row>
    <row r="264" spans="1:52" s="16" customFormat="1" ht="79.95" customHeight="1" x14ac:dyDescent="0.3">
      <c r="A264" s="40">
        <v>260</v>
      </c>
      <c r="B264" s="126"/>
      <c r="C264" s="127" t="s">
        <v>285</v>
      </c>
      <c r="D264" s="52" t="s">
        <v>958</v>
      </c>
      <c r="E264" s="52"/>
      <c r="F264" s="52"/>
      <c r="G264" s="135"/>
      <c r="H264" s="119" t="s">
        <v>963</v>
      </c>
      <c r="I264" s="119" t="s">
        <v>964</v>
      </c>
      <c r="J264" s="52"/>
      <c r="K264" s="135"/>
      <c r="L264" s="135"/>
      <c r="M264" s="135"/>
      <c r="N264" s="135"/>
      <c r="O264" s="135"/>
      <c r="P264" s="135"/>
      <c r="Q264" s="119" t="s">
        <v>958</v>
      </c>
      <c r="R264" s="18"/>
      <c r="S264" s="18"/>
      <c r="T264" s="18"/>
      <c r="U264" s="18"/>
      <c r="V264" s="18"/>
      <c r="W264" s="18"/>
      <c r="X264" s="18"/>
      <c r="Y264" s="18">
        <v>2152</v>
      </c>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8"/>
    </row>
    <row r="265" spans="1:52" s="16" customFormat="1" ht="79.95" customHeight="1" x14ac:dyDescent="0.3">
      <c r="A265" s="40">
        <v>261</v>
      </c>
      <c r="B265" s="126"/>
      <c r="C265" s="127" t="s">
        <v>285</v>
      </c>
      <c r="D265" s="52" t="s">
        <v>958</v>
      </c>
      <c r="E265" s="52"/>
      <c r="F265" s="52"/>
      <c r="G265" s="135"/>
      <c r="H265" s="119" t="s">
        <v>965</v>
      </c>
      <c r="I265" s="119" t="s">
        <v>966</v>
      </c>
      <c r="J265" s="52"/>
      <c r="K265" s="135"/>
      <c r="L265" s="135"/>
      <c r="M265" s="135"/>
      <c r="N265" s="135"/>
      <c r="O265" s="135"/>
      <c r="P265" s="135"/>
      <c r="Q265" s="119" t="s">
        <v>958</v>
      </c>
      <c r="R265" s="18"/>
      <c r="S265" s="18"/>
      <c r="T265" s="18"/>
      <c r="U265" s="18"/>
      <c r="V265" s="18"/>
      <c r="W265" s="18"/>
      <c r="X265" s="18"/>
      <c r="Y265" s="18">
        <v>2152</v>
      </c>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8"/>
    </row>
    <row r="266" spans="1:52" s="16" customFormat="1" ht="79.95" customHeight="1" x14ac:dyDescent="0.3">
      <c r="A266" s="40">
        <v>262</v>
      </c>
      <c r="B266" s="126"/>
      <c r="C266" s="127" t="s">
        <v>285</v>
      </c>
      <c r="D266" s="52" t="s">
        <v>958</v>
      </c>
      <c r="E266" s="52"/>
      <c r="F266" s="52"/>
      <c r="G266" s="135"/>
      <c r="H266" s="119" t="s">
        <v>967</v>
      </c>
      <c r="I266" s="119" t="s">
        <v>968</v>
      </c>
      <c r="J266" s="52"/>
      <c r="K266" s="135"/>
      <c r="L266" s="135"/>
      <c r="M266" s="135"/>
      <c r="N266" s="135"/>
      <c r="O266" s="135"/>
      <c r="P266" s="135"/>
      <c r="Q266" s="119" t="s">
        <v>958</v>
      </c>
      <c r="R266" s="18"/>
      <c r="S266" s="18"/>
      <c r="T266" s="18"/>
      <c r="U266" s="18"/>
      <c r="V266" s="18"/>
      <c r="W266" s="18"/>
      <c r="X266" s="18"/>
      <c r="Y266" s="18">
        <v>2152</v>
      </c>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8"/>
    </row>
    <row r="267" spans="1:52" s="16" customFormat="1" ht="79.95" customHeight="1" x14ac:dyDescent="0.3">
      <c r="A267" s="40">
        <v>263</v>
      </c>
      <c r="B267" s="148"/>
      <c r="C267" s="149" t="s">
        <v>814</v>
      </c>
      <c r="D267" s="150" t="s">
        <v>108</v>
      </c>
      <c r="E267" s="150" t="s">
        <v>109</v>
      </c>
      <c r="F267" s="151" t="s">
        <v>110</v>
      </c>
      <c r="G267" s="152"/>
      <c r="H267" s="153" t="s">
        <v>111</v>
      </c>
      <c r="I267" s="154" t="s">
        <v>112</v>
      </c>
      <c r="J267" s="152" t="s">
        <v>113</v>
      </c>
      <c r="K267" s="152"/>
      <c r="L267" s="152"/>
      <c r="M267" s="152"/>
      <c r="N267" s="152"/>
      <c r="O267" s="152"/>
      <c r="P267" s="152"/>
      <c r="Q267" s="150" t="s">
        <v>108</v>
      </c>
      <c r="R267" s="150"/>
      <c r="S267" s="150"/>
      <c r="T267" s="150"/>
      <c r="U267" s="150"/>
      <c r="V267" s="150"/>
      <c r="W267" s="155"/>
      <c r="X267" s="156"/>
      <c r="Y267" s="155"/>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8"/>
    </row>
    <row r="268" spans="1:52" s="16" customFormat="1" ht="79.95" customHeight="1" x14ac:dyDescent="0.3">
      <c r="A268" s="40">
        <v>264</v>
      </c>
      <c r="B268" s="148"/>
      <c r="C268" s="149" t="s">
        <v>814</v>
      </c>
      <c r="D268" s="150" t="s">
        <v>108</v>
      </c>
      <c r="E268" s="150" t="s">
        <v>114</v>
      </c>
      <c r="F268" s="151" t="s">
        <v>110</v>
      </c>
      <c r="G268" s="152"/>
      <c r="H268" s="153" t="s">
        <v>115</v>
      </c>
      <c r="I268" s="154" t="s">
        <v>116</v>
      </c>
      <c r="J268" s="152" t="s">
        <v>113</v>
      </c>
      <c r="K268" s="152"/>
      <c r="L268" s="152"/>
      <c r="M268" s="152"/>
      <c r="N268" s="152"/>
      <c r="O268" s="152"/>
      <c r="P268" s="152"/>
      <c r="Q268" s="150" t="s">
        <v>108</v>
      </c>
      <c r="R268" s="150"/>
      <c r="S268" s="150"/>
      <c r="T268" s="150"/>
      <c r="U268" s="150"/>
      <c r="V268" s="150"/>
      <c r="W268" s="155"/>
      <c r="X268" s="156"/>
      <c r="Y268" s="155"/>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8"/>
    </row>
    <row r="269" spans="1:52" s="16" customFormat="1" ht="79.95" customHeight="1" x14ac:dyDescent="0.3">
      <c r="A269" s="40">
        <v>265</v>
      </c>
      <c r="B269" s="148"/>
      <c r="C269" s="149" t="s">
        <v>814</v>
      </c>
      <c r="D269" s="150" t="s">
        <v>108</v>
      </c>
      <c r="E269" s="150" t="s">
        <v>117</v>
      </c>
      <c r="F269" s="151" t="s">
        <v>110</v>
      </c>
      <c r="G269" s="152"/>
      <c r="H269" s="153" t="s">
        <v>118</v>
      </c>
      <c r="I269" s="154" t="s">
        <v>119</v>
      </c>
      <c r="J269" s="152" t="s">
        <v>113</v>
      </c>
      <c r="K269" s="152"/>
      <c r="L269" s="152"/>
      <c r="M269" s="152"/>
      <c r="N269" s="152"/>
      <c r="O269" s="152"/>
      <c r="P269" s="152"/>
      <c r="Q269" s="150" t="s">
        <v>108</v>
      </c>
      <c r="R269" s="150"/>
      <c r="S269" s="150"/>
      <c r="T269" s="150"/>
      <c r="U269" s="150"/>
      <c r="V269" s="150"/>
      <c r="W269" s="155"/>
      <c r="X269" s="156"/>
      <c r="Y269" s="155"/>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8"/>
    </row>
    <row r="270" spans="1:52" s="16" customFormat="1" ht="79.95" customHeight="1" x14ac:dyDescent="0.3">
      <c r="A270" s="40">
        <v>266</v>
      </c>
      <c r="B270" s="148"/>
      <c r="C270" s="149" t="s">
        <v>814</v>
      </c>
      <c r="D270" s="150" t="s">
        <v>108</v>
      </c>
      <c r="E270" s="150" t="s">
        <v>120</v>
      </c>
      <c r="F270" s="151" t="s">
        <v>110</v>
      </c>
      <c r="G270" s="152"/>
      <c r="H270" s="153" t="s">
        <v>121</v>
      </c>
      <c r="I270" s="154" t="s">
        <v>122</v>
      </c>
      <c r="J270" s="152" t="s">
        <v>113</v>
      </c>
      <c r="K270" s="152"/>
      <c r="L270" s="152"/>
      <c r="M270" s="152"/>
      <c r="N270" s="152"/>
      <c r="O270" s="152"/>
      <c r="P270" s="152"/>
      <c r="Q270" s="150" t="s">
        <v>108</v>
      </c>
      <c r="R270" s="150"/>
      <c r="S270" s="150"/>
      <c r="T270" s="150"/>
      <c r="U270" s="150"/>
      <c r="V270" s="150"/>
      <c r="W270" s="155"/>
      <c r="X270" s="156"/>
      <c r="Y270" s="155"/>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8"/>
    </row>
    <row r="271" spans="1:52" s="16" customFormat="1" ht="79.95" customHeight="1" x14ac:dyDescent="0.3">
      <c r="A271" s="40">
        <v>267</v>
      </c>
      <c r="B271" s="148"/>
      <c r="C271" s="149" t="s">
        <v>814</v>
      </c>
      <c r="D271" s="150" t="s">
        <v>108</v>
      </c>
      <c r="E271" s="150" t="s">
        <v>123</v>
      </c>
      <c r="F271" s="151" t="s">
        <v>110</v>
      </c>
      <c r="G271" s="152"/>
      <c r="H271" s="153" t="s">
        <v>124</v>
      </c>
      <c r="I271" s="154" t="s">
        <v>125</v>
      </c>
      <c r="J271" s="152" t="s">
        <v>113</v>
      </c>
      <c r="K271" s="152"/>
      <c r="L271" s="152"/>
      <c r="M271" s="152"/>
      <c r="N271" s="152"/>
      <c r="O271" s="152"/>
      <c r="P271" s="152"/>
      <c r="Q271" s="150" t="s">
        <v>108</v>
      </c>
      <c r="R271" s="150"/>
      <c r="S271" s="150"/>
      <c r="T271" s="150"/>
      <c r="U271" s="150"/>
      <c r="V271" s="150"/>
      <c r="W271" s="155"/>
      <c r="X271" s="156"/>
      <c r="Y271" s="155"/>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8"/>
    </row>
    <row r="272" spans="1:52" s="16" customFormat="1" ht="79.95" customHeight="1" x14ac:dyDescent="0.3">
      <c r="A272" s="40">
        <v>268</v>
      </c>
      <c r="B272" s="148"/>
      <c r="C272" s="149" t="s">
        <v>814</v>
      </c>
      <c r="D272" s="150" t="s">
        <v>108</v>
      </c>
      <c r="E272" s="150" t="s">
        <v>126</v>
      </c>
      <c r="F272" s="151" t="s">
        <v>110</v>
      </c>
      <c r="G272" s="152"/>
      <c r="H272" s="153" t="s">
        <v>127</v>
      </c>
      <c r="I272" s="154" t="s">
        <v>128</v>
      </c>
      <c r="J272" s="152" t="s">
        <v>113</v>
      </c>
      <c r="K272" s="152"/>
      <c r="L272" s="152"/>
      <c r="M272" s="152"/>
      <c r="N272" s="152"/>
      <c r="O272" s="152"/>
      <c r="P272" s="152"/>
      <c r="Q272" s="150" t="s">
        <v>108</v>
      </c>
      <c r="R272" s="150"/>
      <c r="S272" s="150"/>
      <c r="T272" s="150"/>
      <c r="U272" s="150"/>
      <c r="V272" s="150"/>
      <c r="W272" s="155"/>
      <c r="X272" s="156"/>
      <c r="Y272" s="155"/>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8"/>
    </row>
    <row r="273" spans="1:52" s="16" customFormat="1" ht="79.95" customHeight="1" x14ac:dyDescent="0.3">
      <c r="A273" s="40">
        <v>269</v>
      </c>
      <c r="B273" s="148"/>
      <c r="C273" s="149" t="s">
        <v>820</v>
      </c>
      <c r="D273" s="150" t="s">
        <v>108</v>
      </c>
      <c r="E273" s="150" t="s">
        <v>129</v>
      </c>
      <c r="F273" s="151" t="s">
        <v>130</v>
      </c>
      <c r="G273" s="152"/>
      <c r="H273" s="153" t="s">
        <v>131</v>
      </c>
      <c r="I273" s="154" t="s">
        <v>132</v>
      </c>
      <c r="J273" s="152" t="s">
        <v>113</v>
      </c>
      <c r="K273" s="152"/>
      <c r="L273" s="152"/>
      <c r="M273" s="152"/>
      <c r="N273" s="152"/>
      <c r="O273" s="152"/>
      <c r="P273" s="152"/>
      <c r="Q273" s="150" t="s">
        <v>108</v>
      </c>
      <c r="R273" s="150"/>
      <c r="S273" s="150"/>
      <c r="T273" s="150"/>
      <c r="U273" s="150"/>
      <c r="V273" s="150"/>
      <c r="W273" s="155"/>
      <c r="X273" s="156"/>
      <c r="Y273" s="155"/>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8"/>
    </row>
    <row r="274" spans="1:52" s="16" customFormat="1" ht="79.95" customHeight="1" x14ac:dyDescent="0.3">
      <c r="A274" s="40">
        <v>270</v>
      </c>
      <c r="B274" s="148"/>
      <c r="C274" s="149" t="s">
        <v>949</v>
      </c>
      <c r="D274" s="150" t="s">
        <v>108</v>
      </c>
      <c r="E274" s="150" t="s">
        <v>133</v>
      </c>
      <c r="F274" s="151" t="s">
        <v>134</v>
      </c>
      <c r="G274" s="152"/>
      <c r="H274" s="153" t="s">
        <v>135</v>
      </c>
      <c r="I274" s="154" t="s">
        <v>136</v>
      </c>
      <c r="J274" s="152" t="s">
        <v>113</v>
      </c>
      <c r="K274" s="152"/>
      <c r="L274" s="152"/>
      <c r="M274" s="152"/>
      <c r="N274" s="152"/>
      <c r="O274" s="152"/>
      <c r="P274" s="152"/>
      <c r="Q274" s="150" t="s">
        <v>108</v>
      </c>
      <c r="R274" s="150"/>
      <c r="S274" s="150"/>
      <c r="T274" s="150"/>
      <c r="U274" s="150"/>
      <c r="V274" s="150"/>
      <c r="W274" s="155"/>
      <c r="X274" s="156"/>
      <c r="Y274" s="155"/>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8"/>
    </row>
    <row r="275" spans="1:52" s="16" customFormat="1" ht="79.95" customHeight="1" x14ac:dyDescent="0.3">
      <c r="A275" s="40">
        <v>271</v>
      </c>
      <c r="B275" s="148"/>
      <c r="C275" s="149" t="s">
        <v>949</v>
      </c>
      <c r="D275" s="150" t="s">
        <v>108</v>
      </c>
      <c r="E275" s="150" t="s">
        <v>133</v>
      </c>
      <c r="F275" s="151" t="s">
        <v>134</v>
      </c>
      <c r="G275" s="152"/>
      <c r="H275" s="153" t="s">
        <v>137</v>
      </c>
      <c r="I275" s="154" t="s">
        <v>138</v>
      </c>
      <c r="J275" s="152" t="s">
        <v>113</v>
      </c>
      <c r="K275" s="152"/>
      <c r="L275" s="152"/>
      <c r="M275" s="152"/>
      <c r="N275" s="152"/>
      <c r="O275" s="152"/>
      <c r="P275" s="152"/>
      <c r="Q275" s="150" t="s">
        <v>108</v>
      </c>
      <c r="R275" s="150"/>
      <c r="S275" s="150"/>
      <c r="T275" s="150"/>
      <c r="U275" s="150"/>
      <c r="V275" s="150"/>
      <c r="W275" s="155"/>
      <c r="X275" s="156"/>
      <c r="Y275" s="155"/>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8"/>
    </row>
    <row r="276" spans="1:52" s="16" customFormat="1" ht="79.95" customHeight="1" x14ac:dyDescent="0.3">
      <c r="A276" s="40">
        <v>272</v>
      </c>
      <c r="B276" s="148"/>
      <c r="C276" s="149" t="s">
        <v>949</v>
      </c>
      <c r="D276" s="150" t="s">
        <v>108</v>
      </c>
      <c r="E276" s="150" t="s">
        <v>133</v>
      </c>
      <c r="F276" s="151" t="s">
        <v>134</v>
      </c>
      <c r="G276" s="152"/>
      <c r="H276" s="153" t="s">
        <v>139</v>
      </c>
      <c r="I276" s="154" t="s">
        <v>140</v>
      </c>
      <c r="J276" s="152" t="s">
        <v>113</v>
      </c>
      <c r="K276" s="152"/>
      <c r="L276" s="152"/>
      <c r="M276" s="152"/>
      <c r="N276" s="152"/>
      <c r="O276" s="152"/>
      <c r="P276" s="152"/>
      <c r="Q276" s="150" t="s">
        <v>108</v>
      </c>
      <c r="R276" s="150"/>
      <c r="S276" s="150"/>
      <c r="T276" s="150"/>
      <c r="U276" s="150"/>
      <c r="V276" s="150"/>
      <c r="W276" s="155"/>
      <c r="X276" s="156"/>
      <c r="Y276" s="155"/>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8"/>
    </row>
    <row r="277" spans="1:52" s="16" customFormat="1" ht="79.95" customHeight="1" x14ac:dyDescent="0.3">
      <c r="A277" s="40">
        <v>273</v>
      </c>
      <c r="B277" s="148"/>
      <c r="C277" s="149" t="s">
        <v>142</v>
      </c>
      <c r="D277" s="150" t="s">
        <v>108</v>
      </c>
      <c r="E277" s="150" t="s">
        <v>141</v>
      </c>
      <c r="F277" s="151" t="s">
        <v>142</v>
      </c>
      <c r="G277" s="152"/>
      <c r="H277" s="153" t="s">
        <v>143</v>
      </c>
      <c r="I277" s="154" t="s">
        <v>144</v>
      </c>
      <c r="J277" s="152" t="s">
        <v>113</v>
      </c>
      <c r="K277" s="152"/>
      <c r="L277" s="152"/>
      <c r="M277" s="152"/>
      <c r="N277" s="152"/>
      <c r="O277" s="152"/>
      <c r="P277" s="152"/>
      <c r="Q277" s="150" t="s">
        <v>108</v>
      </c>
      <c r="R277" s="150"/>
      <c r="S277" s="150"/>
      <c r="T277" s="150"/>
      <c r="U277" s="150"/>
      <c r="V277" s="150"/>
      <c r="W277" s="155"/>
      <c r="X277" s="156"/>
      <c r="Y277" s="155"/>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8"/>
    </row>
    <row r="278" spans="1:52" s="16" customFormat="1" ht="79.95" customHeight="1" x14ac:dyDescent="0.3">
      <c r="A278" s="40">
        <v>274</v>
      </c>
      <c r="B278" s="148"/>
      <c r="C278" s="149" t="s">
        <v>822</v>
      </c>
      <c r="D278" s="150" t="s">
        <v>108</v>
      </c>
      <c r="E278" s="150" t="s">
        <v>145</v>
      </c>
      <c r="F278" s="151" t="s">
        <v>110</v>
      </c>
      <c r="G278" s="152"/>
      <c r="H278" s="153" t="s">
        <v>146</v>
      </c>
      <c r="I278" s="154" t="s">
        <v>147</v>
      </c>
      <c r="J278" s="152" t="s">
        <v>113</v>
      </c>
      <c r="K278" s="152"/>
      <c r="L278" s="152"/>
      <c r="M278" s="152"/>
      <c r="N278" s="152"/>
      <c r="O278" s="152"/>
      <c r="P278" s="152"/>
      <c r="Q278" s="150" t="s">
        <v>108</v>
      </c>
      <c r="R278" s="150"/>
      <c r="S278" s="150"/>
      <c r="T278" s="150"/>
      <c r="U278" s="150"/>
      <c r="V278" s="150"/>
      <c r="W278" s="155"/>
      <c r="X278" s="156"/>
      <c r="Y278" s="155"/>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8"/>
    </row>
    <row r="279" spans="1:52" s="16" customFormat="1" ht="79.95" customHeight="1" x14ac:dyDescent="0.3">
      <c r="A279" s="40">
        <v>275</v>
      </c>
      <c r="B279" s="148"/>
      <c r="C279" s="149" t="s">
        <v>822</v>
      </c>
      <c r="D279" s="150" t="s">
        <v>108</v>
      </c>
      <c r="E279" s="150" t="s">
        <v>148</v>
      </c>
      <c r="F279" s="151" t="s">
        <v>110</v>
      </c>
      <c r="G279" s="152"/>
      <c r="H279" s="153" t="s">
        <v>149</v>
      </c>
      <c r="I279" s="154" t="s">
        <v>150</v>
      </c>
      <c r="J279" s="152" t="s">
        <v>113</v>
      </c>
      <c r="K279" s="152"/>
      <c r="L279" s="152"/>
      <c r="M279" s="152"/>
      <c r="N279" s="152"/>
      <c r="O279" s="152"/>
      <c r="P279" s="152"/>
      <c r="Q279" s="150" t="s">
        <v>108</v>
      </c>
      <c r="R279" s="150"/>
      <c r="S279" s="150"/>
      <c r="T279" s="150"/>
      <c r="U279" s="150"/>
      <c r="V279" s="150"/>
      <c r="W279" s="155"/>
      <c r="X279" s="156"/>
      <c r="Y279" s="155"/>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8"/>
    </row>
    <row r="280" spans="1:52" s="16" customFormat="1" ht="79.95" customHeight="1" x14ac:dyDescent="0.3">
      <c r="A280" s="40">
        <v>276</v>
      </c>
      <c r="B280" s="148"/>
      <c r="C280" s="149" t="s">
        <v>822</v>
      </c>
      <c r="D280" s="150" t="s">
        <v>108</v>
      </c>
      <c r="E280" s="150" t="s">
        <v>151</v>
      </c>
      <c r="F280" s="151" t="s">
        <v>130</v>
      </c>
      <c r="G280" s="152"/>
      <c r="H280" s="153" t="s">
        <v>152</v>
      </c>
      <c r="I280" s="154" t="s">
        <v>153</v>
      </c>
      <c r="J280" s="152" t="s">
        <v>113</v>
      </c>
      <c r="K280" s="152"/>
      <c r="L280" s="152"/>
      <c r="M280" s="152"/>
      <c r="N280" s="152"/>
      <c r="O280" s="152"/>
      <c r="P280" s="152"/>
      <c r="Q280" s="150" t="s">
        <v>108</v>
      </c>
      <c r="R280" s="150"/>
      <c r="S280" s="150"/>
      <c r="T280" s="150"/>
      <c r="U280" s="150"/>
      <c r="V280" s="150"/>
      <c r="W280" s="155"/>
      <c r="X280" s="156"/>
      <c r="Y280" s="155"/>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8"/>
    </row>
    <row r="281" spans="1:52" s="16" customFormat="1" ht="79.95" customHeight="1" x14ac:dyDescent="0.3">
      <c r="A281" s="40">
        <v>277</v>
      </c>
      <c r="B281" s="148"/>
      <c r="C281" s="149" t="s">
        <v>953</v>
      </c>
      <c r="D281" s="150" t="s">
        <v>108</v>
      </c>
      <c r="E281" s="150" t="s">
        <v>154</v>
      </c>
      <c r="F281" s="151" t="s">
        <v>130</v>
      </c>
      <c r="G281" s="152"/>
      <c r="H281" s="153" t="s">
        <v>155</v>
      </c>
      <c r="I281" s="154" t="s">
        <v>156</v>
      </c>
      <c r="J281" s="152" t="s">
        <v>113</v>
      </c>
      <c r="K281" s="152"/>
      <c r="L281" s="152"/>
      <c r="M281" s="152"/>
      <c r="N281" s="152"/>
      <c r="O281" s="152"/>
      <c r="P281" s="152"/>
      <c r="Q281" s="150" t="s">
        <v>108</v>
      </c>
      <c r="R281" s="150"/>
      <c r="S281" s="150"/>
      <c r="T281" s="150"/>
      <c r="U281" s="150"/>
      <c r="V281" s="150"/>
      <c r="W281" s="155"/>
      <c r="X281" s="156"/>
      <c r="Y281" s="155"/>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8"/>
    </row>
    <row r="282" spans="1:52" s="16" customFormat="1" ht="79.95" customHeight="1" x14ac:dyDescent="0.3">
      <c r="A282" s="40">
        <v>278</v>
      </c>
      <c r="B282" s="148"/>
      <c r="C282" s="149" t="s">
        <v>953</v>
      </c>
      <c r="D282" s="150" t="s">
        <v>108</v>
      </c>
      <c r="E282" s="150" t="s">
        <v>154</v>
      </c>
      <c r="F282" s="151" t="s">
        <v>130</v>
      </c>
      <c r="G282" s="152"/>
      <c r="H282" s="153" t="s">
        <v>157</v>
      </c>
      <c r="I282" s="154" t="s">
        <v>158</v>
      </c>
      <c r="J282" s="152" t="s">
        <v>113</v>
      </c>
      <c r="K282" s="152"/>
      <c r="L282" s="152"/>
      <c r="M282" s="152"/>
      <c r="N282" s="152"/>
      <c r="O282" s="152"/>
      <c r="P282" s="152"/>
      <c r="Q282" s="150" t="s">
        <v>108</v>
      </c>
      <c r="R282" s="150"/>
      <c r="S282" s="150"/>
      <c r="T282" s="150"/>
      <c r="U282" s="150"/>
      <c r="V282" s="150"/>
      <c r="W282" s="155"/>
      <c r="X282" s="156"/>
      <c r="Y282" s="155"/>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8"/>
    </row>
    <row r="283" spans="1:52" s="16" customFormat="1" ht="79.95" customHeight="1" x14ac:dyDescent="0.3">
      <c r="A283" s="40">
        <v>279</v>
      </c>
      <c r="B283" s="148"/>
      <c r="C283" s="149" t="s">
        <v>947</v>
      </c>
      <c r="D283" s="150" t="s">
        <v>108</v>
      </c>
      <c r="E283" s="150" t="s">
        <v>159</v>
      </c>
      <c r="F283" s="151" t="s">
        <v>130</v>
      </c>
      <c r="G283" s="152"/>
      <c r="H283" s="153" t="s">
        <v>160</v>
      </c>
      <c r="I283" s="154" t="s">
        <v>161</v>
      </c>
      <c r="J283" s="152" t="s">
        <v>113</v>
      </c>
      <c r="K283" s="152"/>
      <c r="L283" s="152"/>
      <c r="M283" s="152"/>
      <c r="N283" s="152"/>
      <c r="O283" s="152"/>
      <c r="P283" s="152"/>
      <c r="Q283" s="150" t="s">
        <v>108</v>
      </c>
      <c r="R283" s="150"/>
      <c r="S283" s="150"/>
      <c r="T283" s="150"/>
      <c r="U283" s="150"/>
      <c r="V283" s="150"/>
      <c r="W283" s="155"/>
      <c r="X283" s="156"/>
      <c r="Y283" s="155"/>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8"/>
    </row>
    <row r="284" spans="1:52" s="16" customFormat="1" ht="79.95" customHeight="1" x14ac:dyDescent="0.3">
      <c r="A284" s="40">
        <v>280</v>
      </c>
      <c r="B284" s="148"/>
      <c r="C284" s="149" t="s">
        <v>944</v>
      </c>
      <c r="D284" s="150" t="s">
        <v>108</v>
      </c>
      <c r="E284" s="150" t="s">
        <v>162</v>
      </c>
      <c r="F284" s="151" t="s">
        <v>130</v>
      </c>
      <c r="G284" s="152"/>
      <c r="H284" s="153" t="s">
        <v>163</v>
      </c>
      <c r="I284" s="154" t="s">
        <v>164</v>
      </c>
      <c r="J284" s="152" t="s">
        <v>113</v>
      </c>
      <c r="K284" s="152"/>
      <c r="L284" s="152"/>
      <c r="M284" s="152"/>
      <c r="N284" s="152"/>
      <c r="O284" s="152"/>
      <c r="P284" s="152"/>
      <c r="Q284" s="150" t="s">
        <v>108</v>
      </c>
      <c r="R284" s="150"/>
      <c r="S284" s="150"/>
      <c r="T284" s="150"/>
      <c r="U284" s="150"/>
      <c r="V284" s="150"/>
      <c r="W284" s="155"/>
      <c r="X284" s="156"/>
      <c r="Y284" s="155"/>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8"/>
    </row>
    <row r="285" spans="1:52" s="16" customFormat="1" ht="79.95" customHeight="1" x14ac:dyDescent="0.3">
      <c r="A285" s="40">
        <v>281</v>
      </c>
      <c r="B285" s="148"/>
      <c r="C285" s="149" t="s">
        <v>944</v>
      </c>
      <c r="D285" s="150" t="s">
        <v>108</v>
      </c>
      <c r="E285" s="150" t="s">
        <v>165</v>
      </c>
      <c r="F285" s="151" t="s">
        <v>110</v>
      </c>
      <c r="G285" s="152"/>
      <c r="H285" s="153" t="s">
        <v>166</v>
      </c>
      <c r="I285" s="154" t="s">
        <v>167</v>
      </c>
      <c r="J285" s="152" t="s">
        <v>168</v>
      </c>
      <c r="K285" s="152"/>
      <c r="L285" s="152"/>
      <c r="M285" s="152"/>
      <c r="N285" s="152"/>
      <c r="O285" s="152"/>
      <c r="P285" s="152"/>
      <c r="Q285" s="150" t="s">
        <v>108</v>
      </c>
      <c r="R285" s="150"/>
      <c r="S285" s="150"/>
      <c r="T285" s="150"/>
      <c r="U285" s="150"/>
      <c r="V285" s="150"/>
      <c r="W285" s="155"/>
      <c r="X285" s="156"/>
      <c r="Y285" s="155"/>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8"/>
    </row>
    <row r="286" spans="1:52" s="16" customFormat="1" ht="79.95" customHeight="1" x14ac:dyDescent="0.3">
      <c r="A286" s="40">
        <v>282</v>
      </c>
      <c r="B286" s="148"/>
      <c r="C286" s="149" t="s">
        <v>614</v>
      </c>
      <c r="D286" s="150" t="s">
        <v>108</v>
      </c>
      <c r="E286" s="150" t="s">
        <v>169</v>
      </c>
      <c r="F286" s="151" t="s">
        <v>130</v>
      </c>
      <c r="G286" s="152"/>
      <c r="H286" s="153" t="s">
        <v>170</v>
      </c>
      <c r="I286" s="154" t="s">
        <v>171</v>
      </c>
      <c r="J286" s="152" t="s">
        <v>168</v>
      </c>
      <c r="K286" s="152"/>
      <c r="L286" s="152"/>
      <c r="M286" s="152"/>
      <c r="N286" s="152"/>
      <c r="O286" s="152"/>
      <c r="P286" s="152"/>
      <c r="Q286" s="150" t="s">
        <v>108</v>
      </c>
      <c r="R286" s="150"/>
      <c r="S286" s="150"/>
      <c r="T286" s="150"/>
      <c r="U286" s="150"/>
      <c r="V286" s="150"/>
      <c r="W286" s="155"/>
      <c r="X286" s="156"/>
      <c r="Y286" s="155"/>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8"/>
    </row>
    <row r="287" spans="1:52" s="16" customFormat="1" ht="79.95" customHeight="1" x14ac:dyDescent="0.3">
      <c r="A287" s="40">
        <v>283</v>
      </c>
      <c r="B287" s="148"/>
      <c r="C287" s="149" t="s">
        <v>947</v>
      </c>
      <c r="D287" s="150" t="s">
        <v>108</v>
      </c>
      <c r="E287" s="150" t="s">
        <v>172</v>
      </c>
      <c r="F287" s="151" t="s">
        <v>130</v>
      </c>
      <c r="G287" s="152"/>
      <c r="H287" s="153" t="s">
        <v>173</v>
      </c>
      <c r="I287" s="154" t="s">
        <v>174</v>
      </c>
      <c r="J287" s="152" t="s">
        <v>168</v>
      </c>
      <c r="K287" s="152"/>
      <c r="L287" s="152"/>
      <c r="M287" s="152"/>
      <c r="N287" s="152"/>
      <c r="O287" s="152"/>
      <c r="P287" s="152"/>
      <c r="Q287" s="150" t="s">
        <v>108</v>
      </c>
      <c r="R287" s="150"/>
      <c r="S287" s="150"/>
      <c r="T287" s="150"/>
      <c r="U287" s="150"/>
      <c r="V287" s="150"/>
      <c r="W287" s="155"/>
      <c r="X287" s="156"/>
      <c r="Y287" s="155"/>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8"/>
    </row>
    <row r="288" spans="1:52" s="16" customFormat="1" ht="79.95" customHeight="1" x14ac:dyDescent="0.3">
      <c r="A288" s="40">
        <v>284</v>
      </c>
      <c r="B288" s="148"/>
      <c r="C288" s="149" t="s">
        <v>975</v>
      </c>
      <c r="D288" s="150" t="s">
        <v>108</v>
      </c>
      <c r="E288" s="150" t="s">
        <v>175</v>
      </c>
      <c r="F288" s="151" t="s">
        <v>134</v>
      </c>
      <c r="G288" s="152"/>
      <c r="H288" s="153" t="s">
        <v>176</v>
      </c>
      <c r="I288" s="154" t="s">
        <v>177</v>
      </c>
      <c r="J288" s="152" t="s">
        <v>168</v>
      </c>
      <c r="K288" s="152"/>
      <c r="L288" s="152"/>
      <c r="M288" s="152"/>
      <c r="N288" s="152"/>
      <c r="O288" s="152"/>
      <c r="P288" s="152"/>
      <c r="Q288" s="150" t="s">
        <v>108</v>
      </c>
      <c r="R288" s="150"/>
      <c r="S288" s="150"/>
      <c r="T288" s="150"/>
      <c r="U288" s="150"/>
      <c r="V288" s="150"/>
      <c r="W288" s="155"/>
      <c r="X288" s="156"/>
      <c r="Y288" s="155"/>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8"/>
    </row>
    <row r="289" spans="1:52" s="16" customFormat="1" ht="79.95" customHeight="1" x14ac:dyDescent="0.3">
      <c r="A289" s="40">
        <v>285</v>
      </c>
      <c r="B289" s="148"/>
      <c r="C289" s="149" t="s">
        <v>975</v>
      </c>
      <c r="D289" s="150" t="s">
        <v>108</v>
      </c>
      <c r="E289" s="150" t="s">
        <v>175</v>
      </c>
      <c r="F289" s="151" t="s">
        <v>134</v>
      </c>
      <c r="G289" s="152"/>
      <c r="H289" s="153" t="s">
        <v>178</v>
      </c>
      <c r="I289" s="154" t="s">
        <v>179</v>
      </c>
      <c r="J289" s="152" t="s">
        <v>168</v>
      </c>
      <c r="K289" s="152"/>
      <c r="L289" s="152"/>
      <c r="M289" s="152"/>
      <c r="N289" s="152"/>
      <c r="O289" s="152"/>
      <c r="P289" s="152"/>
      <c r="Q289" s="150" t="s">
        <v>108</v>
      </c>
      <c r="R289" s="150"/>
      <c r="S289" s="150"/>
      <c r="T289" s="150"/>
      <c r="U289" s="150"/>
      <c r="V289" s="150"/>
      <c r="W289" s="155"/>
      <c r="X289" s="156"/>
      <c r="Y289" s="155"/>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8"/>
    </row>
    <row r="290" spans="1:52" s="16" customFormat="1" ht="79.95" customHeight="1" x14ac:dyDescent="0.3">
      <c r="A290" s="40">
        <v>286</v>
      </c>
      <c r="B290" s="148"/>
      <c r="C290" s="149" t="s">
        <v>975</v>
      </c>
      <c r="D290" s="150" t="s">
        <v>108</v>
      </c>
      <c r="E290" s="150" t="s">
        <v>175</v>
      </c>
      <c r="F290" s="151" t="s">
        <v>134</v>
      </c>
      <c r="G290" s="152"/>
      <c r="H290" s="153" t="s">
        <v>180</v>
      </c>
      <c r="I290" s="154" t="s">
        <v>181</v>
      </c>
      <c r="J290" s="152" t="s">
        <v>168</v>
      </c>
      <c r="K290" s="152"/>
      <c r="L290" s="152"/>
      <c r="M290" s="152"/>
      <c r="N290" s="152"/>
      <c r="O290" s="152"/>
      <c r="P290" s="152"/>
      <c r="Q290" s="150" t="s">
        <v>108</v>
      </c>
      <c r="R290" s="150"/>
      <c r="S290" s="150"/>
      <c r="T290" s="150"/>
      <c r="U290" s="150"/>
      <c r="V290" s="150"/>
      <c r="W290" s="155"/>
      <c r="X290" s="156"/>
      <c r="Y290" s="155"/>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8"/>
    </row>
    <row r="291" spans="1:52" s="16" customFormat="1" ht="79.95" customHeight="1" x14ac:dyDescent="0.3">
      <c r="A291" s="40">
        <v>287</v>
      </c>
      <c r="B291" s="148"/>
      <c r="C291" s="149" t="s">
        <v>975</v>
      </c>
      <c r="D291" s="150" t="s">
        <v>108</v>
      </c>
      <c r="E291" s="150" t="s">
        <v>175</v>
      </c>
      <c r="F291" s="151" t="s">
        <v>134</v>
      </c>
      <c r="G291" s="152"/>
      <c r="H291" s="153" t="s">
        <v>182</v>
      </c>
      <c r="I291" s="154" t="s">
        <v>183</v>
      </c>
      <c r="J291" s="152" t="s">
        <v>168</v>
      </c>
      <c r="K291" s="152"/>
      <c r="L291" s="152"/>
      <c r="M291" s="152"/>
      <c r="N291" s="152"/>
      <c r="O291" s="152"/>
      <c r="P291" s="152"/>
      <c r="Q291" s="150" t="s">
        <v>108</v>
      </c>
      <c r="R291" s="150"/>
      <c r="S291" s="150"/>
      <c r="T291" s="150"/>
      <c r="U291" s="150"/>
      <c r="V291" s="150"/>
      <c r="W291" s="155"/>
      <c r="X291" s="156"/>
      <c r="Y291" s="155"/>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8"/>
    </row>
    <row r="292" spans="1:52" s="16" customFormat="1" ht="79.95" customHeight="1" x14ac:dyDescent="0.3">
      <c r="A292" s="40">
        <v>288</v>
      </c>
      <c r="B292" s="148"/>
      <c r="C292" s="149" t="s">
        <v>975</v>
      </c>
      <c r="D292" s="150" t="s">
        <v>108</v>
      </c>
      <c r="E292" s="150" t="s">
        <v>175</v>
      </c>
      <c r="F292" s="151" t="s">
        <v>134</v>
      </c>
      <c r="G292" s="152"/>
      <c r="H292" s="153" t="s">
        <v>184</v>
      </c>
      <c r="I292" s="154" t="s">
        <v>185</v>
      </c>
      <c r="J292" s="152" t="s">
        <v>168</v>
      </c>
      <c r="K292" s="152"/>
      <c r="L292" s="152"/>
      <c r="M292" s="152"/>
      <c r="N292" s="152"/>
      <c r="O292" s="152"/>
      <c r="P292" s="152"/>
      <c r="Q292" s="150" t="s">
        <v>108</v>
      </c>
      <c r="R292" s="150"/>
      <c r="S292" s="150"/>
      <c r="T292" s="150"/>
      <c r="U292" s="150"/>
      <c r="V292" s="150"/>
      <c r="W292" s="155"/>
      <c r="X292" s="156"/>
      <c r="Y292" s="155"/>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8"/>
    </row>
    <row r="293" spans="1:52" s="16" customFormat="1" ht="79.95" customHeight="1" x14ac:dyDescent="0.3">
      <c r="A293" s="40">
        <v>289</v>
      </c>
      <c r="B293" s="148"/>
      <c r="C293" s="149" t="s">
        <v>975</v>
      </c>
      <c r="D293" s="150" t="s">
        <v>108</v>
      </c>
      <c r="E293" s="150" t="s">
        <v>175</v>
      </c>
      <c r="F293" s="151" t="s">
        <v>134</v>
      </c>
      <c r="G293" s="152"/>
      <c r="H293" s="153" t="s">
        <v>186</v>
      </c>
      <c r="I293" s="154" t="s">
        <v>187</v>
      </c>
      <c r="J293" s="152" t="s">
        <v>168</v>
      </c>
      <c r="K293" s="152"/>
      <c r="L293" s="152"/>
      <c r="M293" s="152"/>
      <c r="N293" s="152"/>
      <c r="O293" s="152"/>
      <c r="P293" s="152"/>
      <c r="Q293" s="150" t="s">
        <v>108</v>
      </c>
      <c r="R293" s="150"/>
      <c r="S293" s="150"/>
      <c r="T293" s="150"/>
      <c r="U293" s="150"/>
      <c r="V293" s="150"/>
      <c r="W293" s="155"/>
      <c r="X293" s="156"/>
      <c r="Y293" s="155"/>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8"/>
    </row>
    <row r="294" spans="1:52" s="16" customFormat="1" ht="79.95" customHeight="1" x14ac:dyDescent="0.3">
      <c r="A294" s="40">
        <v>290</v>
      </c>
      <c r="B294" s="148"/>
      <c r="C294" s="149" t="s">
        <v>975</v>
      </c>
      <c r="D294" s="150" t="s">
        <v>108</v>
      </c>
      <c r="E294" s="150" t="s">
        <v>175</v>
      </c>
      <c r="F294" s="151" t="s">
        <v>134</v>
      </c>
      <c r="G294" s="152"/>
      <c r="H294" s="153" t="s">
        <v>188</v>
      </c>
      <c r="I294" s="154" t="s">
        <v>189</v>
      </c>
      <c r="J294" s="152" t="s">
        <v>168</v>
      </c>
      <c r="K294" s="152"/>
      <c r="L294" s="152"/>
      <c r="M294" s="152"/>
      <c r="N294" s="152"/>
      <c r="O294" s="152"/>
      <c r="P294" s="152"/>
      <c r="Q294" s="150" t="s">
        <v>108</v>
      </c>
      <c r="R294" s="150"/>
      <c r="S294" s="150"/>
      <c r="T294" s="150"/>
      <c r="U294" s="150"/>
      <c r="V294" s="150"/>
      <c r="W294" s="155"/>
      <c r="X294" s="156"/>
      <c r="Y294" s="155"/>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8"/>
    </row>
    <row r="295" spans="1:52" s="16" customFormat="1" ht="79.95" customHeight="1" x14ac:dyDescent="0.3">
      <c r="A295" s="40">
        <v>291</v>
      </c>
      <c r="B295" s="148"/>
      <c r="C295" s="149" t="s">
        <v>975</v>
      </c>
      <c r="D295" s="150" t="s">
        <v>108</v>
      </c>
      <c r="E295" s="150" t="s">
        <v>175</v>
      </c>
      <c r="F295" s="151" t="s">
        <v>134</v>
      </c>
      <c r="G295" s="152"/>
      <c r="H295" s="153" t="s">
        <v>190</v>
      </c>
      <c r="I295" s="154" t="s">
        <v>191</v>
      </c>
      <c r="J295" s="152" t="s">
        <v>168</v>
      </c>
      <c r="K295" s="152"/>
      <c r="L295" s="152"/>
      <c r="M295" s="152"/>
      <c r="N295" s="152"/>
      <c r="O295" s="152"/>
      <c r="P295" s="152"/>
      <c r="Q295" s="150" t="s">
        <v>108</v>
      </c>
      <c r="R295" s="150"/>
      <c r="S295" s="150"/>
      <c r="T295" s="157"/>
      <c r="U295" s="157"/>
      <c r="V295" s="157"/>
      <c r="W295" s="158"/>
      <c r="X295" s="159"/>
      <c r="Y295" s="158"/>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8"/>
    </row>
    <row r="296" spans="1:52" s="16" customFormat="1" ht="79.95" customHeight="1" x14ac:dyDescent="0.3">
      <c r="A296" s="40">
        <v>292</v>
      </c>
      <c r="B296" s="148"/>
      <c r="C296" s="149" t="s">
        <v>975</v>
      </c>
      <c r="D296" s="150" t="s">
        <v>108</v>
      </c>
      <c r="E296" s="150" t="s">
        <v>175</v>
      </c>
      <c r="F296" s="151" t="s">
        <v>134</v>
      </c>
      <c r="G296" s="152"/>
      <c r="H296" s="153" t="s">
        <v>192</v>
      </c>
      <c r="I296" s="154" t="s">
        <v>193</v>
      </c>
      <c r="J296" s="152" t="s">
        <v>168</v>
      </c>
      <c r="K296" s="152"/>
      <c r="L296" s="152"/>
      <c r="M296" s="152"/>
      <c r="N296" s="152"/>
      <c r="O296" s="152"/>
      <c r="P296" s="152"/>
      <c r="Q296" s="150" t="s">
        <v>108</v>
      </c>
      <c r="R296" s="150"/>
      <c r="S296" s="150"/>
      <c r="T296" s="150"/>
      <c r="U296" s="150"/>
      <c r="V296" s="150"/>
      <c r="W296" s="155"/>
      <c r="X296" s="156"/>
      <c r="Y296" s="155"/>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8"/>
    </row>
    <row r="297" spans="1:52" s="16" customFormat="1" ht="79.95" customHeight="1" x14ac:dyDescent="0.3">
      <c r="A297" s="40">
        <v>293</v>
      </c>
      <c r="B297" s="148"/>
      <c r="C297" s="149" t="s">
        <v>946</v>
      </c>
      <c r="D297" s="150" t="s">
        <v>108</v>
      </c>
      <c r="E297" s="150" t="s">
        <v>194</v>
      </c>
      <c r="F297" s="151" t="s">
        <v>134</v>
      </c>
      <c r="G297" s="152"/>
      <c r="H297" s="153" t="s">
        <v>195</v>
      </c>
      <c r="I297" s="154" t="s">
        <v>196</v>
      </c>
      <c r="J297" s="152" t="s">
        <v>168</v>
      </c>
      <c r="K297" s="152"/>
      <c r="L297" s="152"/>
      <c r="M297" s="152"/>
      <c r="N297" s="152"/>
      <c r="O297" s="152"/>
      <c r="P297" s="152"/>
      <c r="Q297" s="150" t="s">
        <v>108</v>
      </c>
      <c r="R297" s="150"/>
      <c r="S297" s="150"/>
      <c r="T297" s="150"/>
      <c r="U297" s="150"/>
      <c r="V297" s="150"/>
      <c r="W297" s="155"/>
      <c r="X297" s="156"/>
      <c r="Y297" s="155"/>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8"/>
    </row>
    <row r="298" spans="1:52" s="16" customFormat="1" ht="79.95" customHeight="1" x14ac:dyDescent="0.3">
      <c r="A298" s="40">
        <v>294</v>
      </c>
      <c r="B298" s="148"/>
      <c r="C298" s="149" t="s">
        <v>946</v>
      </c>
      <c r="D298" s="150" t="s">
        <v>108</v>
      </c>
      <c r="E298" s="150" t="s">
        <v>194</v>
      </c>
      <c r="F298" s="151" t="s">
        <v>134</v>
      </c>
      <c r="G298" s="152"/>
      <c r="H298" s="153" t="s">
        <v>205</v>
      </c>
      <c r="I298" s="154" t="s">
        <v>206</v>
      </c>
      <c r="J298" s="152" t="s">
        <v>168</v>
      </c>
      <c r="K298" s="152"/>
      <c r="L298" s="152"/>
      <c r="M298" s="152"/>
      <c r="N298" s="152"/>
      <c r="O298" s="152"/>
      <c r="P298" s="152"/>
      <c r="Q298" s="150" t="s">
        <v>108</v>
      </c>
      <c r="R298" s="150"/>
      <c r="S298" s="150"/>
      <c r="T298" s="150"/>
      <c r="U298" s="150"/>
      <c r="V298" s="150"/>
      <c r="W298" s="155"/>
      <c r="X298" s="156"/>
      <c r="Y298" s="155"/>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8"/>
    </row>
    <row r="299" spans="1:52" s="16" customFormat="1" ht="79.95" customHeight="1" x14ac:dyDescent="0.3">
      <c r="A299" s="40">
        <v>295</v>
      </c>
      <c r="B299" s="148"/>
      <c r="C299" s="149" t="s">
        <v>946</v>
      </c>
      <c r="D299" s="150" t="s">
        <v>108</v>
      </c>
      <c r="E299" s="150" t="s">
        <v>209</v>
      </c>
      <c r="F299" s="151" t="s">
        <v>134</v>
      </c>
      <c r="G299" s="152"/>
      <c r="H299" s="153" t="s">
        <v>210</v>
      </c>
      <c r="I299" s="154" t="s">
        <v>211</v>
      </c>
      <c r="J299" s="152" t="s">
        <v>168</v>
      </c>
      <c r="K299" s="152"/>
      <c r="L299" s="152"/>
      <c r="M299" s="152"/>
      <c r="N299" s="152"/>
      <c r="O299" s="152"/>
      <c r="P299" s="152"/>
      <c r="Q299" s="150" t="s">
        <v>108</v>
      </c>
      <c r="R299" s="150"/>
      <c r="S299" s="150"/>
      <c r="T299" s="150"/>
      <c r="U299" s="150"/>
      <c r="V299" s="150"/>
      <c r="W299" s="155"/>
      <c r="X299" s="156"/>
      <c r="Y299" s="155"/>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8"/>
    </row>
    <row r="300" spans="1:52" s="16" customFormat="1" ht="79.95" customHeight="1" x14ac:dyDescent="0.3">
      <c r="A300" s="40">
        <v>296</v>
      </c>
      <c r="B300" s="148"/>
      <c r="C300" s="149" t="s">
        <v>946</v>
      </c>
      <c r="D300" s="150" t="s">
        <v>108</v>
      </c>
      <c r="E300" s="150" t="s">
        <v>209</v>
      </c>
      <c r="F300" s="151" t="s">
        <v>134</v>
      </c>
      <c r="G300" s="152"/>
      <c r="H300" s="153" t="s">
        <v>213</v>
      </c>
      <c r="I300" s="154" t="s">
        <v>214</v>
      </c>
      <c r="J300" s="152" t="s">
        <v>168</v>
      </c>
      <c r="K300" s="152"/>
      <c r="L300" s="152"/>
      <c r="M300" s="152"/>
      <c r="N300" s="152"/>
      <c r="O300" s="152"/>
      <c r="P300" s="152"/>
      <c r="Q300" s="150" t="s">
        <v>108</v>
      </c>
      <c r="R300" s="150"/>
      <c r="S300" s="150"/>
      <c r="T300" s="150"/>
      <c r="U300" s="150"/>
      <c r="V300" s="150"/>
      <c r="W300" s="155"/>
      <c r="X300" s="156"/>
      <c r="Y300" s="155"/>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8"/>
    </row>
    <row r="301" spans="1:52" s="16" customFormat="1" ht="79.95" customHeight="1" x14ac:dyDescent="0.3">
      <c r="A301" s="40">
        <v>297</v>
      </c>
      <c r="B301" s="148"/>
      <c r="C301" s="149" t="s">
        <v>814</v>
      </c>
      <c r="D301" s="150" t="s">
        <v>108</v>
      </c>
      <c r="E301" s="150" t="s">
        <v>217</v>
      </c>
      <c r="F301" s="151" t="s">
        <v>110</v>
      </c>
      <c r="G301" s="152"/>
      <c r="H301" s="153" t="s">
        <v>218</v>
      </c>
      <c r="I301" s="154" t="s">
        <v>219</v>
      </c>
      <c r="J301" s="152" t="s">
        <v>168</v>
      </c>
      <c r="K301" s="152"/>
      <c r="L301" s="152"/>
      <c r="M301" s="152"/>
      <c r="N301" s="152"/>
      <c r="O301" s="152"/>
      <c r="P301" s="152"/>
      <c r="Q301" s="150" t="s">
        <v>108</v>
      </c>
      <c r="R301" s="150"/>
      <c r="S301" s="150"/>
      <c r="T301" s="150"/>
      <c r="U301" s="150"/>
      <c r="V301" s="150"/>
      <c r="W301" s="155"/>
      <c r="X301" s="156"/>
      <c r="Y301" s="155"/>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8"/>
    </row>
    <row r="302" spans="1:52" s="16" customFormat="1" ht="79.95" customHeight="1" x14ac:dyDescent="0.3">
      <c r="A302" s="40">
        <v>298</v>
      </c>
      <c r="B302" s="148"/>
      <c r="C302" s="149" t="s">
        <v>814</v>
      </c>
      <c r="D302" s="150" t="s">
        <v>108</v>
      </c>
      <c r="E302" s="150" t="s">
        <v>217</v>
      </c>
      <c r="F302" s="151" t="s">
        <v>110</v>
      </c>
      <c r="G302" s="152"/>
      <c r="H302" s="153" t="s">
        <v>222</v>
      </c>
      <c r="I302" s="154" t="s">
        <v>223</v>
      </c>
      <c r="J302" s="152" t="s">
        <v>168</v>
      </c>
      <c r="K302" s="152"/>
      <c r="L302" s="152"/>
      <c r="M302" s="152"/>
      <c r="N302" s="152"/>
      <c r="O302" s="152"/>
      <c r="P302" s="152"/>
      <c r="Q302" s="150" t="s">
        <v>108</v>
      </c>
      <c r="R302" s="150"/>
      <c r="S302" s="150"/>
      <c r="T302" s="150"/>
      <c r="U302" s="150"/>
      <c r="V302" s="150"/>
      <c r="W302" s="155"/>
      <c r="X302" s="156"/>
      <c r="Y302" s="155"/>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8"/>
    </row>
    <row r="303" spans="1:52" s="16" customFormat="1" ht="79.95" customHeight="1" x14ac:dyDescent="0.3">
      <c r="A303" s="40">
        <v>299</v>
      </c>
      <c r="B303" s="148"/>
      <c r="C303" s="149" t="s">
        <v>814</v>
      </c>
      <c r="D303" s="150" t="s">
        <v>108</v>
      </c>
      <c r="E303" s="150" t="s">
        <v>217</v>
      </c>
      <c r="F303" s="151" t="s">
        <v>110</v>
      </c>
      <c r="G303" s="152"/>
      <c r="H303" s="153" t="s">
        <v>226</v>
      </c>
      <c r="I303" s="154" t="s">
        <v>227</v>
      </c>
      <c r="J303" s="152" t="s">
        <v>168</v>
      </c>
      <c r="K303" s="152"/>
      <c r="L303" s="152"/>
      <c r="M303" s="152"/>
      <c r="N303" s="152"/>
      <c r="O303" s="152"/>
      <c r="P303" s="152"/>
      <c r="Q303" s="150" t="s">
        <v>108</v>
      </c>
      <c r="R303" s="150"/>
      <c r="S303" s="150"/>
      <c r="T303" s="150"/>
      <c r="U303" s="150"/>
      <c r="V303" s="150"/>
      <c r="W303" s="155"/>
      <c r="X303" s="156"/>
      <c r="Y303" s="155"/>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8"/>
    </row>
    <row r="304" spans="1:52" s="16" customFormat="1" ht="79.95" customHeight="1" x14ac:dyDescent="0.3">
      <c r="A304" s="40">
        <v>300</v>
      </c>
      <c r="B304" s="148"/>
      <c r="C304" s="149" t="s">
        <v>814</v>
      </c>
      <c r="D304" s="150" t="s">
        <v>108</v>
      </c>
      <c r="E304" s="150" t="s">
        <v>217</v>
      </c>
      <c r="F304" s="151" t="s">
        <v>110</v>
      </c>
      <c r="G304" s="152"/>
      <c r="H304" s="153" t="s">
        <v>232</v>
      </c>
      <c r="I304" s="154" t="s">
        <v>233</v>
      </c>
      <c r="J304" s="152" t="s">
        <v>168</v>
      </c>
      <c r="K304" s="152"/>
      <c r="L304" s="152"/>
      <c r="M304" s="152"/>
      <c r="N304" s="152"/>
      <c r="O304" s="152"/>
      <c r="P304" s="152"/>
      <c r="Q304" s="150" t="s">
        <v>108</v>
      </c>
      <c r="R304" s="150"/>
      <c r="S304" s="150"/>
      <c r="T304" s="150"/>
      <c r="U304" s="150"/>
      <c r="V304" s="150"/>
      <c r="W304" s="155"/>
      <c r="X304" s="156"/>
      <c r="Y304" s="155"/>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8"/>
    </row>
    <row r="305" spans="1:52" s="16" customFormat="1" ht="79.95" customHeight="1" x14ac:dyDescent="0.3">
      <c r="A305" s="40">
        <v>301</v>
      </c>
      <c r="B305" s="148"/>
      <c r="C305" s="149" t="s">
        <v>814</v>
      </c>
      <c r="D305" s="150" t="s">
        <v>108</v>
      </c>
      <c r="E305" s="150" t="s">
        <v>217</v>
      </c>
      <c r="F305" s="151" t="s">
        <v>110</v>
      </c>
      <c r="G305" s="152"/>
      <c r="H305" s="153" t="s">
        <v>235</v>
      </c>
      <c r="I305" s="154" t="s">
        <v>236</v>
      </c>
      <c r="J305" s="152" t="s">
        <v>168</v>
      </c>
      <c r="K305" s="152"/>
      <c r="L305" s="152"/>
      <c r="M305" s="152"/>
      <c r="N305" s="152"/>
      <c r="O305" s="152"/>
      <c r="P305" s="152"/>
      <c r="Q305" s="150" t="s">
        <v>108</v>
      </c>
      <c r="R305" s="150"/>
      <c r="S305" s="150"/>
      <c r="T305" s="150"/>
      <c r="U305" s="150"/>
      <c r="V305" s="150"/>
      <c r="W305" s="155"/>
      <c r="X305" s="156"/>
      <c r="Y305" s="155"/>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8"/>
    </row>
    <row r="306" spans="1:52" ht="79.95" customHeight="1" x14ac:dyDescent="0.3">
      <c r="A306" s="40">
        <v>302</v>
      </c>
      <c r="B306" s="148"/>
      <c r="C306" s="149" t="s">
        <v>814</v>
      </c>
      <c r="D306" s="150" t="s">
        <v>108</v>
      </c>
      <c r="E306" s="150" t="s">
        <v>217</v>
      </c>
      <c r="F306" s="151" t="s">
        <v>110</v>
      </c>
      <c r="G306" s="152"/>
      <c r="H306" s="153" t="s">
        <v>238</v>
      </c>
      <c r="I306" s="154" t="s">
        <v>239</v>
      </c>
      <c r="J306" s="152" t="s">
        <v>168</v>
      </c>
      <c r="K306" s="152"/>
      <c r="L306" s="152"/>
      <c r="M306" s="152"/>
      <c r="N306" s="152"/>
      <c r="O306" s="152"/>
      <c r="P306" s="152"/>
      <c r="Q306" s="150" t="s">
        <v>108</v>
      </c>
      <c r="R306" s="150"/>
      <c r="S306" s="150"/>
      <c r="T306" s="150"/>
      <c r="U306" s="150"/>
      <c r="V306" s="150"/>
      <c r="W306" s="155"/>
      <c r="X306" s="156"/>
      <c r="Y306" s="155"/>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7"/>
    </row>
    <row r="307" spans="1:52" ht="79.95" customHeight="1" x14ac:dyDescent="0.3">
      <c r="A307" s="40">
        <v>303</v>
      </c>
      <c r="B307" s="148"/>
      <c r="C307" s="149" t="s">
        <v>814</v>
      </c>
      <c r="D307" s="150" t="s">
        <v>108</v>
      </c>
      <c r="E307" s="150" t="s">
        <v>217</v>
      </c>
      <c r="F307" s="151" t="s">
        <v>110</v>
      </c>
      <c r="G307" s="160"/>
      <c r="H307" s="161" t="s">
        <v>241</v>
      </c>
      <c r="I307" s="154" t="s">
        <v>242</v>
      </c>
      <c r="J307" s="160" t="s">
        <v>168</v>
      </c>
      <c r="K307" s="160"/>
      <c r="L307" s="160"/>
      <c r="M307" s="160"/>
      <c r="N307" s="160"/>
      <c r="O307" s="160"/>
      <c r="P307" s="160"/>
      <c r="Q307" s="150" t="s">
        <v>108</v>
      </c>
      <c r="R307" s="150"/>
      <c r="S307" s="150"/>
      <c r="T307" s="150"/>
      <c r="U307" s="150"/>
      <c r="V307" s="150"/>
      <c r="W307" s="155"/>
      <c r="X307" s="156"/>
      <c r="Y307" s="155"/>
    </row>
    <row r="308" spans="1:52" ht="79.95" customHeight="1" x14ac:dyDescent="0.3">
      <c r="A308" s="40">
        <v>304</v>
      </c>
      <c r="B308" s="148"/>
      <c r="C308" s="149" t="s">
        <v>814</v>
      </c>
      <c r="D308" s="150" t="s">
        <v>108</v>
      </c>
      <c r="E308" s="150" t="s">
        <v>244</v>
      </c>
      <c r="F308" s="151" t="s">
        <v>110</v>
      </c>
      <c r="G308" s="160"/>
      <c r="H308" s="161" t="s">
        <v>245</v>
      </c>
      <c r="I308" s="154" t="s">
        <v>246</v>
      </c>
      <c r="J308" s="160" t="s">
        <v>168</v>
      </c>
      <c r="K308" s="160"/>
      <c r="L308" s="160"/>
      <c r="M308" s="160"/>
      <c r="N308" s="160"/>
      <c r="O308" s="160"/>
      <c r="P308" s="160"/>
      <c r="Q308" s="150" t="s">
        <v>108</v>
      </c>
      <c r="R308" s="150"/>
      <c r="S308" s="150"/>
      <c r="T308" s="150"/>
      <c r="U308" s="150"/>
      <c r="V308" s="150"/>
      <c r="W308" s="155"/>
      <c r="X308" s="156"/>
      <c r="Y308" s="155"/>
    </row>
    <row r="309" spans="1:52" ht="79.95" customHeight="1" x14ac:dyDescent="0.3">
      <c r="A309" s="40">
        <v>305</v>
      </c>
      <c r="B309" s="148"/>
      <c r="C309" s="149" t="s">
        <v>529</v>
      </c>
      <c r="D309" s="150" t="s">
        <v>108</v>
      </c>
      <c r="E309" s="150"/>
      <c r="F309" s="151" t="s">
        <v>130</v>
      </c>
      <c r="G309" s="162"/>
      <c r="H309" s="162" t="s">
        <v>250</v>
      </c>
      <c r="I309" s="154" t="s">
        <v>251</v>
      </c>
      <c r="J309" s="162" t="s">
        <v>168</v>
      </c>
      <c r="K309" s="162"/>
      <c r="L309" s="162"/>
      <c r="M309" s="162"/>
      <c r="N309" s="162"/>
      <c r="O309" s="162"/>
      <c r="P309" s="162"/>
      <c r="Q309" s="150" t="s">
        <v>108</v>
      </c>
      <c r="R309" s="150"/>
      <c r="S309" s="150"/>
      <c r="T309" s="150"/>
      <c r="U309" s="150"/>
      <c r="V309" s="150"/>
      <c r="W309" s="155"/>
      <c r="X309" s="156"/>
      <c r="Y309" s="155"/>
    </row>
    <row r="310" spans="1:52" ht="79.95" customHeight="1" x14ac:dyDescent="0.3">
      <c r="A310" s="40">
        <v>306</v>
      </c>
      <c r="B310" s="148"/>
      <c r="C310" s="149" t="s">
        <v>529</v>
      </c>
      <c r="D310" s="150" t="s">
        <v>108</v>
      </c>
      <c r="E310" s="150"/>
      <c r="F310" s="151" t="s">
        <v>130</v>
      </c>
      <c r="G310" s="162"/>
      <c r="H310" s="162" t="s">
        <v>253</v>
      </c>
      <c r="I310" s="154" t="s">
        <v>254</v>
      </c>
      <c r="J310" s="162" t="s">
        <v>168</v>
      </c>
      <c r="K310" s="162"/>
      <c r="L310" s="162"/>
      <c r="M310" s="162"/>
      <c r="N310" s="162"/>
      <c r="O310" s="162"/>
      <c r="P310" s="162"/>
      <c r="Q310" s="150" t="s">
        <v>108</v>
      </c>
      <c r="R310" s="150"/>
      <c r="S310" s="150"/>
      <c r="T310" s="150"/>
      <c r="U310" s="150"/>
      <c r="V310" s="150"/>
      <c r="W310" s="155"/>
      <c r="X310" s="156"/>
      <c r="Y310" s="155"/>
    </row>
    <row r="311" spans="1:52" ht="79.95" customHeight="1" x14ac:dyDescent="0.3">
      <c r="A311" s="40">
        <v>307</v>
      </c>
      <c r="B311" s="149" t="s">
        <v>256</v>
      </c>
      <c r="C311" s="149" t="s">
        <v>438</v>
      </c>
      <c r="D311" s="150" t="s">
        <v>257</v>
      </c>
      <c r="E311" s="150" t="s">
        <v>258</v>
      </c>
      <c r="F311" s="151" t="s">
        <v>199</v>
      </c>
      <c r="G311" s="162">
        <v>0</v>
      </c>
      <c r="H311" s="162" t="s">
        <v>259</v>
      </c>
      <c r="I311" s="154" t="s">
        <v>260</v>
      </c>
      <c r="J311" s="162" t="s">
        <v>261</v>
      </c>
      <c r="K311" s="162"/>
      <c r="L311" s="162"/>
      <c r="M311" s="162"/>
      <c r="N311" s="162"/>
      <c r="O311" s="162"/>
      <c r="P311" s="162"/>
      <c r="Q311" s="150" t="s">
        <v>262</v>
      </c>
      <c r="R311" s="150"/>
      <c r="S311" s="150" t="s">
        <v>263</v>
      </c>
      <c r="T311" s="150"/>
      <c r="U311" s="150"/>
      <c r="V311" s="150"/>
      <c r="W311" s="155"/>
      <c r="X311" s="156">
        <v>1500</v>
      </c>
      <c r="Y311" s="155">
        <v>1557</v>
      </c>
    </row>
    <row r="312" spans="1:52" ht="79.95" customHeight="1" x14ac:dyDescent="0.3">
      <c r="A312" s="40">
        <v>308</v>
      </c>
      <c r="B312" s="149" t="s">
        <v>266</v>
      </c>
      <c r="C312" s="149" t="s">
        <v>950</v>
      </c>
      <c r="D312" s="150" t="s">
        <v>267</v>
      </c>
      <c r="E312" s="150" t="s">
        <v>268</v>
      </c>
      <c r="F312" s="151" t="s">
        <v>199</v>
      </c>
      <c r="G312" s="162">
        <v>0</v>
      </c>
      <c r="H312" s="162" t="s">
        <v>269</v>
      </c>
      <c r="I312" s="154" t="s">
        <v>270</v>
      </c>
      <c r="J312" s="162" t="s">
        <v>261</v>
      </c>
      <c r="K312" s="162"/>
      <c r="L312" s="162"/>
      <c r="M312" s="162"/>
      <c r="N312" s="162"/>
      <c r="O312" s="162"/>
      <c r="P312" s="162"/>
      <c r="Q312" s="150" t="s">
        <v>262</v>
      </c>
      <c r="R312" s="150"/>
      <c r="S312" s="150" t="s">
        <v>271</v>
      </c>
      <c r="T312" s="150"/>
      <c r="U312" s="150"/>
      <c r="V312" s="150"/>
      <c r="W312" s="155"/>
      <c r="X312" s="156">
        <v>3000</v>
      </c>
      <c r="Y312" s="155">
        <v>1557</v>
      </c>
    </row>
    <row r="313" spans="1:52" ht="79.95" customHeight="1" x14ac:dyDescent="0.3">
      <c r="A313" s="40">
        <v>309</v>
      </c>
      <c r="B313" s="149" t="s">
        <v>273</v>
      </c>
      <c r="C313" s="149" t="s">
        <v>953</v>
      </c>
      <c r="D313" s="150" t="s">
        <v>262</v>
      </c>
      <c r="E313" s="150" t="s">
        <v>274</v>
      </c>
      <c r="F313" s="151" t="s">
        <v>275</v>
      </c>
      <c r="G313" s="163">
        <v>0</v>
      </c>
      <c r="H313" s="164" t="s">
        <v>276</v>
      </c>
      <c r="I313" s="154" t="s">
        <v>277</v>
      </c>
      <c r="J313" s="163" t="s">
        <v>261</v>
      </c>
      <c r="K313" s="163"/>
      <c r="L313" s="163"/>
      <c r="M313" s="163"/>
      <c r="N313" s="163"/>
      <c r="O313" s="163"/>
      <c r="P313" s="163"/>
      <c r="Q313" s="150" t="s">
        <v>262</v>
      </c>
      <c r="R313" s="150"/>
      <c r="S313" s="150" t="s">
        <v>278</v>
      </c>
      <c r="T313" s="150"/>
      <c r="U313" s="150"/>
      <c r="V313" s="150"/>
      <c r="W313" s="155"/>
      <c r="X313" s="156">
        <v>2000</v>
      </c>
      <c r="Y313" s="155">
        <v>3882</v>
      </c>
    </row>
    <row r="314" spans="1:52" ht="79.95" customHeight="1" x14ac:dyDescent="0.3">
      <c r="A314" s="40">
        <v>310</v>
      </c>
      <c r="B314" s="149" t="s">
        <v>273</v>
      </c>
      <c r="C314" s="149" t="s">
        <v>953</v>
      </c>
      <c r="D314" s="150" t="s">
        <v>262</v>
      </c>
      <c r="E314" s="150" t="s">
        <v>274</v>
      </c>
      <c r="F314" s="151" t="s">
        <v>275</v>
      </c>
      <c r="G314" s="163">
        <v>0</v>
      </c>
      <c r="H314" s="164" t="s">
        <v>276</v>
      </c>
      <c r="I314" s="154" t="s">
        <v>277</v>
      </c>
      <c r="J314" s="163" t="s">
        <v>261</v>
      </c>
      <c r="K314" s="163"/>
      <c r="L314" s="163"/>
      <c r="M314" s="163"/>
      <c r="N314" s="163"/>
      <c r="O314" s="163"/>
      <c r="P314" s="163"/>
      <c r="Q314" s="150" t="s">
        <v>262</v>
      </c>
      <c r="R314" s="150"/>
      <c r="S314" s="150" t="s">
        <v>281</v>
      </c>
      <c r="T314" s="150"/>
      <c r="U314" s="150"/>
      <c r="V314" s="150"/>
      <c r="W314" s="155"/>
      <c r="X314" s="156">
        <v>1000</v>
      </c>
      <c r="Y314" s="155">
        <v>2173</v>
      </c>
    </row>
    <row r="315" spans="1:52" ht="79.95" customHeight="1" x14ac:dyDescent="0.3">
      <c r="A315" s="40">
        <v>311</v>
      </c>
      <c r="B315" s="149" t="s">
        <v>969</v>
      </c>
      <c r="C315" s="149" t="s">
        <v>970</v>
      </c>
      <c r="D315" s="150" t="s">
        <v>970</v>
      </c>
      <c r="E315" s="150" t="s">
        <v>971</v>
      </c>
      <c r="F315" s="151" t="s">
        <v>199</v>
      </c>
      <c r="G315" s="163">
        <v>1</v>
      </c>
      <c r="H315" s="164" t="s">
        <v>972</v>
      </c>
      <c r="I315" s="154" t="s">
        <v>973</v>
      </c>
      <c r="J315" s="163" t="s">
        <v>168</v>
      </c>
      <c r="K315" s="163">
        <v>1</v>
      </c>
      <c r="L315" s="163" t="s">
        <v>676</v>
      </c>
      <c r="M315" s="163" t="s">
        <v>676</v>
      </c>
      <c r="N315" s="163" t="s">
        <v>676</v>
      </c>
      <c r="O315" s="163" t="s">
        <v>677</v>
      </c>
      <c r="P315" s="163" t="s">
        <v>677</v>
      </c>
      <c r="Q315" s="150" t="s">
        <v>262</v>
      </c>
      <c r="R315" s="150" t="s">
        <v>928</v>
      </c>
      <c r="S315" s="150" t="s">
        <v>723</v>
      </c>
      <c r="T315" s="165">
        <v>33330620.600000001</v>
      </c>
      <c r="U315" s="150"/>
      <c r="V315" s="150"/>
      <c r="W315" s="155"/>
      <c r="X315" s="156">
        <v>2048</v>
      </c>
      <c r="Y315" s="166" t="s">
        <v>974</v>
      </c>
    </row>
    <row r="316" spans="1:52" ht="79.95" customHeight="1" x14ac:dyDescent="0.3">
      <c r="A316" s="40">
        <v>312</v>
      </c>
      <c r="B316" s="148"/>
      <c r="C316" s="149" t="s">
        <v>285</v>
      </c>
      <c r="D316" s="150" t="s">
        <v>284</v>
      </c>
      <c r="E316" s="150" t="s">
        <v>285</v>
      </c>
      <c r="F316" s="151" t="s">
        <v>286</v>
      </c>
      <c r="G316" s="163"/>
      <c r="H316" s="164" t="s">
        <v>287</v>
      </c>
      <c r="I316" s="154" t="s">
        <v>288</v>
      </c>
      <c r="J316" s="163" t="s">
        <v>261</v>
      </c>
      <c r="K316" s="163"/>
      <c r="L316" s="163"/>
      <c r="M316" s="163"/>
      <c r="N316" s="163"/>
      <c r="O316" s="163"/>
      <c r="P316" s="163"/>
      <c r="Q316" s="150" t="s">
        <v>289</v>
      </c>
      <c r="R316" s="150"/>
      <c r="S316" s="150"/>
      <c r="T316" s="150"/>
      <c r="U316" s="150"/>
      <c r="V316" s="150"/>
      <c r="W316" s="155"/>
      <c r="X316" s="156">
        <v>2000</v>
      </c>
      <c r="Y316" s="155"/>
    </row>
    <row r="317" spans="1:52" ht="79.95" customHeight="1" x14ac:dyDescent="0.3">
      <c r="A317" s="40">
        <v>313</v>
      </c>
      <c r="B317" s="148"/>
      <c r="C317" s="149" t="s">
        <v>529</v>
      </c>
      <c r="D317" s="150" t="s">
        <v>289</v>
      </c>
      <c r="E317" s="150"/>
      <c r="F317" s="151" t="s">
        <v>291</v>
      </c>
      <c r="G317" s="163"/>
      <c r="H317" s="164" t="s">
        <v>292</v>
      </c>
      <c r="I317" s="154" t="s">
        <v>293</v>
      </c>
      <c r="J317" s="163" t="s">
        <v>261</v>
      </c>
      <c r="K317" s="163"/>
      <c r="L317" s="163"/>
      <c r="M317" s="163" t="s">
        <v>294</v>
      </c>
      <c r="N317" s="163"/>
      <c r="O317" s="163"/>
      <c r="P317" s="163"/>
      <c r="Q317" s="150" t="s">
        <v>289</v>
      </c>
      <c r="R317" s="150"/>
      <c r="S317" s="150"/>
      <c r="T317" s="150"/>
      <c r="U317" s="150"/>
      <c r="V317" s="150"/>
      <c r="W317" s="155"/>
      <c r="X317" s="156">
        <v>200</v>
      </c>
      <c r="Y317" s="155">
        <v>1505</v>
      </c>
    </row>
    <row r="318" spans="1:52" ht="79.95" customHeight="1" x14ac:dyDescent="0.3">
      <c r="A318" s="40">
        <v>314</v>
      </c>
      <c r="B318" s="148"/>
      <c r="C318" s="149" t="s">
        <v>529</v>
      </c>
      <c r="D318" s="150"/>
      <c r="E318" s="150"/>
      <c r="F318" s="151" t="s">
        <v>296</v>
      </c>
      <c r="G318" s="163"/>
      <c r="H318" s="164" t="s">
        <v>297</v>
      </c>
      <c r="I318" s="154" t="s">
        <v>298</v>
      </c>
      <c r="J318" s="163" t="s">
        <v>261</v>
      </c>
      <c r="K318" s="163"/>
      <c r="L318" s="163"/>
      <c r="M318" s="163" t="s">
        <v>294</v>
      </c>
      <c r="N318" s="163"/>
      <c r="O318" s="163"/>
      <c r="P318" s="163"/>
      <c r="Q318" s="150" t="s">
        <v>289</v>
      </c>
      <c r="R318" s="150"/>
      <c r="S318" s="150"/>
      <c r="T318" s="150"/>
      <c r="U318" s="150"/>
      <c r="V318" s="150"/>
      <c r="W318" s="155"/>
      <c r="X318" s="156">
        <v>400</v>
      </c>
      <c r="Y318" s="155">
        <v>1505</v>
      </c>
    </row>
    <row r="319" spans="1:52" ht="79.95" customHeight="1" x14ac:dyDescent="0.3">
      <c r="A319" s="40">
        <v>315</v>
      </c>
      <c r="B319" s="148"/>
      <c r="C319" s="149" t="s">
        <v>946</v>
      </c>
      <c r="D319" s="150"/>
      <c r="E319" s="150" t="s">
        <v>300</v>
      </c>
      <c r="F319" s="151" t="s">
        <v>134</v>
      </c>
      <c r="G319" s="152"/>
      <c r="H319" s="153" t="s">
        <v>301</v>
      </c>
      <c r="I319" s="154" t="s">
        <v>302</v>
      </c>
      <c r="J319" s="152"/>
      <c r="K319" s="152"/>
      <c r="L319" s="152"/>
      <c r="M319" s="152"/>
      <c r="N319" s="152"/>
      <c r="O319" s="152"/>
      <c r="P319" s="152"/>
      <c r="Q319" s="150" t="s">
        <v>289</v>
      </c>
      <c r="R319" s="150"/>
      <c r="S319" s="150"/>
      <c r="T319" s="150"/>
      <c r="U319" s="150"/>
      <c r="V319" s="150"/>
      <c r="W319" s="155"/>
      <c r="X319" s="156">
        <v>400</v>
      </c>
      <c r="Y319" s="155">
        <v>1505</v>
      </c>
    </row>
    <row r="320" spans="1:52" ht="79.95" customHeight="1" x14ac:dyDescent="0.3">
      <c r="A320" s="40">
        <v>316</v>
      </c>
      <c r="B320" s="148"/>
      <c r="C320" s="149" t="s">
        <v>943</v>
      </c>
      <c r="D320" s="150" t="s">
        <v>303</v>
      </c>
      <c r="E320" s="150" t="s">
        <v>304</v>
      </c>
      <c r="F320" s="151" t="s">
        <v>199</v>
      </c>
      <c r="G320" s="152"/>
      <c r="H320" s="153" t="s">
        <v>306</v>
      </c>
      <c r="I320" s="154" t="s">
        <v>307</v>
      </c>
      <c r="J320" s="152" t="s">
        <v>168</v>
      </c>
      <c r="K320" s="152"/>
      <c r="L320" s="152"/>
      <c r="M320" s="152"/>
      <c r="N320" s="152"/>
      <c r="O320" s="152"/>
      <c r="P320" s="152"/>
      <c r="Q320" s="150" t="s">
        <v>202</v>
      </c>
      <c r="R320" s="167" t="s">
        <v>308</v>
      </c>
      <c r="S320" s="167" t="s">
        <v>309</v>
      </c>
      <c r="T320" s="150"/>
      <c r="U320" s="150"/>
      <c r="V320" s="150"/>
      <c r="W320" s="155"/>
      <c r="X320" s="156"/>
      <c r="Y320" s="155"/>
    </row>
    <row r="321" spans="1:25" ht="79.95" customHeight="1" x14ac:dyDescent="0.3">
      <c r="A321" s="40">
        <v>317</v>
      </c>
      <c r="B321" s="148"/>
      <c r="C321" s="149" t="s">
        <v>943</v>
      </c>
      <c r="D321" s="150" t="s">
        <v>303</v>
      </c>
      <c r="E321" s="150" t="s">
        <v>304</v>
      </c>
      <c r="F321" s="151" t="s">
        <v>199</v>
      </c>
      <c r="G321" s="152"/>
      <c r="H321" s="153" t="s">
        <v>311</v>
      </c>
      <c r="I321" s="154" t="s">
        <v>312</v>
      </c>
      <c r="J321" s="152" t="s">
        <v>168</v>
      </c>
      <c r="K321" s="152"/>
      <c r="L321" s="152"/>
      <c r="M321" s="152"/>
      <c r="N321" s="152"/>
      <c r="O321" s="152"/>
      <c r="P321" s="152"/>
      <c r="Q321" s="150" t="s">
        <v>202</v>
      </c>
      <c r="R321" s="167" t="s">
        <v>308</v>
      </c>
      <c r="S321" s="167" t="s">
        <v>309</v>
      </c>
      <c r="T321" s="150"/>
      <c r="U321" s="150"/>
      <c r="V321" s="150"/>
      <c r="W321" s="155"/>
      <c r="X321" s="156"/>
      <c r="Y321" s="155"/>
    </row>
    <row r="322" spans="1:25" ht="79.95" customHeight="1" x14ac:dyDescent="0.3">
      <c r="A322" s="40">
        <v>318</v>
      </c>
      <c r="B322" s="148"/>
      <c r="C322" s="149" t="s">
        <v>943</v>
      </c>
      <c r="D322" s="150" t="s">
        <v>303</v>
      </c>
      <c r="E322" s="150" t="s">
        <v>313</v>
      </c>
      <c r="F322" s="151" t="s">
        <v>199</v>
      </c>
      <c r="G322" s="152"/>
      <c r="H322" s="153" t="s">
        <v>315</v>
      </c>
      <c r="I322" s="154" t="s">
        <v>316</v>
      </c>
      <c r="J322" s="152" t="s">
        <v>168</v>
      </c>
      <c r="K322" s="152"/>
      <c r="L322" s="152"/>
      <c r="M322" s="152"/>
      <c r="N322" s="152"/>
      <c r="O322" s="152"/>
      <c r="P322" s="152"/>
      <c r="Q322" s="150" t="s">
        <v>202</v>
      </c>
      <c r="R322" s="167" t="s">
        <v>308</v>
      </c>
      <c r="S322" s="167" t="s">
        <v>309</v>
      </c>
      <c r="T322" s="150"/>
      <c r="U322" s="150"/>
      <c r="V322" s="150"/>
      <c r="W322" s="155"/>
      <c r="X322" s="156"/>
      <c r="Y322" s="155"/>
    </row>
    <row r="323" spans="1:25" ht="79.95" customHeight="1" x14ac:dyDescent="0.3">
      <c r="A323" s="40">
        <v>319</v>
      </c>
      <c r="B323" s="148"/>
      <c r="C323" s="149" t="s">
        <v>943</v>
      </c>
      <c r="D323" s="150" t="s">
        <v>303</v>
      </c>
      <c r="E323" s="150" t="s">
        <v>318</v>
      </c>
      <c r="F323" s="151" t="s">
        <v>199</v>
      </c>
      <c r="G323" s="152"/>
      <c r="H323" s="153" t="s">
        <v>319</v>
      </c>
      <c r="I323" s="154" t="s">
        <v>320</v>
      </c>
      <c r="J323" s="152" t="s">
        <v>168</v>
      </c>
      <c r="K323" s="152"/>
      <c r="L323" s="152"/>
      <c r="M323" s="152"/>
      <c r="N323" s="152"/>
      <c r="O323" s="152"/>
      <c r="P323" s="152"/>
      <c r="Q323" s="150" t="s">
        <v>202</v>
      </c>
      <c r="R323" s="167" t="s">
        <v>308</v>
      </c>
      <c r="S323" s="167" t="s">
        <v>309</v>
      </c>
      <c r="T323" s="150"/>
      <c r="U323" s="150"/>
      <c r="V323" s="150"/>
      <c r="W323" s="155"/>
      <c r="X323" s="156"/>
      <c r="Y323" s="155"/>
    </row>
    <row r="324" spans="1:25" ht="79.95" customHeight="1" x14ac:dyDescent="0.3">
      <c r="A324" s="40">
        <v>320</v>
      </c>
      <c r="B324" s="148"/>
      <c r="C324" s="149" t="s">
        <v>943</v>
      </c>
      <c r="D324" s="150" t="s">
        <v>303</v>
      </c>
      <c r="E324" s="150" t="s">
        <v>323</v>
      </c>
      <c r="F324" s="151" t="s">
        <v>199</v>
      </c>
      <c r="G324" s="152"/>
      <c r="H324" s="153" t="s">
        <v>324</v>
      </c>
      <c r="I324" s="154" t="s">
        <v>325</v>
      </c>
      <c r="J324" s="152" t="s">
        <v>168</v>
      </c>
      <c r="K324" s="152"/>
      <c r="L324" s="152"/>
      <c r="M324" s="152"/>
      <c r="N324" s="152"/>
      <c r="O324" s="152"/>
      <c r="P324" s="152"/>
      <c r="Q324" s="150" t="s">
        <v>202</v>
      </c>
      <c r="R324" s="167" t="s">
        <v>308</v>
      </c>
      <c r="S324" s="167" t="s">
        <v>309</v>
      </c>
      <c r="T324" s="150"/>
      <c r="U324" s="150"/>
      <c r="V324" s="150"/>
      <c r="W324" s="155"/>
      <c r="X324" s="156"/>
      <c r="Y324" s="155"/>
    </row>
    <row r="325" spans="1:25" ht="79.95" customHeight="1" x14ac:dyDescent="0.3">
      <c r="A325" s="40">
        <v>321</v>
      </c>
      <c r="B325" s="148"/>
      <c r="C325" s="149" t="s">
        <v>943</v>
      </c>
      <c r="D325" s="150" t="s">
        <v>303</v>
      </c>
      <c r="E325" s="150" t="s">
        <v>327</v>
      </c>
      <c r="F325" s="151" t="s">
        <v>199</v>
      </c>
      <c r="G325" s="152"/>
      <c r="H325" s="168" t="s">
        <v>328</v>
      </c>
      <c r="I325" s="154" t="s">
        <v>329</v>
      </c>
      <c r="J325" s="152" t="s">
        <v>168</v>
      </c>
      <c r="K325" s="152"/>
      <c r="L325" s="152"/>
      <c r="M325" s="152"/>
      <c r="N325" s="152"/>
      <c r="O325" s="152"/>
      <c r="P325" s="152"/>
      <c r="Q325" s="150" t="s">
        <v>202</v>
      </c>
      <c r="R325" s="167" t="s">
        <v>308</v>
      </c>
      <c r="S325" s="167" t="s">
        <v>309</v>
      </c>
      <c r="T325" s="150"/>
      <c r="U325" s="150"/>
      <c r="V325" s="150"/>
      <c r="W325" s="155"/>
      <c r="X325" s="156"/>
      <c r="Y325" s="155"/>
    </row>
    <row r="326" spans="1:25" ht="79.95" customHeight="1" x14ac:dyDescent="0.3">
      <c r="A326" s="40">
        <v>322</v>
      </c>
      <c r="B326" s="148"/>
      <c r="C326" s="149" t="s">
        <v>943</v>
      </c>
      <c r="D326" s="150" t="s">
        <v>303</v>
      </c>
      <c r="E326" s="150" t="s">
        <v>331</v>
      </c>
      <c r="F326" s="151" t="s">
        <v>199</v>
      </c>
      <c r="G326" s="152"/>
      <c r="H326" s="153" t="s">
        <v>332</v>
      </c>
      <c r="I326" s="154" t="s">
        <v>333</v>
      </c>
      <c r="J326" s="152" t="s">
        <v>168</v>
      </c>
      <c r="K326" s="152"/>
      <c r="L326" s="152"/>
      <c r="M326" s="152"/>
      <c r="N326" s="152"/>
      <c r="O326" s="152"/>
      <c r="P326" s="152"/>
      <c r="Q326" s="150" t="s">
        <v>202</v>
      </c>
      <c r="R326" s="167" t="s">
        <v>308</v>
      </c>
      <c r="S326" s="167" t="s">
        <v>309</v>
      </c>
      <c r="T326" s="150"/>
      <c r="U326" s="150"/>
      <c r="V326" s="150"/>
      <c r="W326" s="155"/>
      <c r="X326" s="156"/>
      <c r="Y326" s="155"/>
    </row>
    <row r="327" spans="1:25" ht="79.95" customHeight="1" x14ac:dyDescent="0.3">
      <c r="A327" s="40">
        <v>323</v>
      </c>
      <c r="B327" s="148"/>
      <c r="C327" s="149" t="s">
        <v>943</v>
      </c>
      <c r="D327" s="150" t="s">
        <v>303</v>
      </c>
      <c r="E327" s="150" t="s">
        <v>304</v>
      </c>
      <c r="F327" s="151" t="s">
        <v>199</v>
      </c>
      <c r="G327" s="152"/>
      <c r="H327" s="168" t="s">
        <v>335</v>
      </c>
      <c r="I327" s="154" t="s">
        <v>336</v>
      </c>
      <c r="J327" s="152" t="s">
        <v>168</v>
      </c>
      <c r="K327" s="152"/>
      <c r="L327" s="152"/>
      <c r="M327" s="152"/>
      <c r="N327" s="152"/>
      <c r="O327" s="152"/>
      <c r="P327" s="152"/>
      <c r="Q327" s="150" t="s">
        <v>202</v>
      </c>
      <c r="R327" s="167" t="s">
        <v>308</v>
      </c>
      <c r="S327" s="167" t="s">
        <v>309</v>
      </c>
      <c r="T327" s="150"/>
      <c r="U327" s="150"/>
      <c r="V327" s="150"/>
      <c r="W327" s="155"/>
      <c r="X327" s="156"/>
      <c r="Y327" s="155"/>
    </row>
    <row r="328" spans="1:25" ht="79.95" customHeight="1" x14ac:dyDescent="0.3">
      <c r="A328" s="40">
        <v>324</v>
      </c>
      <c r="B328" s="148"/>
      <c r="C328" s="149" t="s">
        <v>943</v>
      </c>
      <c r="D328" s="150" t="s">
        <v>303</v>
      </c>
      <c r="E328" s="150" t="s">
        <v>304</v>
      </c>
      <c r="F328" s="151" t="s">
        <v>199</v>
      </c>
      <c r="G328" s="152"/>
      <c r="H328" s="153" t="s">
        <v>338</v>
      </c>
      <c r="I328" s="154" t="s">
        <v>339</v>
      </c>
      <c r="J328" s="152" t="s">
        <v>168</v>
      </c>
      <c r="K328" s="152"/>
      <c r="L328" s="152"/>
      <c r="M328" s="152"/>
      <c r="N328" s="152"/>
      <c r="O328" s="152"/>
      <c r="P328" s="152"/>
      <c r="Q328" s="150" t="s">
        <v>202</v>
      </c>
      <c r="R328" s="167" t="s">
        <v>308</v>
      </c>
      <c r="S328" s="167" t="s">
        <v>309</v>
      </c>
      <c r="T328" s="150"/>
      <c r="U328" s="150"/>
      <c r="V328" s="150"/>
      <c r="W328" s="155"/>
      <c r="X328" s="156"/>
      <c r="Y328" s="155"/>
    </row>
    <row r="329" spans="1:25" ht="79.95" customHeight="1" x14ac:dyDescent="0.3">
      <c r="A329" s="40">
        <v>325</v>
      </c>
      <c r="B329" s="148"/>
      <c r="C329" s="149" t="s">
        <v>943</v>
      </c>
      <c r="D329" s="150" t="s">
        <v>303</v>
      </c>
      <c r="E329" s="150" t="s">
        <v>341</v>
      </c>
      <c r="F329" s="151" t="s">
        <v>199</v>
      </c>
      <c r="G329" s="152"/>
      <c r="H329" s="153" t="s">
        <v>342</v>
      </c>
      <c r="I329" s="154" t="s">
        <v>343</v>
      </c>
      <c r="J329" s="152" t="s">
        <v>168</v>
      </c>
      <c r="K329" s="152"/>
      <c r="L329" s="152"/>
      <c r="M329" s="152"/>
      <c r="N329" s="152"/>
      <c r="O329" s="152"/>
      <c r="P329" s="152"/>
      <c r="Q329" s="150" t="s">
        <v>202</v>
      </c>
      <c r="R329" s="167" t="s">
        <v>308</v>
      </c>
      <c r="S329" s="167" t="s">
        <v>309</v>
      </c>
      <c r="T329" s="150"/>
      <c r="U329" s="150"/>
      <c r="V329" s="150"/>
      <c r="W329" s="155"/>
      <c r="X329" s="156"/>
      <c r="Y329" s="155"/>
    </row>
    <row r="330" spans="1:25" ht="79.95" customHeight="1" x14ac:dyDescent="0.3">
      <c r="A330" s="40">
        <v>326</v>
      </c>
      <c r="B330" s="148"/>
      <c r="C330" s="149" t="s">
        <v>431</v>
      </c>
      <c r="D330" s="150" t="s">
        <v>345</v>
      </c>
      <c r="E330" s="150" t="s">
        <v>346</v>
      </c>
      <c r="F330" s="151" t="s">
        <v>199</v>
      </c>
      <c r="G330" s="152"/>
      <c r="H330" s="153" t="s">
        <v>347</v>
      </c>
      <c r="I330" s="154" t="s">
        <v>348</v>
      </c>
      <c r="J330" s="152" t="s">
        <v>168</v>
      </c>
      <c r="K330" s="152"/>
      <c r="L330" s="152"/>
      <c r="M330" s="152"/>
      <c r="N330" s="152"/>
      <c r="O330" s="152"/>
      <c r="P330" s="152"/>
      <c r="Q330" s="150" t="s">
        <v>202</v>
      </c>
      <c r="R330" s="150" t="s">
        <v>345</v>
      </c>
      <c r="S330" s="150" t="s">
        <v>349</v>
      </c>
      <c r="T330" s="150"/>
      <c r="U330" s="150"/>
      <c r="V330" s="150"/>
      <c r="W330" s="155"/>
      <c r="X330" s="156"/>
      <c r="Y330" s="155"/>
    </row>
    <row r="331" spans="1:25" ht="79.95" customHeight="1" x14ac:dyDescent="0.3">
      <c r="A331" s="40">
        <v>327</v>
      </c>
      <c r="B331" s="148"/>
      <c r="C331" s="149" t="s">
        <v>431</v>
      </c>
      <c r="D331" s="150" t="s">
        <v>345</v>
      </c>
      <c r="E331" s="150" t="s">
        <v>346</v>
      </c>
      <c r="F331" s="151" t="s">
        <v>199</v>
      </c>
      <c r="G331" s="152"/>
      <c r="H331" s="153" t="s">
        <v>351</v>
      </c>
      <c r="I331" s="154" t="s">
        <v>352</v>
      </c>
      <c r="J331" s="152" t="s">
        <v>168</v>
      </c>
      <c r="K331" s="152"/>
      <c r="L331" s="152"/>
      <c r="M331" s="152"/>
      <c r="N331" s="152"/>
      <c r="O331" s="152"/>
      <c r="P331" s="152"/>
      <c r="Q331" s="150" t="s">
        <v>202</v>
      </c>
      <c r="R331" s="150" t="s">
        <v>345</v>
      </c>
      <c r="S331" s="150" t="s">
        <v>349</v>
      </c>
      <c r="T331" s="150"/>
      <c r="U331" s="150"/>
      <c r="V331" s="150"/>
      <c r="W331" s="155"/>
      <c r="X331" s="156"/>
      <c r="Y331" s="155"/>
    </row>
    <row r="332" spans="1:25" ht="79.95" customHeight="1" x14ac:dyDescent="0.3">
      <c r="A332" s="40">
        <v>328</v>
      </c>
      <c r="B332" s="148"/>
      <c r="C332" s="149" t="s">
        <v>431</v>
      </c>
      <c r="D332" s="150" t="s">
        <v>345</v>
      </c>
      <c r="E332" s="150" t="s">
        <v>346</v>
      </c>
      <c r="F332" s="151" t="s">
        <v>199</v>
      </c>
      <c r="G332" s="152"/>
      <c r="H332" s="153" t="s">
        <v>354</v>
      </c>
      <c r="I332" s="154" t="s">
        <v>355</v>
      </c>
      <c r="J332" s="152" t="s">
        <v>168</v>
      </c>
      <c r="K332" s="152"/>
      <c r="L332" s="152"/>
      <c r="M332" s="152"/>
      <c r="N332" s="152"/>
      <c r="O332" s="152"/>
      <c r="P332" s="152"/>
      <c r="Q332" s="150" t="s">
        <v>202</v>
      </c>
      <c r="R332" s="150" t="s">
        <v>345</v>
      </c>
      <c r="S332" s="150" t="s">
        <v>349</v>
      </c>
      <c r="T332" s="150"/>
      <c r="U332" s="150"/>
      <c r="V332" s="150"/>
      <c r="W332" s="155"/>
      <c r="X332" s="156"/>
      <c r="Y332" s="155"/>
    </row>
    <row r="333" spans="1:25" ht="79.95" customHeight="1" x14ac:dyDescent="0.3">
      <c r="A333" s="40">
        <v>329</v>
      </c>
      <c r="B333" s="148"/>
      <c r="C333" s="149" t="s">
        <v>431</v>
      </c>
      <c r="D333" s="150" t="s">
        <v>345</v>
      </c>
      <c r="E333" s="150" t="s">
        <v>346</v>
      </c>
      <c r="F333" s="151" t="s">
        <v>199</v>
      </c>
      <c r="G333" s="152"/>
      <c r="H333" s="153" t="s">
        <v>357</v>
      </c>
      <c r="I333" s="154" t="s">
        <v>355</v>
      </c>
      <c r="J333" s="152" t="s">
        <v>168</v>
      </c>
      <c r="K333" s="152"/>
      <c r="L333" s="152"/>
      <c r="M333" s="152"/>
      <c r="N333" s="152"/>
      <c r="O333" s="152"/>
      <c r="P333" s="152"/>
      <c r="Q333" s="150" t="s">
        <v>202</v>
      </c>
      <c r="R333" s="150" t="s">
        <v>345</v>
      </c>
      <c r="S333" s="150" t="s">
        <v>349</v>
      </c>
      <c r="T333" s="150"/>
      <c r="U333" s="150"/>
      <c r="V333" s="150"/>
      <c r="W333" s="155"/>
      <c r="X333" s="156"/>
      <c r="Y333" s="155"/>
    </row>
    <row r="334" spans="1:25" ht="79.95" customHeight="1" x14ac:dyDescent="0.3">
      <c r="A334" s="40">
        <v>330</v>
      </c>
      <c r="B334" s="148"/>
      <c r="C334" s="149" t="s">
        <v>431</v>
      </c>
      <c r="D334" s="150" t="s">
        <v>345</v>
      </c>
      <c r="E334" s="150" t="s">
        <v>346</v>
      </c>
      <c r="F334" s="151" t="s">
        <v>199</v>
      </c>
      <c r="G334" s="152"/>
      <c r="H334" s="153" t="s">
        <v>359</v>
      </c>
      <c r="I334" s="154" t="s">
        <v>360</v>
      </c>
      <c r="J334" s="152" t="s">
        <v>168</v>
      </c>
      <c r="K334" s="152"/>
      <c r="L334" s="152"/>
      <c r="M334" s="152"/>
      <c r="N334" s="152"/>
      <c r="O334" s="152"/>
      <c r="P334" s="152"/>
      <c r="Q334" s="150" t="s">
        <v>202</v>
      </c>
      <c r="R334" s="150" t="s">
        <v>345</v>
      </c>
      <c r="S334" s="150" t="s">
        <v>349</v>
      </c>
      <c r="T334" s="150"/>
      <c r="U334" s="150"/>
      <c r="V334" s="150"/>
      <c r="W334" s="155"/>
      <c r="X334" s="156"/>
      <c r="Y334" s="155"/>
    </row>
    <row r="335" spans="1:25" ht="79.95" customHeight="1" x14ac:dyDescent="0.3">
      <c r="A335" s="40">
        <v>331</v>
      </c>
      <c r="B335" s="148"/>
      <c r="C335" s="149" t="s">
        <v>431</v>
      </c>
      <c r="D335" s="150" t="s">
        <v>345</v>
      </c>
      <c r="E335" s="150" t="s">
        <v>346</v>
      </c>
      <c r="F335" s="151" t="s">
        <v>199</v>
      </c>
      <c r="G335" s="152"/>
      <c r="H335" s="153" t="s">
        <v>363</v>
      </c>
      <c r="I335" s="154" t="s">
        <v>364</v>
      </c>
      <c r="J335" s="152" t="s">
        <v>168</v>
      </c>
      <c r="K335" s="152"/>
      <c r="L335" s="152"/>
      <c r="M335" s="152"/>
      <c r="N335" s="152"/>
      <c r="O335" s="152"/>
      <c r="P335" s="152"/>
      <c r="Q335" s="150" t="s">
        <v>202</v>
      </c>
      <c r="R335" s="150" t="s">
        <v>345</v>
      </c>
      <c r="S335" s="150" t="s">
        <v>349</v>
      </c>
      <c r="T335" s="150"/>
      <c r="U335" s="150"/>
      <c r="V335" s="150"/>
      <c r="W335" s="155"/>
      <c r="X335" s="156"/>
      <c r="Y335" s="155"/>
    </row>
    <row r="336" spans="1:25" ht="79.95" customHeight="1" x14ac:dyDescent="0.3">
      <c r="A336" s="40">
        <v>332</v>
      </c>
      <c r="B336" s="148"/>
      <c r="C336" s="149" t="s">
        <v>431</v>
      </c>
      <c r="D336" s="150" t="s">
        <v>345</v>
      </c>
      <c r="E336" s="150" t="s">
        <v>346</v>
      </c>
      <c r="F336" s="151" t="s">
        <v>199</v>
      </c>
      <c r="G336" s="152"/>
      <c r="H336" s="153" t="s">
        <v>366</v>
      </c>
      <c r="I336" s="154" t="s">
        <v>367</v>
      </c>
      <c r="J336" s="152" t="s">
        <v>168</v>
      </c>
      <c r="K336" s="152"/>
      <c r="L336" s="152"/>
      <c r="M336" s="152"/>
      <c r="N336" s="152"/>
      <c r="O336" s="152"/>
      <c r="P336" s="152"/>
      <c r="Q336" s="150" t="s">
        <v>202</v>
      </c>
      <c r="R336" s="150" t="s">
        <v>345</v>
      </c>
      <c r="S336" s="150" t="s">
        <v>349</v>
      </c>
      <c r="T336" s="150"/>
      <c r="U336" s="150"/>
      <c r="V336" s="150"/>
      <c r="W336" s="155"/>
      <c r="X336" s="156"/>
      <c r="Y336" s="155"/>
    </row>
    <row r="337" spans="1:25" ht="79.95" customHeight="1" x14ac:dyDescent="0.3">
      <c r="A337" s="40">
        <v>333</v>
      </c>
      <c r="B337" s="148"/>
      <c r="C337" s="149" t="s">
        <v>431</v>
      </c>
      <c r="D337" s="150" t="s">
        <v>345</v>
      </c>
      <c r="E337" s="150" t="s">
        <v>346</v>
      </c>
      <c r="F337" s="151" t="s">
        <v>199</v>
      </c>
      <c r="G337" s="152"/>
      <c r="H337" s="153" t="s">
        <v>369</v>
      </c>
      <c r="I337" s="154" t="s">
        <v>370</v>
      </c>
      <c r="J337" s="152" t="s">
        <v>168</v>
      </c>
      <c r="K337" s="152"/>
      <c r="L337" s="152"/>
      <c r="M337" s="152"/>
      <c r="N337" s="152"/>
      <c r="O337" s="152"/>
      <c r="P337" s="152"/>
      <c r="Q337" s="150" t="s">
        <v>202</v>
      </c>
      <c r="R337" s="150" t="s">
        <v>345</v>
      </c>
      <c r="S337" s="150" t="s">
        <v>349</v>
      </c>
      <c r="T337" s="150"/>
      <c r="U337" s="150"/>
      <c r="V337" s="150"/>
      <c r="W337" s="155"/>
      <c r="X337" s="156"/>
      <c r="Y337" s="155"/>
    </row>
    <row r="338" spans="1:25" ht="79.95" customHeight="1" x14ac:dyDescent="0.3">
      <c r="A338" s="40">
        <v>334</v>
      </c>
      <c r="B338" s="148"/>
      <c r="C338" s="149" t="s">
        <v>431</v>
      </c>
      <c r="D338" s="150" t="s">
        <v>345</v>
      </c>
      <c r="E338" s="150" t="s">
        <v>346</v>
      </c>
      <c r="F338" s="151" t="s">
        <v>199</v>
      </c>
      <c r="G338" s="152"/>
      <c r="H338" s="153" t="s">
        <v>372</v>
      </c>
      <c r="I338" s="154" t="s">
        <v>373</v>
      </c>
      <c r="J338" s="152" t="s">
        <v>168</v>
      </c>
      <c r="K338" s="152"/>
      <c r="L338" s="152"/>
      <c r="M338" s="152"/>
      <c r="N338" s="152"/>
      <c r="O338" s="152"/>
      <c r="P338" s="152"/>
      <c r="Q338" s="150" t="s">
        <v>202</v>
      </c>
      <c r="R338" s="150" t="s">
        <v>345</v>
      </c>
      <c r="S338" s="150" t="s">
        <v>349</v>
      </c>
      <c r="T338" s="150"/>
      <c r="U338" s="150"/>
      <c r="V338" s="150"/>
      <c r="W338" s="155"/>
      <c r="X338" s="156"/>
      <c r="Y338" s="155"/>
    </row>
    <row r="339" spans="1:25" ht="79.95" customHeight="1" x14ac:dyDescent="0.3">
      <c r="A339" s="40">
        <v>335</v>
      </c>
      <c r="B339" s="148"/>
      <c r="C339" s="149" t="s">
        <v>951</v>
      </c>
      <c r="D339" s="150" t="s">
        <v>345</v>
      </c>
      <c r="E339" s="150" t="s">
        <v>375</v>
      </c>
      <c r="F339" s="151" t="s">
        <v>199</v>
      </c>
      <c r="G339" s="152"/>
      <c r="H339" s="153" t="s">
        <v>377</v>
      </c>
      <c r="I339" s="154" t="s">
        <v>378</v>
      </c>
      <c r="J339" s="152" t="s">
        <v>168</v>
      </c>
      <c r="K339" s="152"/>
      <c r="L339" s="152"/>
      <c r="M339" s="152"/>
      <c r="N339" s="152"/>
      <c r="O339" s="152"/>
      <c r="P339" s="152"/>
      <c r="Q339" s="150" t="s">
        <v>202</v>
      </c>
      <c r="R339" s="150" t="s">
        <v>345</v>
      </c>
      <c r="S339" s="150" t="s">
        <v>349</v>
      </c>
      <c r="T339" s="150"/>
      <c r="U339" s="150"/>
      <c r="V339" s="150"/>
      <c r="W339" s="155"/>
      <c r="X339" s="156"/>
      <c r="Y339" s="155"/>
    </row>
    <row r="340" spans="1:25" ht="79.95" customHeight="1" x14ac:dyDescent="0.3">
      <c r="A340" s="40">
        <v>336</v>
      </c>
      <c r="B340" s="148"/>
      <c r="C340" s="149" t="s">
        <v>951</v>
      </c>
      <c r="D340" s="150" t="s">
        <v>345</v>
      </c>
      <c r="E340" s="150" t="s">
        <v>375</v>
      </c>
      <c r="F340" s="151" t="s">
        <v>199</v>
      </c>
      <c r="G340" s="152"/>
      <c r="H340" s="153" t="s">
        <v>380</v>
      </c>
      <c r="I340" s="154" t="s">
        <v>355</v>
      </c>
      <c r="J340" s="152" t="s">
        <v>168</v>
      </c>
      <c r="K340" s="152"/>
      <c r="L340" s="152"/>
      <c r="M340" s="152"/>
      <c r="N340" s="152"/>
      <c r="O340" s="152"/>
      <c r="P340" s="152"/>
      <c r="Q340" s="150" t="s">
        <v>202</v>
      </c>
      <c r="R340" s="150" t="s">
        <v>345</v>
      </c>
      <c r="S340" s="150" t="s">
        <v>349</v>
      </c>
      <c r="T340" s="150"/>
      <c r="U340" s="150"/>
      <c r="V340" s="150"/>
      <c r="W340" s="155"/>
      <c r="X340" s="156"/>
      <c r="Y340" s="155"/>
    </row>
    <row r="341" spans="1:25" ht="79.95" customHeight="1" x14ac:dyDescent="0.3">
      <c r="A341" s="40">
        <v>337</v>
      </c>
      <c r="B341" s="148"/>
      <c r="C341" s="149" t="s">
        <v>951</v>
      </c>
      <c r="D341" s="150" t="s">
        <v>345</v>
      </c>
      <c r="E341" s="150" t="s">
        <v>375</v>
      </c>
      <c r="F341" s="151" t="s">
        <v>199</v>
      </c>
      <c r="G341" s="152"/>
      <c r="H341" s="153" t="s">
        <v>382</v>
      </c>
      <c r="I341" s="154" t="s">
        <v>383</v>
      </c>
      <c r="J341" s="152" t="s">
        <v>168</v>
      </c>
      <c r="K341" s="152"/>
      <c r="L341" s="152"/>
      <c r="M341" s="152"/>
      <c r="N341" s="152"/>
      <c r="O341" s="152"/>
      <c r="P341" s="152"/>
      <c r="Q341" s="150" t="s">
        <v>202</v>
      </c>
      <c r="R341" s="150" t="s">
        <v>345</v>
      </c>
      <c r="S341" s="150" t="s">
        <v>349</v>
      </c>
      <c r="T341" s="150"/>
      <c r="U341" s="150"/>
      <c r="V341" s="150"/>
      <c r="W341" s="155"/>
      <c r="X341" s="156"/>
      <c r="Y341" s="155"/>
    </row>
    <row r="342" spans="1:25" ht="79.95" customHeight="1" x14ac:dyDescent="0.3">
      <c r="A342" s="40">
        <v>338</v>
      </c>
      <c r="B342" s="148"/>
      <c r="C342" s="149" t="s">
        <v>951</v>
      </c>
      <c r="D342" s="150" t="s">
        <v>345</v>
      </c>
      <c r="E342" s="150" t="s">
        <v>375</v>
      </c>
      <c r="F342" s="151" t="s">
        <v>199</v>
      </c>
      <c r="G342" s="152"/>
      <c r="H342" s="153" t="s">
        <v>385</v>
      </c>
      <c r="I342" s="154" t="s">
        <v>386</v>
      </c>
      <c r="J342" s="152" t="s">
        <v>168</v>
      </c>
      <c r="K342" s="152"/>
      <c r="L342" s="152"/>
      <c r="M342" s="152"/>
      <c r="N342" s="152"/>
      <c r="O342" s="152"/>
      <c r="P342" s="152"/>
      <c r="Q342" s="150" t="s">
        <v>202</v>
      </c>
      <c r="R342" s="150" t="s">
        <v>345</v>
      </c>
      <c r="S342" s="150" t="s">
        <v>349</v>
      </c>
      <c r="T342" s="150"/>
      <c r="U342" s="150"/>
      <c r="V342" s="150"/>
      <c r="W342" s="155"/>
      <c r="X342" s="156"/>
      <c r="Y342" s="155"/>
    </row>
    <row r="343" spans="1:25" ht="79.95" customHeight="1" x14ac:dyDescent="0.3">
      <c r="A343" s="40">
        <v>339</v>
      </c>
      <c r="B343" s="148"/>
      <c r="C343" s="149" t="s">
        <v>951</v>
      </c>
      <c r="D343" s="150" t="s">
        <v>345</v>
      </c>
      <c r="E343" s="150" t="s">
        <v>375</v>
      </c>
      <c r="F343" s="151" t="s">
        <v>199</v>
      </c>
      <c r="G343" s="152"/>
      <c r="H343" s="153" t="s">
        <v>387</v>
      </c>
      <c r="I343" s="154" t="s">
        <v>388</v>
      </c>
      <c r="J343" s="152" t="s">
        <v>168</v>
      </c>
      <c r="K343" s="152"/>
      <c r="L343" s="152"/>
      <c r="M343" s="152"/>
      <c r="N343" s="152"/>
      <c r="O343" s="152"/>
      <c r="P343" s="152"/>
      <c r="Q343" s="150" t="s">
        <v>202</v>
      </c>
      <c r="R343" s="150" t="s">
        <v>345</v>
      </c>
      <c r="S343" s="150" t="s">
        <v>349</v>
      </c>
      <c r="T343" s="150"/>
      <c r="U343" s="150"/>
      <c r="V343" s="150"/>
      <c r="W343" s="155"/>
      <c r="X343" s="156"/>
      <c r="Y343" s="155"/>
    </row>
    <row r="344" spans="1:25" ht="79.95" customHeight="1" x14ac:dyDescent="0.3">
      <c r="A344" s="40">
        <v>340</v>
      </c>
      <c r="B344" s="148"/>
      <c r="C344" s="149" t="s">
        <v>951</v>
      </c>
      <c r="D344" s="150" t="s">
        <v>345</v>
      </c>
      <c r="E344" s="150" t="s">
        <v>375</v>
      </c>
      <c r="F344" s="151" t="s">
        <v>199</v>
      </c>
      <c r="G344" s="152"/>
      <c r="H344" s="153" t="s">
        <v>392</v>
      </c>
      <c r="I344" s="154" t="s">
        <v>393</v>
      </c>
      <c r="J344" s="152" t="s">
        <v>168</v>
      </c>
      <c r="K344" s="152"/>
      <c r="L344" s="152"/>
      <c r="M344" s="152"/>
      <c r="N344" s="152"/>
      <c r="O344" s="152"/>
      <c r="P344" s="152"/>
      <c r="Q344" s="150" t="s">
        <v>202</v>
      </c>
      <c r="R344" s="150" t="s">
        <v>345</v>
      </c>
      <c r="S344" s="150" t="s">
        <v>349</v>
      </c>
      <c r="T344" s="150"/>
      <c r="U344" s="150"/>
      <c r="V344" s="150"/>
      <c r="W344" s="155"/>
      <c r="X344" s="156"/>
      <c r="Y344" s="155"/>
    </row>
    <row r="345" spans="1:25" ht="79.95" customHeight="1" x14ac:dyDescent="0.3">
      <c r="A345" s="40">
        <v>341</v>
      </c>
      <c r="B345" s="148"/>
      <c r="C345" s="149" t="s">
        <v>951</v>
      </c>
      <c r="D345" s="150" t="s">
        <v>345</v>
      </c>
      <c r="E345" s="150" t="s">
        <v>375</v>
      </c>
      <c r="F345" s="151" t="s">
        <v>199</v>
      </c>
      <c r="G345" s="152"/>
      <c r="H345" s="153" t="s">
        <v>395</v>
      </c>
      <c r="I345" s="154" t="s">
        <v>396</v>
      </c>
      <c r="J345" s="152" t="s">
        <v>168</v>
      </c>
      <c r="K345" s="152"/>
      <c r="L345" s="152"/>
      <c r="M345" s="152"/>
      <c r="N345" s="152"/>
      <c r="O345" s="152"/>
      <c r="P345" s="152"/>
      <c r="Q345" s="150" t="s">
        <v>202</v>
      </c>
      <c r="R345" s="150" t="s">
        <v>345</v>
      </c>
      <c r="S345" s="150" t="s">
        <v>349</v>
      </c>
      <c r="T345" s="150"/>
      <c r="U345" s="150"/>
      <c r="V345" s="150"/>
      <c r="W345" s="155"/>
      <c r="X345" s="156"/>
      <c r="Y345" s="155"/>
    </row>
    <row r="346" spans="1:25" ht="79.95" customHeight="1" x14ac:dyDescent="0.3">
      <c r="A346" s="40">
        <v>342</v>
      </c>
      <c r="B346" s="148"/>
      <c r="C346" s="149" t="s">
        <v>951</v>
      </c>
      <c r="D346" s="150" t="s">
        <v>345</v>
      </c>
      <c r="E346" s="150" t="s">
        <v>375</v>
      </c>
      <c r="F346" s="151" t="s">
        <v>199</v>
      </c>
      <c r="G346" s="152"/>
      <c r="H346" s="153" t="s">
        <v>398</v>
      </c>
      <c r="I346" s="154" t="s">
        <v>399</v>
      </c>
      <c r="J346" s="152" t="s">
        <v>400</v>
      </c>
      <c r="K346" s="152"/>
      <c r="L346" s="152"/>
      <c r="M346" s="152"/>
      <c r="N346" s="152"/>
      <c r="O346" s="152"/>
      <c r="P346" s="152"/>
      <c r="Q346" s="150" t="s">
        <v>202</v>
      </c>
      <c r="R346" s="150" t="s">
        <v>345</v>
      </c>
      <c r="S346" s="150" t="s">
        <v>349</v>
      </c>
      <c r="T346" s="150"/>
      <c r="U346" s="150"/>
      <c r="V346" s="150"/>
      <c r="W346" s="155"/>
      <c r="X346" s="156"/>
      <c r="Y346" s="155"/>
    </row>
    <row r="347" spans="1:25" ht="79.95" customHeight="1" x14ac:dyDescent="0.3">
      <c r="A347" s="40">
        <v>343</v>
      </c>
      <c r="B347" s="148"/>
      <c r="C347" s="149" t="s">
        <v>951</v>
      </c>
      <c r="D347" s="150" t="s">
        <v>345</v>
      </c>
      <c r="E347" s="150" t="s">
        <v>375</v>
      </c>
      <c r="F347" s="151" t="s">
        <v>199</v>
      </c>
      <c r="G347" s="152"/>
      <c r="H347" s="153" t="s">
        <v>403</v>
      </c>
      <c r="I347" s="154" t="s">
        <v>404</v>
      </c>
      <c r="J347" s="152" t="s">
        <v>400</v>
      </c>
      <c r="K347" s="152"/>
      <c r="L347" s="152"/>
      <c r="M347" s="152"/>
      <c r="N347" s="152"/>
      <c r="O347" s="152"/>
      <c r="P347" s="152"/>
      <c r="Q347" s="150" t="s">
        <v>202</v>
      </c>
      <c r="R347" s="150" t="s">
        <v>345</v>
      </c>
      <c r="S347" s="150" t="s">
        <v>349</v>
      </c>
      <c r="T347" s="150"/>
      <c r="U347" s="150"/>
      <c r="V347" s="150"/>
      <c r="W347" s="155"/>
      <c r="X347" s="156"/>
      <c r="Y347" s="155"/>
    </row>
    <row r="348" spans="1:25" ht="79.95" customHeight="1" x14ac:dyDescent="0.3">
      <c r="A348" s="40">
        <v>344</v>
      </c>
      <c r="B348" s="148"/>
      <c r="C348" s="149" t="s">
        <v>951</v>
      </c>
      <c r="D348" s="150" t="s">
        <v>345</v>
      </c>
      <c r="E348" s="150" t="s">
        <v>375</v>
      </c>
      <c r="F348" s="151" t="s">
        <v>199</v>
      </c>
      <c r="G348" s="152"/>
      <c r="H348" s="153" t="s">
        <v>406</v>
      </c>
      <c r="I348" s="154" t="s">
        <v>407</v>
      </c>
      <c r="J348" s="152" t="s">
        <v>168</v>
      </c>
      <c r="K348" s="152"/>
      <c r="L348" s="152"/>
      <c r="M348" s="152"/>
      <c r="N348" s="152"/>
      <c r="O348" s="152"/>
      <c r="P348" s="152"/>
      <c r="Q348" s="150" t="s">
        <v>202</v>
      </c>
      <c r="R348" s="150" t="s">
        <v>345</v>
      </c>
      <c r="S348" s="150" t="s">
        <v>349</v>
      </c>
      <c r="T348" s="150"/>
      <c r="U348" s="150"/>
      <c r="V348" s="150"/>
      <c r="W348" s="155"/>
      <c r="X348" s="156"/>
      <c r="Y348" s="155"/>
    </row>
    <row r="349" spans="1:25" ht="79.95" customHeight="1" x14ac:dyDescent="0.3">
      <c r="A349" s="40">
        <v>345</v>
      </c>
      <c r="B349" s="148"/>
      <c r="C349" s="149" t="s">
        <v>951</v>
      </c>
      <c r="D349" s="150" t="s">
        <v>345</v>
      </c>
      <c r="E349" s="150" t="s">
        <v>375</v>
      </c>
      <c r="F349" s="151" t="s">
        <v>199</v>
      </c>
      <c r="G349" s="152"/>
      <c r="H349" s="153" t="s">
        <v>410</v>
      </c>
      <c r="I349" s="154" t="s">
        <v>411</v>
      </c>
      <c r="J349" s="152" t="s">
        <v>168</v>
      </c>
      <c r="K349" s="152"/>
      <c r="L349" s="152"/>
      <c r="M349" s="152"/>
      <c r="N349" s="152"/>
      <c r="O349" s="152"/>
      <c r="P349" s="152"/>
      <c r="Q349" s="150" t="s">
        <v>202</v>
      </c>
      <c r="R349" s="150" t="s">
        <v>345</v>
      </c>
      <c r="S349" s="150" t="s">
        <v>349</v>
      </c>
      <c r="T349" s="150"/>
      <c r="U349" s="150"/>
      <c r="V349" s="150"/>
      <c r="W349" s="155"/>
      <c r="X349" s="156"/>
      <c r="Y349" s="155"/>
    </row>
    <row r="350" spans="1:25" ht="79.95" customHeight="1" x14ac:dyDescent="0.3">
      <c r="A350" s="40">
        <v>346</v>
      </c>
      <c r="B350" s="148"/>
      <c r="C350" s="149" t="s">
        <v>951</v>
      </c>
      <c r="D350" s="150" t="s">
        <v>345</v>
      </c>
      <c r="E350" s="150" t="s">
        <v>375</v>
      </c>
      <c r="F350" s="151" t="s">
        <v>199</v>
      </c>
      <c r="G350" s="152"/>
      <c r="H350" s="153" t="s">
        <v>413</v>
      </c>
      <c r="I350" s="154" t="s">
        <v>414</v>
      </c>
      <c r="J350" s="152" t="s">
        <v>168</v>
      </c>
      <c r="K350" s="152"/>
      <c r="L350" s="152"/>
      <c r="M350" s="152"/>
      <c r="N350" s="152"/>
      <c r="O350" s="152"/>
      <c r="P350" s="152"/>
      <c r="Q350" s="150" t="s">
        <v>202</v>
      </c>
      <c r="R350" s="150" t="s">
        <v>345</v>
      </c>
      <c r="S350" s="150" t="s">
        <v>349</v>
      </c>
      <c r="T350" s="150"/>
      <c r="U350" s="150"/>
      <c r="V350" s="150"/>
      <c r="W350" s="155"/>
      <c r="X350" s="156"/>
      <c r="Y350" s="155"/>
    </row>
    <row r="351" spans="1:25" ht="79.95" customHeight="1" x14ac:dyDescent="0.3">
      <c r="A351" s="40">
        <v>347</v>
      </c>
      <c r="B351" s="148"/>
      <c r="C351" s="149" t="s">
        <v>438</v>
      </c>
      <c r="D351" s="150" t="s">
        <v>416</v>
      </c>
      <c r="E351" s="169" t="s">
        <v>417</v>
      </c>
      <c r="F351" s="151" t="s">
        <v>199</v>
      </c>
      <c r="G351" s="152"/>
      <c r="H351" s="150" t="s">
        <v>418</v>
      </c>
      <c r="I351" s="169" t="s">
        <v>419</v>
      </c>
      <c r="J351" s="152" t="s">
        <v>168</v>
      </c>
      <c r="K351" s="152"/>
      <c r="L351" s="152"/>
      <c r="M351" s="152"/>
      <c r="N351" s="152"/>
      <c r="O351" s="152"/>
      <c r="P351" s="152"/>
      <c r="Q351" s="150" t="s">
        <v>202</v>
      </c>
      <c r="R351" s="150" t="s">
        <v>420</v>
      </c>
      <c r="S351" s="150"/>
      <c r="T351" s="150"/>
      <c r="U351" s="150"/>
      <c r="V351" s="150"/>
      <c r="W351" s="155"/>
      <c r="X351" s="156"/>
      <c r="Y351" s="155"/>
    </row>
    <row r="352" spans="1:25" ht="79.95" customHeight="1" x14ac:dyDescent="0.3">
      <c r="A352" s="40">
        <v>348</v>
      </c>
      <c r="B352" s="148"/>
      <c r="C352" s="149" t="s">
        <v>438</v>
      </c>
      <c r="D352" s="150" t="s">
        <v>416</v>
      </c>
      <c r="E352" s="169" t="s">
        <v>417</v>
      </c>
      <c r="F352" s="151" t="s">
        <v>199</v>
      </c>
      <c r="G352" s="152"/>
      <c r="H352" s="150" t="s">
        <v>422</v>
      </c>
      <c r="I352" s="169" t="s">
        <v>423</v>
      </c>
      <c r="J352" s="152" t="s">
        <v>168</v>
      </c>
      <c r="K352" s="152"/>
      <c r="L352" s="152"/>
      <c r="M352" s="152"/>
      <c r="N352" s="152"/>
      <c r="O352" s="152"/>
      <c r="P352" s="152"/>
      <c r="Q352" s="150" t="s">
        <v>202</v>
      </c>
      <c r="R352" s="150" t="s">
        <v>420</v>
      </c>
      <c r="S352" s="150"/>
      <c r="T352" s="150"/>
      <c r="U352" s="150"/>
      <c r="V352" s="150"/>
      <c r="W352" s="155"/>
      <c r="X352" s="156"/>
      <c r="Y352" s="155"/>
    </row>
    <row r="353" spans="1:25" ht="79.95" customHeight="1" x14ac:dyDescent="0.3">
      <c r="A353" s="40">
        <v>349</v>
      </c>
      <c r="B353" s="148"/>
      <c r="C353" s="149" t="s">
        <v>438</v>
      </c>
      <c r="D353" s="150" t="s">
        <v>416</v>
      </c>
      <c r="E353" s="169" t="s">
        <v>425</v>
      </c>
      <c r="F353" s="151" t="s">
        <v>199</v>
      </c>
      <c r="G353" s="152"/>
      <c r="H353" s="150" t="s">
        <v>426</v>
      </c>
      <c r="I353" s="169" t="s">
        <v>427</v>
      </c>
      <c r="J353" s="152" t="s">
        <v>261</v>
      </c>
      <c r="K353" s="152"/>
      <c r="L353" s="152"/>
      <c r="M353" s="152"/>
      <c r="N353" s="152"/>
      <c r="O353" s="152"/>
      <c r="P353" s="152"/>
      <c r="Q353" s="150" t="s">
        <v>202</v>
      </c>
      <c r="R353" s="150" t="s">
        <v>420</v>
      </c>
      <c r="S353" s="150"/>
      <c r="T353" s="150"/>
      <c r="U353" s="150"/>
      <c r="V353" s="150"/>
      <c r="W353" s="155"/>
      <c r="X353" s="156"/>
      <c r="Y353" s="155"/>
    </row>
    <row r="354" spans="1:25" ht="79.95" customHeight="1" x14ac:dyDescent="0.3">
      <c r="A354" s="40">
        <v>350</v>
      </c>
      <c r="B354" s="148"/>
      <c r="C354" s="149" t="s">
        <v>438</v>
      </c>
      <c r="D354" s="150" t="s">
        <v>416</v>
      </c>
      <c r="E354" s="169" t="s">
        <v>429</v>
      </c>
      <c r="F354" s="151" t="s">
        <v>199</v>
      </c>
      <c r="G354" s="152"/>
      <c r="H354" s="150" t="s">
        <v>430</v>
      </c>
      <c r="I354" s="169"/>
      <c r="J354" s="152" t="s">
        <v>168</v>
      </c>
      <c r="K354" s="152"/>
      <c r="L354" s="152"/>
      <c r="M354" s="152"/>
      <c r="N354" s="152"/>
      <c r="O354" s="152"/>
      <c r="P354" s="152"/>
      <c r="Q354" s="150" t="s">
        <v>202</v>
      </c>
      <c r="R354" s="150" t="s">
        <v>420</v>
      </c>
      <c r="S354" s="150"/>
      <c r="T354" s="150"/>
      <c r="U354" s="150"/>
      <c r="V354" s="150"/>
      <c r="W354" s="155"/>
      <c r="X354" s="156"/>
      <c r="Y354" s="155"/>
    </row>
    <row r="355" spans="1:25" ht="79.95" customHeight="1" x14ac:dyDescent="0.3">
      <c r="A355" s="40">
        <v>351</v>
      </c>
      <c r="B355" s="148"/>
      <c r="C355" s="149" t="s">
        <v>438</v>
      </c>
      <c r="D355" s="150" t="s">
        <v>416</v>
      </c>
      <c r="E355" s="169" t="s">
        <v>429</v>
      </c>
      <c r="F355" s="151" t="s">
        <v>199</v>
      </c>
      <c r="G355" s="152"/>
      <c r="H355" s="150" t="s">
        <v>437</v>
      </c>
      <c r="I355" s="169"/>
      <c r="J355" s="152" t="s">
        <v>168</v>
      </c>
      <c r="K355" s="152"/>
      <c r="L355" s="152"/>
      <c r="M355" s="152"/>
      <c r="N355" s="152"/>
      <c r="O355" s="152"/>
      <c r="P355" s="152"/>
      <c r="Q355" s="150" t="s">
        <v>202</v>
      </c>
      <c r="R355" s="150" t="s">
        <v>420</v>
      </c>
      <c r="S355" s="150"/>
      <c r="T355" s="150"/>
      <c r="U355" s="150"/>
      <c r="V355" s="150"/>
      <c r="W355" s="155"/>
      <c r="X355" s="156"/>
      <c r="Y355" s="155"/>
    </row>
    <row r="356" spans="1:25" ht="79.95" customHeight="1" x14ac:dyDescent="0.3">
      <c r="A356" s="40">
        <v>352</v>
      </c>
      <c r="B356" s="148"/>
      <c r="C356" s="149" t="s">
        <v>438</v>
      </c>
      <c r="D356" s="150" t="s">
        <v>416</v>
      </c>
      <c r="E356" s="169" t="s">
        <v>442</v>
      </c>
      <c r="F356" s="151" t="s">
        <v>199</v>
      </c>
      <c r="G356" s="152"/>
      <c r="H356" s="150" t="s">
        <v>444</v>
      </c>
      <c r="I356" s="169" t="s">
        <v>445</v>
      </c>
      <c r="J356" s="152" t="s">
        <v>168</v>
      </c>
      <c r="K356" s="152"/>
      <c r="L356" s="152"/>
      <c r="M356" s="152"/>
      <c r="N356" s="152"/>
      <c r="O356" s="152"/>
      <c r="P356" s="152"/>
      <c r="Q356" s="150" t="s">
        <v>202</v>
      </c>
      <c r="R356" s="150" t="s">
        <v>420</v>
      </c>
      <c r="S356" s="150"/>
      <c r="T356" s="150"/>
      <c r="U356" s="150"/>
      <c r="V356" s="150"/>
      <c r="W356" s="155"/>
      <c r="X356" s="156"/>
      <c r="Y356" s="155"/>
    </row>
    <row r="357" spans="1:25" ht="79.95" customHeight="1" x14ac:dyDescent="0.3">
      <c r="A357" s="40">
        <v>353</v>
      </c>
      <c r="B357" s="148"/>
      <c r="C357" s="149" t="s">
        <v>438</v>
      </c>
      <c r="D357" s="150" t="s">
        <v>416</v>
      </c>
      <c r="E357" s="169" t="s">
        <v>442</v>
      </c>
      <c r="F357" s="151" t="s">
        <v>199</v>
      </c>
      <c r="G357" s="152"/>
      <c r="H357" s="150" t="s">
        <v>450</v>
      </c>
      <c r="I357" s="169" t="s">
        <v>451</v>
      </c>
      <c r="J357" s="152" t="s">
        <v>168</v>
      </c>
      <c r="K357" s="152"/>
      <c r="L357" s="152"/>
      <c r="M357" s="152"/>
      <c r="N357" s="152"/>
      <c r="O357" s="152"/>
      <c r="P357" s="152"/>
      <c r="Q357" s="150" t="s">
        <v>202</v>
      </c>
      <c r="R357" s="150" t="s">
        <v>420</v>
      </c>
      <c r="S357" s="150"/>
      <c r="T357" s="150"/>
      <c r="U357" s="150"/>
      <c r="V357" s="150"/>
      <c r="W357" s="155"/>
      <c r="X357" s="156"/>
      <c r="Y357" s="155"/>
    </row>
    <row r="358" spans="1:25" ht="79.95" customHeight="1" x14ac:dyDescent="0.3">
      <c r="A358" s="40">
        <v>354</v>
      </c>
      <c r="B358" s="148"/>
      <c r="C358" s="149" t="s">
        <v>438</v>
      </c>
      <c r="D358" s="150" t="s">
        <v>416</v>
      </c>
      <c r="E358" s="169" t="s">
        <v>442</v>
      </c>
      <c r="F358" s="151" t="s">
        <v>199</v>
      </c>
      <c r="G358" s="152"/>
      <c r="H358" s="150" t="s">
        <v>456</v>
      </c>
      <c r="I358" s="169" t="s">
        <v>457</v>
      </c>
      <c r="J358" s="152" t="s">
        <v>168</v>
      </c>
      <c r="K358" s="152"/>
      <c r="L358" s="152"/>
      <c r="M358" s="152"/>
      <c r="N358" s="152"/>
      <c r="O358" s="152"/>
      <c r="P358" s="152"/>
      <c r="Q358" s="150" t="s">
        <v>202</v>
      </c>
      <c r="R358" s="150" t="s">
        <v>420</v>
      </c>
      <c r="S358" s="150"/>
      <c r="T358" s="150"/>
      <c r="U358" s="150"/>
      <c r="V358" s="150"/>
      <c r="W358" s="155"/>
      <c r="X358" s="156"/>
      <c r="Y358" s="155"/>
    </row>
    <row r="359" spans="1:25" ht="79.95" customHeight="1" x14ac:dyDescent="0.3">
      <c r="A359" s="40">
        <v>355</v>
      </c>
      <c r="B359" s="148"/>
      <c r="C359" s="149" t="s">
        <v>438</v>
      </c>
      <c r="D359" s="150" t="s">
        <v>416</v>
      </c>
      <c r="E359" s="169" t="s">
        <v>442</v>
      </c>
      <c r="F359" s="151" t="s">
        <v>199</v>
      </c>
      <c r="G359" s="152"/>
      <c r="H359" s="150" t="s">
        <v>462</v>
      </c>
      <c r="I359" s="150" t="s">
        <v>463</v>
      </c>
      <c r="J359" s="152" t="s">
        <v>168</v>
      </c>
      <c r="K359" s="152"/>
      <c r="L359" s="152"/>
      <c r="M359" s="152"/>
      <c r="N359" s="152"/>
      <c r="O359" s="152"/>
      <c r="P359" s="152"/>
      <c r="Q359" s="150" t="s">
        <v>202</v>
      </c>
      <c r="R359" s="150" t="s">
        <v>420</v>
      </c>
      <c r="S359" s="150"/>
      <c r="T359" s="150"/>
      <c r="U359" s="150"/>
      <c r="V359" s="150"/>
      <c r="W359" s="155"/>
      <c r="X359" s="156"/>
      <c r="Y359" s="155"/>
    </row>
    <row r="360" spans="1:25" ht="79.95" customHeight="1" x14ac:dyDescent="0.3">
      <c r="A360" s="40">
        <v>356</v>
      </c>
      <c r="B360" s="148"/>
      <c r="C360" s="149" t="s">
        <v>438</v>
      </c>
      <c r="D360" s="150" t="s">
        <v>416</v>
      </c>
      <c r="E360" s="169" t="s">
        <v>467</v>
      </c>
      <c r="F360" s="151" t="s">
        <v>199</v>
      </c>
      <c r="G360" s="163"/>
      <c r="H360" s="150" t="s">
        <v>468</v>
      </c>
      <c r="I360" s="169"/>
      <c r="J360" s="152" t="s">
        <v>168</v>
      </c>
      <c r="K360" s="163"/>
      <c r="L360" s="163"/>
      <c r="M360" s="163"/>
      <c r="N360" s="163"/>
      <c r="O360" s="163"/>
      <c r="P360" s="163"/>
      <c r="Q360" s="150" t="s">
        <v>202</v>
      </c>
      <c r="R360" s="150" t="s">
        <v>420</v>
      </c>
      <c r="S360" s="150"/>
      <c r="T360" s="150"/>
      <c r="U360" s="150"/>
      <c r="V360" s="150"/>
      <c r="W360" s="155"/>
      <c r="X360" s="156"/>
      <c r="Y360" s="155"/>
    </row>
    <row r="361" spans="1:25" ht="79.95" customHeight="1" x14ac:dyDescent="0.3">
      <c r="A361" s="40">
        <v>357</v>
      </c>
      <c r="B361" s="148"/>
      <c r="C361" s="149" t="s">
        <v>438</v>
      </c>
      <c r="D361" s="150" t="s">
        <v>416</v>
      </c>
      <c r="E361" s="169" t="s">
        <v>475</v>
      </c>
      <c r="F361" s="151" t="s">
        <v>199</v>
      </c>
      <c r="G361" s="163"/>
      <c r="H361" s="150" t="s">
        <v>476</v>
      </c>
      <c r="I361" s="169"/>
      <c r="J361" s="152" t="s">
        <v>168</v>
      </c>
      <c r="K361" s="163"/>
      <c r="L361" s="163"/>
      <c r="M361" s="163"/>
      <c r="N361" s="163"/>
      <c r="O361" s="163"/>
      <c r="P361" s="163"/>
      <c r="Q361" s="150" t="s">
        <v>202</v>
      </c>
      <c r="R361" s="150" t="s">
        <v>420</v>
      </c>
      <c r="S361" s="150"/>
      <c r="T361" s="150"/>
      <c r="U361" s="150"/>
      <c r="V361" s="150"/>
      <c r="W361" s="155"/>
      <c r="X361" s="156"/>
      <c r="Y361" s="155"/>
    </row>
    <row r="362" spans="1:25" ht="79.95" customHeight="1" x14ac:dyDescent="0.3">
      <c r="A362" s="40">
        <v>358</v>
      </c>
      <c r="B362" s="148"/>
      <c r="C362" s="149" t="s">
        <v>438</v>
      </c>
      <c r="D362" s="150" t="s">
        <v>416</v>
      </c>
      <c r="E362" s="169" t="s">
        <v>475</v>
      </c>
      <c r="F362" s="151" t="s">
        <v>199</v>
      </c>
      <c r="G362" s="170"/>
      <c r="H362" s="150" t="s">
        <v>482</v>
      </c>
      <c r="I362" s="169"/>
      <c r="J362" s="152" t="s">
        <v>168</v>
      </c>
      <c r="K362" s="170"/>
      <c r="L362" s="170"/>
      <c r="M362" s="170"/>
      <c r="N362" s="170"/>
      <c r="O362" s="170"/>
      <c r="P362" s="170"/>
      <c r="Q362" s="150" t="s">
        <v>202</v>
      </c>
      <c r="R362" s="150" t="s">
        <v>420</v>
      </c>
      <c r="S362" s="150"/>
      <c r="T362" s="150"/>
      <c r="U362" s="150"/>
      <c r="V362" s="150"/>
      <c r="W362" s="155"/>
      <c r="X362" s="156"/>
      <c r="Y362" s="155"/>
    </row>
    <row r="363" spans="1:25" ht="79.95" customHeight="1" x14ac:dyDescent="0.3">
      <c r="A363" s="40">
        <v>359</v>
      </c>
      <c r="B363" s="148"/>
      <c r="C363" s="149" t="s">
        <v>438</v>
      </c>
      <c r="D363" s="150" t="s">
        <v>416</v>
      </c>
      <c r="E363" s="169" t="s">
        <v>475</v>
      </c>
      <c r="F363" s="151" t="s">
        <v>199</v>
      </c>
      <c r="G363" s="170"/>
      <c r="H363" s="150" t="s">
        <v>491</v>
      </c>
      <c r="I363" s="169"/>
      <c r="J363" s="152" t="s">
        <v>168</v>
      </c>
      <c r="K363" s="170"/>
      <c r="L363" s="170"/>
      <c r="M363" s="170"/>
      <c r="N363" s="170"/>
      <c r="O363" s="170"/>
      <c r="P363" s="170"/>
      <c r="Q363" s="150" t="s">
        <v>202</v>
      </c>
      <c r="R363" s="150" t="s">
        <v>420</v>
      </c>
      <c r="S363" s="150"/>
      <c r="T363" s="150"/>
      <c r="U363" s="150"/>
      <c r="V363" s="150"/>
      <c r="W363" s="155"/>
      <c r="X363" s="156"/>
      <c r="Y363" s="155"/>
    </row>
    <row r="364" spans="1:25" ht="79.95" customHeight="1" x14ac:dyDescent="0.3">
      <c r="A364" s="40">
        <v>360</v>
      </c>
      <c r="B364" s="148"/>
      <c r="C364" s="149" t="s">
        <v>438</v>
      </c>
      <c r="D364" s="150" t="s">
        <v>416</v>
      </c>
      <c r="E364" s="171" t="s">
        <v>499</v>
      </c>
      <c r="F364" s="151" t="s">
        <v>199</v>
      </c>
      <c r="G364" s="170"/>
      <c r="H364" s="150" t="s">
        <v>500</v>
      </c>
      <c r="I364" s="169"/>
      <c r="J364" s="152" t="s">
        <v>168</v>
      </c>
      <c r="K364" s="170"/>
      <c r="L364" s="170"/>
      <c r="M364" s="170"/>
      <c r="N364" s="170"/>
      <c r="O364" s="170"/>
      <c r="P364" s="170"/>
      <c r="Q364" s="150" t="s">
        <v>202</v>
      </c>
      <c r="R364" s="150" t="s">
        <v>420</v>
      </c>
      <c r="S364" s="150"/>
      <c r="T364" s="150"/>
      <c r="U364" s="150"/>
      <c r="V364" s="150"/>
      <c r="W364" s="155"/>
      <c r="X364" s="156"/>
      <c r="Y364" s="155"/>
    </row>
    <row r="365" spans="1:25" ht="79.95" customHeight="1" x14ac:dyDescent="0.3">
      <c r="A365" s="40">
        <v>361</v>
      </c>
      <c r="B365" s="148"/>
      <c r="C365" s="149" t="s">
        <v>438</v>
      </c>
      <c r="D365" s="150" t="s">
        <v>416</v>
      </c>
      <c r="E365" s="171" t="s">
        <v>499</v>
      </c>
      <c r="F365" s="151" t="s">
        <v>199</v>
      </c>
      <c r="G365" s="170"/>
      <c r="H365" s="150" t="s">
        <v>507</v>
      </c>
      <c r="I365" s="169"/>
      <c r="J365" s="152" t="s">
        <v>168</v>
      </c>
      <c r="K365" s="170"/>
      <c r="L365" s="170"/>
      <c r="M365" s="170"/>
      <c r="N365" s="170"/>
      <c r="O365" s="170"/>
      <c r="P365" s="170"/>
      <c r="Q365" s="150" t="s">
        <v>202</v>
      </c>
      <c r="R365" s="150" t="s">
        <v>420</v>
      </c>
      <c r="S365" s="150"/>
      <c r="T365" s="150"/>
      <c r="U365" s="150"/>
      <c r="V365" s="150"/>
      <c r="W365" s="155"/>
      <c r="X365" s="156"/>
      <c r="Y365" s="155"/>
    </row>
    <row r="366" spans="1:25" ht="79.95" customHeight="1" x14ac:dyDescent="0.3">
      <c r="A366" s="40">
        <v>362</v>
      </c>
      <c r="B366" s="148"/>
      <c r="C366" s="149" t="s">
        <v>438</v>
      </c>
      <c r="D366" s="150" t="s">
        <v>416</v>
      </c>
      <c r="E366" s="171" t="s">
        <v>499</v>
      </c>
      <c r="F366" s="151" t="s">
        <v>199</v>
      </c>
      <c r="G366" s="163"/>
      <c r="H366" s="150" t="s">
        <v>514</v>
      </c>
      <c r="I366" s="169"/>
      <c r="J366" s="152" t="s">
        <v>168</v>
      </c>
      <c r="K366" s="163"/>
      <c r="L366" s="163"/>
      <c r="M366" s="163"/>
      <c r="N366" s="163"/>
      <c r="O366" s="163"/>
      <c r="P366" s="163"/>
      <c r="Q366" s="150" t="s">
        <v>202</v>
      </c>
      <c r="R366" s="150" t="s">
        <v>420</v>
      </c>
      <c r="S366" s="150"/>
      <c r="T366" s="150"/>
      <c r="U366" s="150"/>
      <c r="V366" s="150"/>
      <c r="W366" s="155"/>
      <c r="X366" s="156"/>
      <c r="Y366" s="155"/>
    </row>
    <row r="367" spans="1:25" ht="79.95" customHeight="1" x14ac:dyDescent="0.3">
      <c r="A367" s="40">
        <v>363</v>
      </c>
      <c r="B367" s="148"/>
      <c r="C367" s="149" t="s">
        <v>438</v>
      </c>
      <c r="D367" s="150" t="s">
        <v>416</v>
      </c>
      <c r="E367" s="169" t="s">
        <v>475</v>
      </c>
      <c r="F367" s="151" t="s">
        <v>199</v>
      </c>
      <c r="G367" s="163"/>
      <c r="H367" s="150" t="s">
        <v>523</v>
      </c>
      <c r="I367" s="169"/>
      <c r="J367" s="152" t="s">
        <v>168</v>
      </c>
      <c r="K367" s="163"/>
      <c r="L367" s="163"/>
      <c r="M367" s="163"/>
      <c r="N367" s="163"/>
      <c r="O367" s="163"/>
      <c r="P367" s="163"/>
      <c r="Q367" s="150" t="s">
        <v>202</v>
      </c>
      <c r="R367" s="150" t="s">
        <v>420</v>
      </c>
      <c r="S367" s="150"/>
      <c r="T367" s="150"/>
      <c r="U367" s="150"/>
      <c r="V367" s="150"/>
      <c r="W367" s="155"/>
      <c r="X367" s="156"/>
      <c r="Y367" s="155"/>
    </row>
    <row r="368" spans="1:25" ht="79.95" customHeight="1" x14ac:dyDescent="0.3">
      <c r="A368" s="40">
        <v>364</v>
      </c>
      <c r="B368" s="148"/>
      <c r="C368" s="149" t="s">
        <v>438</v>
      </c>
      <c r="D368" s="150" t="s">
        <v>416</v>
      </c>
      <c r="E368" s="169" t="s">
        <v>475</v>
      </c>
      <c r="F368" s="151" t="s">
        <v>199</v>
      </c>
      <c r="G368" s="163"/>
      <c r="H368" s="150" t="s">
        <v>531</v>
      </c>
      <c r="I368" s="169"/>
      <c r="J368" s="152" t="s">
        <v>168</v>
      </c>
      <c r="K368" s="163"/>
      <c r="L368" s="163"/>
      <c r="M368" s="163"/>
      <c r="N368" s="163"/>
      <c r="O368" s="163"/>
      <c r="P368" s="163"/>
      <c r="Q368" s="150" t="s">
        <v>202</v>
      </c>
      <c r="R368" s="150" t="s">
        <v>420</v>
      </c>
      <c r="S368" s="150"/>
      <c r="T368" s="150"/>
      <c r="U368" s="150"/>
      <c r="V368" s="150"/>
      <c r="W368" s="155"/>
      <c r="X368" s="156"/>
      <c r="Y368" s="155"/>
    </row>
    <row r="369" spans="1:25" ht="79.95" customHeight="1" x14ac:dyDescent="0.3">
      <c r="A369" s="40">
        <v>365</v>
      </c>
      <c r="B369" s="148"/>
      <c r="C369" s="149" t="s">
        <v>438</v>
      </c>
      <c r="D369" s="150" t="s">
        <v>416</v>
      </c>
      <c r="E369" s="169" t="s">
        <v>475</v>
      </c>
      <c r="F369" s="151" t="s">
        <v>199</v>
      </c>
      <c r="G369" s="163"/>
      <c r="H369" s="150" t="s">
        <v>541</v>
      </c>
      <c r="I369" s="169"/>
      <c r="J369" s="152" t="s">
        <v>168</v>
      </c>
      <c r="K369" s="163"/>
      <c r="L369" s="163"/>
      <c r="M369" s="163"/>
      <c r="N369" s="163"/>
      <c r="O369" s="163"/>
      <c r="P369" s="163"/>
      <c r="Q369" s="150" t="s">
        <v>202</v>
      </c>
      <c r="R369" s="150" t="s">
        <v>420</v>
      </c>
      <c r="S369" s="150"/>
      <c r="T369" s="150"/>
      <c r="U369" s="150"/>
      <c r="V369" s="150"/>
      <c r="W369" s="155"/>
      <c r="X369" s="156"/>
      <c r="Y369" s="155"/>
    </row>
    <row r="370" spans="1:25" ht="79.95" customHeight="1" x14ac:dyDescent="0.3">
      <c r="A370" s="40">
        <v>366</v>
      </c>
      <c r="B370" s="148"/>
      <c r="C370" s="149" t="s">
        <v>438</v>
      </c>
      <c r="D370" s="150" t="s">
        <v>416</v>
      </c>
      <c r="E370" s="171" t="s">
        <v>499</v>
      </c>
      <c r="F370" s="151" t="s">
        <v>199</v>
      </c>
      <c r="G370" s="152"/>
      <c r="H370" s="150" t="s">
        <v>549</v>
      </c>
      <c r="I370" s="171" t="s">
        <v>550</v>
      </c>
      <c r="J370" s="152" t="s">
        <v>168</v>
      </c>
      <c r="K370" s="152"/>
      <c r="L370" s="152"/>
      <c r="M370" s="152"/>
      <c r="N370" s="152"/>
      <c r="O370" s="152"/>
      <c r="P370" s="152"/>
      <c r="Q370" s="150" t="s">
        <v>202</v>
      </c>
      <c r="R370" s="150" t="s">
        <v>420</v>
      </c>
      <c r="S370" s="150"/>
      <c r="T370" s="150"/>
      <c r="U370" s="150"/>
      <c r="V370" s="150"/>
      <c r="W370" s="155"/>
      <c r="X370" s="156"/>
      <c r="Y370" s="155"/>
    </row>
    <row r="371" spans="1:25" ht="79.95" customHeight="1" x14ac:dyDescent="0.3">
      <c r="A371" s="40">
        <v>367</v>
      </c>
      <c r="B371" s="148"/>
      <c r="C371" s="149" t="s">
        <v>438</v>
      </c>
      <c r="D371" s="150" t="s">
        <v>416</v>
      </c>
      <c r="E371" s="150" t="s">
        <v>499</v>
      </c>
      <c r="F371" s="151" t="s">
        <v>199</v>
      </c>
      <c r="G371" s="152"/>
      <c r="H371" s="150" t="s">
        <v>558</v>
      </c>
      <c r="I371" s="150"/>
      <c r="J371" s="152" t="s">
        <v>168</v>
      </c>
      <c r="K371" s="152"/>
      <c r="L371" s="152"/>
      <c r="M371" s="152"/>
      <c r="N371" s="152"/>
      <c r="O371" s="152"/>
      <c r="P371" s="152"/>
      <c r="Q371" s="150" t="s">
        <v>202</v>
      </c>
      <c r="R371" s="150" t="s">
        <v>420</v>
      </c>
      <c r="S371" s="150"/>
      <c r="T371" s="150"/>
      <c r="U371" s="150"/>
      <c r="V371" s="150"/>
      <c r="W371" s="155"/>
      <c r="X371" s="156"/>
      <c r="Y371" s="155"/>
    </row>
    <row r="372" spans="1:25" ht="79.95" customHeight="1" x14ac:dyDescent="0.3">
      <c r="A372" s="40">
        <v>368</v>
      </c>
      <c r="B372" s="148"/>
      <c r="C372" s="149" t="s">
        <v>438</v>
      </c>
      <c r="D372" s="150" t="s">
        <v>416</v>
      </c>
      <c r="E372" s="150" t="s">
        <v>566</v>
      </c>
      <c r="F372" s="151" t="s">
        <v>199</v>
      </c>
      <c r="G372" s="152"/>
      <c r="H372" s="167" t="s">
        <v>569</v>
      </c>
      <c r="I372" s="150"/>
      <c r="J372" s="152" t="s">
        <v>168</v>
      </c>
      <c r="K372" s="152"/>
      <c r="L372" s="152"/>
      <c r="M372" s="152"/>
      <c r="N372" s="152"/>
      <c r="O372" s="152"/>
      <c r="P372" s="152"/>
      <c r="Q372" s="150" t="s">
        <v>202</v>
      </c>
      <c r="R372" s="150" t="s">
        <v>420</v>
      </c>
      <c r="S372" s="150"/>
      <c r="T372" s="150"/>
      <c r="U372" s="150"/>
      <c r="V372" s="150"/>
      <c r="W372" s="155"/>
      <c r="X372" s="156"/>
      <c r="Y372" s="155"/>
    </row>
    <row r="373" spans="1:25" ht="79.95" customHeight="1" x14ac:dyDescent="0.3">
      <c r="A373" s="40">
        <v>369</v>
      </c>
      <c r="B373" s="148"/>
      <c r="C373" s="149" t="s">
        <v>438</v>
      </c>
      <c r="D373" s="150" t="s">
        <v>416</v>
      </c>
      <c r="E373" s="172" t="s">
        <v>575</v>
      </c>
      <c r="F373" s="151" t="s">
        <v>199</v>
      </c>
      <c r="G373" s="152"/>
      <c r="H373" s="150" t="s">
        <v>577</v>
      </c>
      <c r="I373" s="173" t="s">
        <v>578</v>
      </c>
      <c r="J373" s="152" t="s">
        <v>168</v>
      </c>
      <c r="K373" s="152"/>
      <c r="L373" s="152"/>
      <c r="M373" s="152"/>
      <c r="N373" s="152"/>
      <c r="O373" s="152"/>
      <c r="P373" s="152"/>
      <c r="Q373" s="150" t="s">
        <v>202</v>
      </c>
      <c r="R373" s="150" t="s">
        <v>420</v>
      </c>
      <c r="S373" s="150"/>
      <c r="T373" s="150"/>
      <c r="U373" s="150"/>
      <c r="V373" s="150"/>
      <c r="W373" s="155"/>
      <c r="X373" s="156"/>
      <c r="Y373" s="155"/>
    </row>
    <row r="374" spans="1:25" ht="79.95" customHeight="1" x14ac:dyDescent="0.3">
      <c r="A374" s="40">
        <v>370</v>
      </c>
      <c r="B374" s="148"/>
      <c r="C374" s="149" t="s">
        <v>438</v>
      </c>
      <c r="D374" s="150" t="s">
        <v>416</v>
      </c>
      <c r="E374" s="174" t="s">
        <v>575</v>
      </c>
      <c r="F374" s="151" t="s">
        <v>199</v>
      </c>
      <c r="G374" s="152"/>
      <c r="H374" s="150" t="s">
        <v>585</v>
      </c>
      <c r="I374" s="175" t="s">
        <v>586</v>
      </c>
      <c r="J374" s="152" t="s">
        <v>168</v>
      </c>
      <c r="K374" s="152"/>
      <c r="L374" s="152"/>
      <c r="M374" s="152"/>
      <c r="N374" s="152"/>
      <c r="O374" s="152"/>
      <c r="P374" s="152"/>
      <c r="Q374" s="150" t="s">
        <v>202</v>
      </c>
      <c r="R374" s="150" t="s">
        <v>420</v>
      </c>
      <c r="S374" s="150"/>
      <c r="T374" s="150"/>
      <c r="U374" s="150"/>
      <c r="V374" s="150"/>
      <c r="W374" s="155"/>
      <c r="X374" s="156"/>
      <c r="Y374" s="155"/>
    </row>
    <row r="375" spans="1:25" ht="79.95" customHeight="1" x14ac:dyDescent="0.3">
      <c r="A375" s="40">
        <v>371</v>
      </c>
      <c r="B375" s="148"/>
      <c r="C375" s="149" t="s">
        <v>438</v>
      </c>
      <c r="D375" s="150" t="s">
        <v>416</v>
      </c>
      <c r="E375" s="150" t="s">
        <v>593</v>
      </c>
      <c r="F375" s="151" t="s">
        <v>199</v>
      </c>
      <c r="G375" s="152"/>
      <c r="H375" s="150" t="s">
        <v>594</v>
      </c>
      <c r="I375" s="150" t="s">
        <v>595</v>
      </c>
      <c r="J375" s="152" t="s">
        <v>168</v>
      </c>
      <c r="K375" s="152"/>
      <c r="L375" s="152"/>
      <c r="M375" s="152"/>
      <c r="N375" s="152"/>
      <c r="O375" s="152"/>
      <c r="P375" s="152"/>
      <c r="Q375" s="150" t="s">
        <v>202</v>
      </c>
      <c r="R375" s="150" t="s">
        <v>420</v>
      </c>
      <c r="S375" s="150"/>
      <c r="T375" s="150"/>
      <c r="U375" s="150"/>
      <c r="V375" s="150"/>
      <c r="W375" s="155"/>
      <c r="X375" s="156"/>
      <c r="Y375" s="155"/>
    </row>
    <row r="376" spans="1:25" ht="79.95" customHeight="1" x14ac:dyDescent="0.3">
      <c r="A376" s="40">
        <v>372</v>
      </c>
      <c r="B376" s="148"/>
      <c r="C376" s="149" t="s">
        <v>438</v>
      </c>
      <c r="D376" s="150" t="s">
        <v>416</v>
      </c>
      <c r="E376" s="150" t="s">
        <v>593</v>
      </c>
      <c r="F376" s="151" t="s">
        <v>199</v>
      </c>
      <c r="G376" s="152"/>
      <c r="H376" s="150" t="s">
        <v>602</v>
      </c>
      <c r="I376" s="150" t="s">
        <v>603</v>
      </c>
      <c r="J376" s="152" t="s">
        <v>168</v>
      </c>
      <c r="K376" s="152"/>
      <c r="L376" s="152"/>
      <c r="M376" s="152"/>
      <c r="N376" s="152"/>
      <c r="O376" s="152"/>
      <c r="P376" s="152"/>
      <c r="Q376" s="150" t="s">
        <v>202</v>
      </c>
      <c r="R376" s="150" t="s">
        <v>420</v>
      </c>
      <c r="S376" s="150"/>
      <c r="T376" s="150"/>
      <c r="U376" s="150"/>
      <c r="V376" s="150"/>
      <c r="W376" s="155"/>
      <c r="X376" s="156"/>
      <c r="Y376" s="155"/>
    </row>
    <row r="377" spans="1:25" ht="79.95" customHeight="1" x14ac:dyDescent="0.3">
      <c r="A377" s="40">
        <v>373</v>
      </c>
      <c r="B377" s="148"/>
      <c r="C377" s="149" t="s">
        <v>438</v>
      </c>
      <c r="D377" s="150" t="s">
        <v>416</v>
      </c>
      <c r="E377" s="150" t="s">
        <v>593</v>
      </c>
      <c r="F377" s="151" t="s">
        <v>199</v>
      </c>
      <c r="G377" s="152"/>
      <c r="H377" s="150" t="s">
        <v>669</v>
      </c>
      <c r="I377" s="150" t="s">
        <v>670</v>
      </c>
      <c r="J377" s="152" t="s">
        <v>168</v>
      </c>
      <c r="K377" s="152"/>
      <c r="L377" s="152"/>
      <c r="M377" s="152"/>
      <c r="N377" s="152"/>
      <c r="O377" s="152"/>
      <c r="P377" s="152"/>
      <c r="Q377" s="150" t="s">
        <v>202</v>
      </c>
      <c r="R377" s="150" t="s">
        <v>420</v>
      </c>
      <c r="S377" s="150"/>
      <c r="T377" s="150"/>
      <c r="U377" s="150"/>
      <c r="V377" s="150"/>
      <c r="W377" s="155"/>
      <c r="X377" s="156"/>
      <c r="Y377" s="155"/>
    </row>
    <row r="378" spans="1:25" ht="79.95" customHeight="1" x14ac:dyDescent="0.3">
      <c r="A378" s="40">
        <v>374</v>
      </c>
      <c r="B378" s="148"/>
      <c r="C378" s="149" t="s">
        <v>438</v>
      </c>
      <c r="D378" s="150" t="s">
        <v>416</v>
      </c>
      <c r="E378" s="150" t="s">
        <v>511</v>
      </c>
      <c r="F378" s="151" t="s">
        <v>199</v>
      </c>
      <c r="G378" s="152"/>
      <c r="H378" s="150" t="s">
        <v>671</v>
      </c>
      <c r="I378" s="154" t="s">
        <v>672</v>
      </c>
      <c r="J378" s="152" t="s">
        <v>168</v>
      </c>
      <c r="K378" s="152"/>
      <c r="L378" s="152"/>
      <c r="M378" s="152"/>
      <c r="N378" s="152"/>
      <c r="O378" s="152"/>
      <c r="P378" s="152"/>
      <c r="Q378" s="150" t="s">
        <v>202</v>
      </c>
      <c r="R378" s="150" t="s">
        <v>420</v>
      </c>
      <c r="S378" s="150"/>
      <c r="T378" s="150"/>
      <c r="U378" s="150"/>
      <c r="V378" s="150"/>
      <c r="W378" s="155"/>
      <c r="X378" s="156"/>
      <c r="Y378" s="155"/>
    </row>
    <row r="379" spans="1:25" ht="79.95" customHeight="1" x14ac:dyDescent="0.3">
      <c r="A379" s="40">
        <v>375</v>
      </c>
      <c r="B379" s="148"/>
      <c r="C379" s="149" t="s">
        <v>438</v>
      </c>
      <c r="D379" s="150" t="s">
        <v>416</v>
      </c>
      <c r="E379" s="150" t="s">
        <v>511</v>
      </c>
      <c r="F379" s="151" t="s">
        <v>199</v>
      </c>
      <c r="G379" s="152"/>
      <c r="H379" s="150" t="s">
        <v>512</v>
      </c>
      <c r="I379" s="150" t="s">
        <v>513</v>
      </c>
      <c r="J379" s="152" t="s">
        <v>168</v>
      </c>
      <c r="K379" s="152"/>
      <c r="L379" s="152"/>
      <c r="M379" s="152"/>
      <c r="N379" s="152"/>
      <c r="O379" s="152"/>
      <c r="P379" s="152"/>
      <c r="Q379" s="150" t="s">
        <v>202</v>
      </c>
      <c r="R379" s="150" t="s">
        <v>420</v>
      </c>
      <c r="S379" s="150"/>
      <c r="T379" s="150"/>
      <c r="U379" s="150"/>
      <c r="V379" s="150"/>
      <c r="W379" s="155"/>
      <c r="X379" s="156"/>
      <c r="Y379" s="155"/>
    </row>
    <row r="380" spans="1:25" ht="79.95" customHeight="1" x14ac:dyDescent="0.3">
      <c r="A380" s="40">
        <v>376</v>
      </c>
      <c r="B380" s="148"/>
      <c r="C380" s="149" t="s">
        <v>438</v>
      </c>
      <c r="D380" s="150" t="s">
        <v>416</v>
      </c>
      <c r="E380" s="150" t="s">
        <v>511</v>
      </c>
      <c r="F380" s="151" t="s">
        <v>199</v>
      </c>
      <c r="G380" s="152"/>
      <c r="H380" s="176" t="s">
        <v>522</v>
      </c>
      <c r="I380" s="150"/>
      <c r="J380" s="152" t="s">
        <v>168</v>
      </c>
      <c r="K380" s="152"/>
      <c r="L380" s="152"/>
      <c r="M380" s="152"/>
      <c r="N380" s="152"/>
      <c r="O380" s="152"/>
      <c r="P380" s="152"/>
      <c r="Q380" s="150" t="s">
        <v>202</v>
      </c>
      <c r="R380" s="150" t="s">
        <v>420</v>
      </c>
      <c r="S380" s="150"/>
      <c r="T380" s="150"/>
      <c r="U380" s="150"/>
      <c r="V380" s="150"/>
      <c r="W380" s="155"/>
      <c r="X380" s="156"/>
      <c r="Y380" s="155"/>
    </row>
    <row r="381" spans="1:25" ht="79.95" customHeight="1" x14ac:dyDescent="0.3">
      <c r="A381" s="40">
        <v>377</v>
      </c>
      <c r="B381" s="148"/>
      <c r="C381" s="149" t="s">
        <v>438</v>
      </c>
      <c r="D381" s="150" t="s">
        <v>528</v>
      </c>
      <c r="E381" s="150" t="s">
        <v>529</v>
      </c>
      <c r="F381" s="151" t="s">
        <v>199</v>
      </c>
      <c r="G381" s="152"/>
      <c r="H381" s="150" t="s">
        <v>530</v>
      </c>
      <c r="I381" s="150"/>
      <c r="J381" s="152" t="s">
        <v>168</v>
      </c>
      <c r="K381" s="152"/>
      <c r="L381" s="152"/>
      <c r="M381" s="152"/>
      <c r="N381" s="152"/>
      <c r="O381" s="152"/>
      <c r="P381" s="152"/>
      <c r="Q381" s="150" t="s">
        <v>202</v>
      </c>
      <c r="R381" s="150" t="s">
        <v>420</v>
      </c>
      <c r="S381" s="150"/>
      <c r="T381" s="150"/>
      <c r="U381" s="150"/>
      <c r="V381" s="150"/>
      <c r="W381" s="155"/>
      <c r="X381" s="156"/>
      <c r="Y381" s="155"/>
    </row>
    <row r="382" spans="1:25" ht="79.95" customHeight="1" x14ac:dyDescent="0.3">
      <c r="A382" s="40">
        <v>378</v>
      </c>
      <c r="B382" s="148"/>
      <c r="C382" s="149" t="s">
        <v>438</v>
      </c>
      <c r="D382" s="150" t="s">
        <v>538</v>
      </c>
      <c r="E382" s="150" t="s">
        <v>539</v>
      </c>
      <c r="F382" s="151" t="s">
        <v>199</v>
      </c>
      <c r="G382" s="152"/>
      <c r="H382" s="177" t="s">
        <v>540</v>
      </c>
      <c r="I382" s="150" t="s">
        <v>542</v>
      </c>
      <c r="J382" s="152" t="s">
        <v>168</v>
      </c>
      <c r="K382" s="152"/>
      <c r="L382" s="152"/>
      <c r="M382" s="152"/>
      <c r="N382" s="152"/>
      <c r="O382" s="152"/>
      <c r="P382" s="152"/>
      <c r="Q382" s="150" t="s">
        <v>202</v>
      </c>
      <c r="R382" s="150" t="s">
        <v>420</v>
      </c>
      <c r="S382" s="150"/>
      <c r="T382" s="150"/>
      <c r="U382" s="150"/>
      <c r="V382" s="150"/>
      <c r="W382" s="155"/>
      <c r="X382" s="156"/>
      <c r="Y382" s="155"/>
    </row>
    <row r="383" spans="1:25" ht="79.95" customHeight="1" x14ac:dyDescent="0.3">
      <c r="A383" s="40">
        <v>379</v>
      </c>
      <c r="B383" s="148"/>
      <c r="C383" s="149" t="s">
        <v>438</v>
      </c>
      <c r="D383" s="150" t="s">
        <v>538</v>
      </c>
      <c r="E383" s="150" t="s">
        <v>539</v>
      </c>
      <c r="F383" s="151" t="s">
        <v>199</v>
      </c>
      <c r="G383" s="152"/>
      <c r="H383" s="177" t="s">
        <v>548</v>
      </c>
      <c r="I383" s="150" t="s">
        <v>551</v>
      </c>
      <c r="J383" s="152" t="s">
        <v>168</v>
      </c>
      <c r="K383" s="152"/>
      <c r="L383" s="152"/>
      <c r="M383" s="152"/>
      <c r="N383" s="152"/>
      <c r="O383" s="152"/>
      <c r="P383" s="152"/>
      <c r="Q383" s="150" t="s">
        <v>202</v>
      </c>
      <c r="R383" s="150" t="s">
        <v>420</v>
      </c>
      <c r="S383" s="150"/>
      <c r="T383" s="150"/>
      <c r="U383" s="150"/>
      <c r="V383" s="150"/>
      <c r="W383" s="155"/>
      <c r="X383" s="156"/>
      <c r="Y383" s="155"/>
    </row>
    <row r="384" spans="1:25" ht="79.95" customHeight="1" x14ac:dyDescent="0.3">
      <c r="A384" s="40">
        <v>380</v>
      </c>
      <c r="B384" s="148"/>
      <c r="C384" s="149" t="s">
        <v>438</v>
      </c>
      <c r="D384" s="150" t="s">
        <v>538</v>
      </c>
      <c r="E384" s="150" t="s">
        <v>539</v>
      </c>
      <c r="F384" s="151" t="s">
        <v>199</v>
      </c>
      <c r="G384" s="152"/>
      <c r="H384" s="177" t="s">
        <v>559</v>
      </c>
      <c r="I384" s="150" t="s">
        <v>560</v>
      </c>
      <c r="J384" s="152" t="s">
        <v>168</v>
      </c>
      <c r="K384" s="152"/>
      <c r="L384" s="152"/>
      <c r="M384" s="152"/>
      <c r="N384" s="152"/>
      <c r="O384" s="152"/>
      <c r="P384" s="152"/>
      <c r="Q384" s="150" t="s">
        <v>202</v>
      </c>
      <c r="R384" s="150" t="s">
        <v>420</v>
      </c>
      <c r="S384" s="150"/>
      <c r="T384" s="150"/>
      <c r="U384" s="150"/>
      <c r="V384" s="150"/>
      <c r="W384" s="155"/>
      <c r="X384" s="156"/>
      <c r="Y384" s="155"/>
    </row>
    <row r="385" spans="1:25" ht="79.95" customHeight="1" x14ac:dyDescent="0.3">
      <c r="A385" s="40">
        <v>381</v>
      </c>
      <c r="B385" s="148"/>
      <c r="C385" s="149" t="s">
        <v>438</v>
      </c>
      <c r="D385" s="150" t="s">
        <v>538</v>
      </c>
      <c r="E385" s="150" t="s">
        <v>539</v>
      </c>
      <c r="F385" s="151" t="s">
        <v>199</v>
      </c>
      <c r="G385" s="152"/>
      <c r="H385" s="177" t="s">
        <v>571</v>
      </c>
      <c r="I385" s="150" t="s">
        <v>572</v>
      </c>
      <c r="J385" s="152" t="s">
        <v>168</v>
      </c>
      <c r="K385" s="152"/>
      <c r="L385" s="152"/>
      <c r="M385" s="152"/>
      <c r="N385" s="152"/>
      <c r="O385" s="152"/>
      <c r="P385" s="152"/>
      <c r="Q385" s="150" t="s">
        <v>202</v>
      </c>
      <c r="R385" s="150" t="s">
        <v>420</v>
      </c>
      <c r="S385" s="150"/>
      <c r="T385" s="150"/>
      <c r="U385" s="150"/>
      <c r="V385" s="150"/>
      <c r="W385" s="155"/>
      <c r="X385" s="156"/>
      <c r="Y385" s="155"/>
    </row>
    <row r="386" spans="1:25" ht="79.95" customHeight="1" x14ac:dyDescent="0.3">
      <c r="A386" s="40">
        <v>382</v>
      </c>
      <c r="B386" s="148"/>
      <c r="C386" s="149" t="s">
        <v>438</v>
      </c>
      <c r="D386" s="150" t="s">
        <v>538</v>
      </c>
      <c r="E386" s="150" t="s">
        <v>539</v>
      </c>
      <c r="F386" s="151" t="s">
        <v>199</v>
      </c>
      <c r="G386" s="152"/>
      <c r="H386" s="177" t="s">
        <v>579</v>
      </c>
      <c r="I386" s="150" t="s">
        <v>580</v>
      </c>
      <c r="J386" s="152" t="s">
        <v>168</v>
      </c>
      <c r="K386" s="152"/>
      <c r="L386" s="152"/>
      <c r="M386" s="152"/>
      <c r="N386" s="152"/>
      <c r="O386" s="152"/>
      <c r="P386" s="152"/>
      <c r="Q386" s="150" t="s">
        <v>202</v>
      </c>
      <c r="R386" s="150" t="s">
        <v>420</v>
      </c>
      <c r="S386" s="150"/>
      <c r="T386" s="150"/>
      <c r="U386" s="150"/>
      <c r="V386" s="150"/>
      <c r="W386" s="155"/>
      <c r="X386" s="156"/>
      <c r="Y386" s="155"/>
    </row>
    <row r="387" spans="1:25" ht="79.95" customHeight="1" x14ac:dyDescent="0.3">
      <c r="A387" s="40">
        <v>383</v>
      </c>
      <c r="B387" s="148"/>
      <c r="C387" s="149" t="s">
        <v>438</v>
      </c>
      <c r="D387" s="150" t="s">
        <v>538</v>
      </c>
      <c r="E387" s="150" t="s">
        <v>539</v>
      </c>
      <c r="F387" s="151" t="s">
        <v>199</v>
      </c>
      <c r="G387" s="152"/>
      <c r="H387" s="177" t="s">
        <v>587</v>
      </c>
      <c r="I387" s="150" t="s">
        <v>588</v>
      </c>
      <c r="J387" s="152" t="s">
        <v>168</v>
      </c>
      <c r="K387" s="152"/>
      <c r="L387" s="152"/>
      <c r="M387" s="152"/>
      <c r="N387" s="152"/>
      <c r="O387" s="152"/>
      <c r="P387" s="152"/>
      <c r="Q387" s="150" t="s">
        <v>202</v>
      </c>
      <c r="R387" s="150" t="s">
        <v>420</v>
      </c>
      <c r="S387" s="150"/>
      <c r="T387" s="150"/>
      <c r="U387" s="150"/>
      <c r="V387" s="150"/>
      <c r="W387" s="155"/>
      <c r="X387" s="156"/>
      <c r="Y387" s="155"/>
    </row>
    <row r="388" spans="1:25" ht="79.95" customHeight="1" x14ac:dyDescent="0.3">
      <c r="A388" s="40">
        <v>384</v>
      </c>
      <c r="B388" s="148"/>
      <c r="C388" s="149" t="s">
        <v>438</v>
      </c>
      <c r="D388" s="150" t="s">
        <v>538</v>
      </c>
      <c r="E388" s="150" t="s">
        <v>539</v>
      </c>
      <c r="F388" s="151" t="s">
        <v>199</v>
      </c>
      <c r="G388" s="152"/>
      <c r="H388" s="177" t="s">
        <v>596</v>
      </c>
      <c r="I388" s="177" t="s">
        <v>597</v>
      </c>
      <c r="J388" s="152" t="s">
        <v>168</v>
      </c>
      <c r="K388" s="152"/>
      <c r="L388" s="152"/>
      <c r="M388" s="152"/>
      <c r="N388" s="152"/>
      <c r="O388" s="152"/>
      <c r="P388" s="152"/>
      <c r="Q388" s="150" t="s">
        <v>202</v>
      </c>
      <c r="R388" s="150" t="s">
        <v>420</v>
      </c>
      <c r="S388" s="150"/>
      <c r="T388" s="150"/>
      <c r="U388" s="150"/>
      <c r="V388" s="150"/>
      <c r="W388" s="155"/>
      <c r="X388" s="156"/>
      <c r="Y388" s="155"/>
    </row>
    <row r="389" spans="1:25" ht="79.95" customHeight="1" x14ac:dyDescent="0.3">
      <c r="A389" s="40">
        <v>385</v>
      </c>
      <c r="B389" s="148"/>
      <c r="C389" s="149" t="s">
        <v>438</v>
      </c>
      <c r="D389" s="150" t="s">
        <v>538</v>
      </c>
      <c r="E389" s="150" t="s">
        <v>539</v>
      </c>
      <c r="F389" s="151" t="s">
        <v>199</v>
      </c>
      <c r="G389" s="152"/>
      <c r="H389" s="177" t="s">
        <v>604</v>
      </c>
      <c r="I389" s="177"/>
      <c r="J389" s="152" t="s">
        <v>168</v>
      </c>
      <c r="K389" s="152"/>
      <c r="L389" s="152"/>
      <c r="M389" s="152"/>
      <c r="N389" s="152"/>
      <c r="O389" s="152"/>
      <c r="P389" s="152"/>
      <c r="Q389" s="150" t="s">
        <v>202</v>
      </c>
      <c r="R389" s="150" t="s">
        <v>420</v>
      </c>
      <c r="S389" s="150"/>
      <c r="T389" s="150"/>
      <c r="U389" s="150"/>
      <c r="V389" s="150"/>
      <c r="W389" s="155"/>
      <c r="X389" s="156"/>
      <c r="Y389" s="155"/>
    </row>
    <row r="390" spans="1:25" ht="79.95" customHeight="1" x14ac:dyDescent="0.3">
      <c r="A390" s="40">
        <v>386</v>
      </c>
      <c r="B390" s="148"/>
      <c r="C390" s="149" t="s">
        <v>438</v>
      </c>
      <c r="D390" s="150" t="s">
        <v>538</v>
      </c>
      <c r="E390" s="150" t="s">
        <v>539</v>
      </c>
      <c r="F390" s="151" t="s">
        <v>199</v>
      </c>
      <c r="G390" s="152"/>
      <c r="H390" s="177" t="s">
        <v>607</v>
      </c>
      <c r="I390" s="150"/>
      <c r="J390" s="152" t="s">
        <v>168</v>
      </c>
      <c r="K390" s="152"/>
      <c r="L390" s="152"/>
      <c r="M390" s="152"/>
      <c r="N390" s="152"/>
      <c r="O390" s="152"/>
      <c r="P390" s="152"/>
      <c r="Q390" s="150" t="s">
        <v>202</v>
      </c>
      <c r="R390" s="150" t="s">
        <v>420</v>
      </c>
      <c r="S390" s="150"/>
      <c r="T390" s="150"/>
      <c r="U390" s="150"/>
      <c r="V390" s="150"/>
      <c r="W390" s="155"/>
      <c r="X390" s="156"/>
      <c r="Y390" s="155"/>
    </row>
    <row r="391" spans="1:25" ht="79.95" customHeight="1" x14ac:dyDescent="0.3">
      <c r="A391" s="40">
        <v>387</v>
      </c>
      <c r="B391" s="148"/>
      <c r="C391" s="149" t="s">
        <v>438</v>
      </c>
      <c r="D391" s="150" t="s">
        <v>538</v>
      </c>
      <c r="E391" s="150" t="s">
        <v>539</v>
      </c>
      <c r="F391" s="151" t="s">
        <v>199</v>
      </c>
      <c r="G391" s="152"/>
      <c r="H391" s="150" t="s">
        <v>611</v>
      </c>
      <c r="I391" s="150" t="s">
        <v>612</v>
      </c>
      <c r="J391" s="152" t="s">
        <v>168</v>
      </c>
      <c r="K391" s="152"/>
      <c r="L391" s="152"/>
      <c r="M391" s="152"/>
      <c r="N391" s="152"/>
      <c r="O391" s="152"/>
      <c r="P391" s="152"/>
      <c r="Q391" s="150" t="s">
        <v>202</v>
      </c>
      <c r="R391" s="150" t="s">
        <v>420</v>
      </c>
      <c r="S391" s="150"/>
      <c r="T391" s="150"/>
      <c r="U391" s="150"/>
      <c r="V391" s="150"/>
      <c r="W391" s="155"/>
      <c r="X391" s="156"/>
      <c r="Y391" s="155"/>
    </row>
    <row r="392" spans="1:25" ht="79.95" customHeight="1" x14ac:dyDescent="0.3">
      <c r="A392" s="40">
        <v>388</v>
      </c>
      <c r="B392" s="148"/>
      <c r="C392" s="149" t="s">
        <v>431</v>
      </c>
      <c r="D392" s="150" t="s">
        <v>197</v>
      </c>
      <c r="E392" s="150" t="s">
        <v>198</v>
      </c>
      <c r="F392" s="151" t="s">
        <v>199</v>
      </c>
      <c r="G392" s="152"/>
      <c r="H392" s="150" t="s">
        <v>618</v>
      </c>
      <c r="I392" s="150" t="s">
        <v>201</v>
      </c>
      <c r="J392" s="152" t="s">
        <v>168</v>
      </c>
      <c r="K392" s="152"/>
      <c r="L392" s="152"/>
      <c r="M392" s="152"/>
      <c r="N392" s="152"/>
      <c r="O392" s="152"/>
      <c r="P392" s="152"/>
      <c r="Q392" s="150" t="s">
        <v>202</v>
      </c>
      <c r="R392" s="150" t="s">
        <v>203</v>
      </c>
      <c r="S392" s="150" t="s">
        <v>204</v>
      </c>
      <c r="T392" s="150"/>
      <c r="U392" s="150"/>
      <c r="V392" s="150"/>
      <c r="W392" s="155"/>
      <c r="X392" s="156"/>
      <c r="Y392" s="155"/>
    </row>
    <row r="393" spans="1:25" ht="79.95" customHeight="1" x14ac:dyDescent="0.3">
      <c r="A393" s="40">
        <v>389</v>
      </c>
      <c r="B393" s="148"/>
      <c r="C393" s="149" t="s">
        <v>431</v>
      </c>
      <c r="D393" s="150" t="s">
        <v>197</v>
      </c>
      <c r="E393" s="150" t="s">
        <v>198</v>
      </c>
      <c r="F393" s="151" t="s">
        <v>199</v>
      </c>
      <c r="G393" s="152"/>
      <c r="H393" s="150" t="s">
        <v>623</v>
      </c>
      <c r="I393" s="150" t="s">
        <v>201</v>
      </c>
      <c r="J393" s="152" t="s">
        <v>168</v>
      </c>
      <c r="K393" s="152"/>
      <c r="L393" s="152"/>
      <c r="M393" s="152"/>
      <c r="N393" s="152"/>
      <c r="O393" s="152"/>
      <c r="P393" s="152"/>
      <c r="Q393" s="150" t="s">
        <v>202</v>
      </c>
      <c r="R393" s="150" t="s">
        <v>203</v>
      </c>
      <c r="S393" s="150" t="s">
        <v>204</v>
      </c>
      <c r="T393" s="150"/>
      <c r="U393" s="150"/>
      <c r="V393" s="150"/>
      <c r="W393" s="155"/>
      <c r="X393" s="156"/>
      <c r="Y393" s="155"/>
    </row>
    <row r="394" spans="1:25" ht="79.95" customHeight="1" x14ac:dyDescent="0.3">
      <c r="A394" s="40">
        <v>390</v>
      </c>
      <c r="B394" s="148"/>
      <c r="C394" s="149" t="s">
        <v>431</v>
      </c>
      <c r="D394" s="150" t="s">
        <v>197</v>
      </c>
      <c r="E394" s="150" t="s">
        <v>198</v>
      </c>
      <c r="F394" s="151" t="s">
        <v>199</v>
      </c>
      <c r="G394" s="152"/>
      <c r="H394" s="150" t="s">
        <v>628</v>
      </c>
      <c r="I394" s="150" t="s">
        <v>629</v>
      </c>
      <c r="J394" s="152" t="s">
        <v>168</v>
      </c>
      <c r="K394" s="152"/>
      <c r="L394" s="152"/>
      <c r="M394" s="152"/>
      <c r="N394" s="152"/>
      <c r="O394" s="152"/>
      <c r="P394" s="152"/>
      <c r="Q394" s="150" t="s">
        <v>202</v>
      </c>
      <c r="R394" s="150" t="s">
        <v>203</v>
      </c>
      <c r="S394" s="150" t="s">
        <v>204</v>
      </c>
      <c r="T394" s="150"/>
      <c r="U394" s="150"/>
      <c r="V394" s="150"/>
      <c r="W394" s="155"/>
      <c r="X394" s="156"/>
      <c r="Y394" s="155"/>
    </row>
    <row r="395" spans="1:25" ht="79.95" customHeight="1" x14ac:dyDescent="0.3">
      <c r="A395" s="40">
        <v>391</v>
      </c>
      <c r="B395" s="148"/>
      <c r="C395" s="149" t="s">
        <v>431</v>
      </c>
      <c r="D395" s="150" t="s">
        <v>197</v>
      </c>
      <c r="E395" s="150" t="s">
        <v>198</v>
      </c>
      <c r="F395" s="151" t="s">
        <v>199</v>
      </c>
      <c r="G395" s="152"/>
      <c r="H395" s="150" t="s">
        <v>634</v>
      </c>
      <c r="I395" s="150" t="s">
        <v>635</v>
      </c>
      <c r="J395" s="152" t="s">
        <v>168</v>
      </c>
      <c r="K395" s="152"/>
      <c r="L395" s="152"/>
      <c r="M395" s="152"/>
      <c r="N395" s="152"/>
      <c r="O395" s="152"/>
      <c r="P395" s="152"/>
      <c r="Q395" s="150" t="s">
        <v>202</v>
      </c>
      <c r="R395" s="150" t="s">
        <v>203</v>
      </c>
      <c r="S395" s="150" t="s">
        <v>204</v>
      </c>
      <c r="T395" s="150"/>
      <c r="U395" s="150"/>
      <c r="V395" s="150"/>
      <c r="W395" s="155"/>
      <c r="X395" s="156"/>
      <c r="Y395" s="155"/>
    </row>
    <row r="396" spans="1:25" ht="79.95" customHeight="1" x14ac:dyDescent="0.3">
      <c r="A396" s="40">
        <v>392</v>
      </c>
      <c r="B396" s="148"/>
      <c r="C396" s="149" t="s">
        <v>431</v>
      </c>
      <c r="D396" s="150" t="s">
        <v>197</v>
      </c>
      <c r="E396" s="150" t="s">
        <v>198</v>
      </c>
      <c r="F396" s="151" t="s">
        <v>199</v>
      </c>
      <c r="G396" s="152"/>
      <c r="H396" s="150" t="s">
        <v>200</v>
      </c>
      <c r="I396" s="150" t="s">
        <v>201</v>
      </c>
      <c r="J396" s="152" t="s">
        <v>168</v>
      </c>
      <c r="K396" s="152"/>
      <c r="L396" s="152"/>
      <c r="M396" s="152"/>
      <c r="N396" s="152"/>
      <c r="O396" s="152"/>
      <c r="P396" s="152"/>
      <c r="Q396" s="150" t="s">
        <v>202</v>
      </c>
      <c r="R396" s="150" t="s">
        <v>203</v>
      </c>
      <c r="S396" s="150" t="s">
        <v>204</v>
      </c>
      <c r="T396" s="150"/>
      <c r="U396" s="150"/>
      <c r="V396" s="150"/>
      <c r="W396" s="155"/>
      <c r="X396" s="156"/>
      <c r="Y396" s="155"/>
    </row>
    <row r="397" spans="1:25" ht="79.95" customHeight="1" x14ac:dyDescent="0.3">
      <c r="A397" s="40">
        <v>393</v>
      </c>
      <c r="B397" s="148"/>
      <c r="C397" s="149" t="s">
        <v>431</v>
      </c>
      <c r="D397" s="150" t="s">
        <v>197</v>
      </c>
      <c r="E397" s="150" t="s">
        <v>198</v>
      </c>
      <c r="F397" s="151" t="s">
        <v>199</v>
      </c>
      <c r="G397" s="152"/>
      <c r="H397" s="150" t="s">
        <v>207</v>
      </c>
      <c r="I397" s="150"/>
      <c r="J397" s="152" t="s">
        <v>168</v>
      </c>
      <c r="K397" s="152"/>
      <c r="L397" s="152"/>
      <c r="M397" s="152"/>
      <c r="N397" s="152"/>
      <c r="O397" s="152"/>
      <c r="P397" s="152"/>
      <c r="Q397" s="150" t="s">
        <v>202</v>
      </c>
      <c r="R397" s="150" t="s">
        <v>203</v>
      </c>
      <c r="S397" s="150" t="s">
        <v>208</v>
      </c>
      <c r="T397" s="150"/>
      <c r="U397" s="150"/>
      <c r="V397" s="150"/>
      <c r="W397" s="155"/>
      <c r="X397" s="156"/>
      <c r="Y397" s="155"/>
    </row>
    <row r="398" spans="1:25" ht="79.95" customHeight="1" x14ac:dyDescent="0.3">
      <c r="A398" s="40">
        <v>394</v>
      </c>
      <c r="B398" s="148"/>
      <c r="C398" s="149" t="s">
        <v>431</v>
      </c>
      <c r="D398" s="150" t="s">
        <v>197</v>
      </c>
      <c r="E398" s="150" t="s">
        <v>198</v>
      </c>
      <c r="F398" s="151" t="s">
        <v>199</v>
      </c>
      <c r="G398" s="152"/>
      <c r="H398" s="150" t="s">
        <v>212</v>
      </c>
      <c r="I398" s="150" t="s">
        <v>201</v>
      </c>
      <c r="J398" s="152" t="s">
        <v>168</v>
      </c>
      <c r="K398" s="152"/>
      <c r="L398" s="152"/>
      <c r="M398" s="152"/>
      <c r="N398" s="152"/>
      <c r="O398" s="152"/>
      <c r="P398" s="152"/>
      <c r="Q398" s="150" t="s">
        <v>202</v>
      </c>
      <c r="R398" s="150" t="s">
        <v>203</v>
      </c>
      <c r="S398" s="150" t="s">
        <v>208</v>
      </c>
      <c r="T398" s="150"/>
      <c r="U398" s="150"/>
      <c r="V398" s="150"/>
      <c r="W398" s="155"/>
      <c r="X398" s="156"/>
      <c r="Y398" s="155"/>
    </row>
    <row r="399" spans="1:25" ht="79.95" customHeight="1" x14ac:dyDescent="0.3">
      <c r="A399" s="40">
        <v>395</v>
      </c>
      <c r="B399" s="148"/>
      <c r="C399" s="149" t="s">
        <v>431</v>
      </c>
      <c r="D399" s="150" t="s">
        <v>197</v>
      </c>
      <c r="E399" s="150" t="s">
        <v>198</v>
      </c>
      <c r="F399" s="151" t="s">
        <v>199</v>
      </c>
      <c r="G399" s="152"/>
      <c r="H399" s="150" t="s">
        <v>976</v>
      </c>
      <c r="I399" s="150" t="s">
        <v>216</v>
      </c>
      <c r="J399" s="152" t="s">
        <v>168</v>
      </c>
      <c r="K399" s="152"/>
      <c r="L399" s="152"/>
      <c r="M399" s="152"/>
      <c r="N399" s="152"/>
      <c r="O399" s="152"/>
      <c r="P399" s="152"/>
      <c r="Q399" s="150" t="s">
        <v>202</v>
      </c>
      <c r="R399" s="150" t="s">
        <v>203</v>
      </c>
      <c r="S399" s="150" t="s">
        <v>208</v>
      </c>
      <c r="T399" s="150"/>
      <c r="U399" s="150"/>
      <c r="V399" s="150"/>
      <c r="W399" s="155"/>
      <c r="X399" s="156"/>
      <c r="Y399" s="155"/>
    </row>
    <row r="400" spans="1:25" ht="79.95" customHeight="1" x14ac:dyDescent="0.3">
      <c r="A400" s="40">
        <v>396</v>
      </c>
      <c r="B400" s="148"/>
      <c r="C400" s="149" t="s">
        <v>431</v>
      </c>
      <c r="D400" s="150" t="s">
        <v>197</v>
      </c>
      <c r="E400" s="150" t="s">
        <v>198</v>
      </c>
      <c r="F400" s="151" t="s">
        <v>199</v>
      </c>
      <c r="G400" s="152"/>
      <c r="H400" s="150" t="s">
        <v>220</v>
      </c>
      <c r="I400" s="150" t="s">
        <v>221</v>
      </c>
      <c r="J400" s="152" t="s">
        <v>168</v>
      </c>
      <c r="K400" s="152"/>
      <c r="L400" s="152"/>
      <c r="M400" s="152"/>
      <c r="N400" s="152"/>
      <c r="O400" s="152"/>
      <c r="P400" s="152"/>
      <c r="Q400" s="150" t="s">
        <v>202</v>
      </c>
      <c r="R400" s="150" t="s">
        <v>203</v>
      </c>
      <c r="S400" s="150" t="s">
        <v>208</v>
      </c>
      <c r="T400" s="150"/>
      <c r="U400" s="150"/>
      <c r="V400" s="150"/>
      <c r="W400" s="155"/>
      <c r="X400" s="156"/>
      <c r="Y400" s="155"/>
    </row>
    <row r="401" spans="1:25" ht="79.95" customHeight="1" x14ac:dyDescent="0.3">
      <c r="A401" s="40">
        <v>397</v>
      </c>
      <c r="B401" s="148"/>
      <c r="C401" s="149" t="s">
        <v>431</v>
      </c>
      <c r="D401" s="150" t="s">
        <v>197</v>
      </c>
      <c r="E401" s="150" t="s">
        <v>198</v>
      </c>
      <c r="F401" s="151" t="s">
        <v>199</v>
      </c>
      <c r="G401" s="152"/>
      <c r="H401" s="150" t="s">
        <v>224</v>
      </c>
      <c r="I401" s="150" t="s">
        <v>225</v>
      </c>
      <c r="J401" s="152" t="s">
        <v>168</v>
      </c>
      <c r="K401" s="152"/>
      <c r="L401" s="152"/>
      <c r="M401" s="152"/>
      <c r="N401" s="152"/>
      <c r="O401" s="152"/>
      <c r="P401" s="152"/>
      <c r="Q401" s="150" t="s">
        <v>202</v>
      </c>
      <c r="R401" s="150" t="s">
        <v>203</v>
      </c>
      <c r="S401" s="150" t="s">
        <v>208</v>
      </c>
      <c r="T401" s="150"/>
      <c r="U401" s="150"/>
      <c r="V401" s="150"/>
      <c r="W401" s="155"/>
      <c r="X401" s="156"/>
      <c r="Y401" s="155"/>
    </row>
    <row r="402" spans="1:25" ht="79.95" customHeight="1" x14ac:dyDescent="0.3">
      <c r="A402" s="40">
        <v>398</v>
      </c>
      <c r="B402" s="148"/>
      <c r="C402" s="149" t="s">
        <v>431</v>
      </c>
      <c r="D402" s="150" t="s">
        <v>197</v>
      </c>
      <c r="E402" s="150" t="s">
        <v>228</v>
      </c>
      <c r="F402" s="151" t="s">
        <v>199</v>
      </c>
      <c r="G402" s="152"/>
      <c r="H402" s="150" t="s">
        <v>229</v>
      </c>
      <c r="I402" s="303" t="s">
        <v>230</v>
      </c>
      <c r="J402" s="152" t="s">
        <v>168</v>
      </c>
      <c r="K402" s="152"/>
      <c r="L402" s="152"/>
      <c r="M402" s="152"/>
      <c r="N402" s="152"/>
      <c r="O402" s="152"/>
      <c r="P402" s="152"/>
      <c r="Q402" s="150" t="s">
        <v>202</v>
      </c>
      <c r="R402" s="150" t="s">
        <v>203</v>
      </c>
      <c r="S402" s="150" t="s">
        <v>231</v>
      </c>
      <c r="T402" s="150"/>
      <c r="U402" s="150"/>
      <c r="V402" s="150"/>
      <c r="W402" s="155"/>
      <c r="X402" s="156"/>
      <c r="Y402" s="155"/>
    </row>
    <row r="403" spans="1:25" ht="79.95" customHeight="1" x14ac:dyDescent="0.3">
      <c r="A403" s="40">
        <v>399</v>
      </c>
      <c r="B403" s="148"/>
      <c r="C403" s="149" t="s">
        <v>431</v>
      </c>
      <c r="D403" s="150" t="s">
        <v>197</v>
      </c>
      <c r="E403" s="150" t="s">
        <v>228</v>
      </c>
      <c r="F403" s="151" t="s">
        <v>199</v>
      </c>
      <c r="G403" s="152"/>
      <c r="H403" s="179" t="s">
        <v>977</v>
      </c>
      <c r="I403" s="304"/>
      <c r="J403" s="152" t="s">
        <v>168</v>
      </c>
      <c r="K403" s="152"/>
      <c r="L403" s="152"/>
      <c r="M403" s="152"/>
      <c r="N403" s="152"/>
      <c r="O403" s="152"/>
      <c r="P403" s="152"/>
      <c r="Q403" s="150" t="s">
        <v>202</v>
      </c>
      <c r="R403" s="150" t="s">
        <v>203</v>
      </c>
      <c r="S403" s="150" t="s">
        <v>231</v>
      </c>
      <c r="T403" s="150"/>
      <c r="U403" s="150"/>
      <c r="V403" s="150"/>
      <c r="W403" s="155"/>
      <c r="X403" s="156"/>
      <c r="Y403" s="155"/>
    </row>
    <row r="404" spans="1:25" ht="79.95" customHeight="1" x14ac:dyDescent="0.3">
      <c r="A404" s="40">
        <v>400</v>
      </c>
      <c r="B404" s="148"/>
      <c r="C404" s="149" t="s">
        <v>431</v>
      </c>
      <c r="D404" s="150" t="s">
        <v>197</v>
      </c>
      <c r="E404" s="150" t="s">
        <v>228</v>
      </c>
      <c r="F404" s="151" t="s">
        <v>199</v>
      </c>
      <c r="G404" s="152"/>
      <c r="H404" s="150" t="s">
        <v>237</v>
      </c>
      <c r="I404" s="304"/>
      <c r="J404" s="152" t="s">
        <v>168</v>
      </c>
      <c r="K404" s="152"/>
      <c r="L404" s="152"/>
      <c r="M404" s="152"/>
      <c r="N404" s="152"/>
      <c r="O404" s="152"/>
      <c r="P404" s="152"/>
      <c r="Q404" s="150" t="s">
        <v>202</v>
      </c>
      <c r="R404" s="150" t="s">
        <v>203</v>
      </c>
      <c r="S404" s="150" t="s">
        <v>231</v>
      </c>
      <c r="T404" s="150"/>
      <c r="U404" s="150"/>
      <c r="V404" s="150"/>
      <c r="W404" s="155"/>
      <c r="X404" s="156"/>
      <c r="Y404" s="155"/>
    </row>
    <row r="405" spans="1:25" ht="79.95" customHeight="1" x14ac:dyDescent="0.3">
      <c r="A405" s="40">
        <v>401</v>
      </c>
      <c r="B405" s="148"/>
      <c r="C405" s="149" t="s">
        <v>431</v>
      </c>
      <c r="D405" s="150" t="s">
        <v>197</v>
      </c>
      <c r="E405" s="150" t="s">
        <v>228</v>
      </c>
      <c r="F405" s="151" t="s">
        <v>199</v>
      </c>
      <c r="G405" s="152"/>
      <c r="H405" s="150" t="s">
        <v>240</v>
      </c>
      <c r="I405" s="304"/>
      <c r="J405" s="152" t="s">
        <v>168</v>
      </c>
      <c r="K405" s="152"/>
      <c r="L405" s="152"/>
      <c r="M405" s="152"/>
      <c r="N405" s="152"/>
      <c r="O405" s="152"/>
      <c r="P405" s="152"/>
      <c r="Q405" s="150" t="s">
        <v>202</v>
      </c>
      <c r="R405" s="150" t="s">
        <v>203</v>
      </c>
      <c r="S405" s="150" t="s">
        <v>231</v>
      </c>
      <c r="T405" s="150"/>
      <c r="U405" s="150"/>
      <c r="V405" s="150"/>
      <c r="W405" s="155"/>
      <c r="X405" s="156"/>
      <c r="Y405" s="155"/>
    </row>
    <row r="406" spans="1:25" ht="79.95" customHeight="1" x14ac:dyDescent="0.3">
      <c r="A406" s="40">
        <v>402</v>
      </c>
      <c r="B406" s="148"/>
      <c r="C406" s="149" t="s">
        <v>431</v>
      </c>
      <c r="D406" s="150" t="s">
        <v>197</v>
      </c>
      <c r="E406" s="150" t="s">
        <v>228</v>
      </c>
      <c r="F406" s="151" t="s">
        <v>199</v>
      </c>
      <c r="G406" s="180"/>
      <c r="H406" s="150" t="s">
        <v>243</v>
      </c>
      <c r="I406" s="304"/>
      <c r="J406" s="152" t="s">
        <v>168</v>
      </c>
      <c r="K406" s="180"/>
      <c r="L406" s="180"/>
      <c r="M406" s="180"/>
      <c r="N406" s="180"/>
      <c r="O406" s="180"/>
      <c r="P406" s="180"/>
      <c r="Q406" s="150" t="s">
        <v>202</v>
      </c>
      <c r="R406" s="150" t="s">
        <v>203</v>
      </c>
      <c r="S406" s="150" t="s">
        <v>231</v>
      </c>
      <c r="T406" s="150"/>
      <c r="U406" s="150"/>
      <c r="V406" s="150"/>
      <c r="W406" s="155"/>
      <c r="X406" s="156"/>
      <c r="Y406" s="155"/>
    </row>
    <row r="407" spans="1:25" ht="79.95" customHeight="1" x14ac:dyDescent="0.3">
      <c r="A407" s="40">
        <v>403</v>
      </c>
      <c r="B407" s="148"/>
      <c r="C407" s="149" t="s">
        <v>431</v>
      </c>
      <c r="D407" s="150" t="s">
        <v>197</v>
      </c>
      <c r="E407" s="150" t="s">
        <v>247</v>
      </c>
      <c r="F407" s="151" t="s">
        <v>199</v>
      </c>
      <c r="G407" s="180"/>
      <c r="H407" s="150" t="s">
        <v>248</v>
      </c>
      <c r="I407" s="304"/>
      <c r="J407" s="152" t="s">
        <v>168</v>
      </c>
      <c r="K407" s="180"/>
      <c r="L407" s="180"/>
      <c r="M407" s="180"/>
      <c r="N407" s="180"/>
      <c r="O407" s="180"/>
      <c r="P407" s="180"/>
      <c r="Q407" s="150" t="s">
        <v>202</v>
      </c>
      <c r="R407" s="150" t="s">
        <v>203</v>
      </c>
      <c r="S407" s="150" t="s">
        <v>249</v>
      </c>
      <c r="T407" s="150"/>
      <c r="U407" s="150"/>
      <c r="V407" s="150"/>
      <c r="W407" s="155"/>
      <c r="X407" s="156"/>
      <c r="Y407" s="155"/>
    </row>
    <row r="408" spans="1:25" ht="79.95" customHeight="1" x14ac:dyDescent="0.3">
      <c r="A408" s="40">
        <v>404</v>
      </c>
      <c r="B408" s="148"/>
      <c r="C408" s="149" t="s">
        <v>431</v>
      </c>
      <c r="D408" s="150" t="s">
        <v>197</v>
      </c>
      <c r="E408" s="150" t="s">
        <v>247</v>
      </c>
      <c r="F408" s="151" t="s">
        <v>199</v>
      </c>
      <c r="G408" s="180"/>
      <c r="H408" s="150" t="s">
        <v>252</v>
      </c>
      <c r="I408" s="304"/>
      <c r="J408" s="152" t="s">
        <v>168</v>
      </c>
      <c r="K408" s="180"/>
      <c r="L408" s="180"/>
      <c r="M408" s="180"/>
      <c r="N408" s="180"/>
      <c r="O408" s="180"/>
      <c r="P408" s="180"/>
      <c r="Q408" s="150" t="s">
        <v>202</v>
      </c>
      <c r="R408" s="150" t="s">
        <v>203</v>
      </c>
      <c r="S408" s="150" t="s">
        <v>249</v>
      </c>
      <c r="T408" s="150"/>
      <c r="U408" s="150"/>
      <c r="V408" s="150"/>
      <c r="W408" s="155"/>
      <c r="X408" s="156"/>
      <c r="Y408" s="155"/>
    </row>
    <row r="409" spans="1:25" ht="79.95" customHeight="1" x14ac:dyDescent="0.3">
      <c r="A409" s="40">
        <v>405</v>
      </c>
      <c r="B409" s="148"/>
      <c r="C409" s="149" t="s">
        <v>431</v>
      </c>
      <c r="D409" s="150" t="s">
        <v>197</v>
      </c>
      <c r="E409" s="150" t="s">
        <v>247</v>
      </c>
      <c r="F409" s="151" t="s">
        <v>199</v>
      </c>
      <c r="G409" s="180"/>
      <c r="H409" s="150" t="s">
        <v>255</v>
      </c>
      <c r="I409" s="304"/>
      <c r="J409" s="152" t="s">
        <v>168</v>
      </c>
      <c r="K409" s="180"/>
      <c r="L409" s="180"/>
      <c r="M409" s="180"/>
      <c r="N409" s="180"/>
      <c r="O409" s="180"/>
      <c r="P409" s="180"/>
      <c r="Q409" s="150" t="s">
        <v>202</v>
      </c>
      <c r="R409" s="150" t="s">
        <v>203</v>
      </c>
      <c r="S409" s="150" t="s">
        <v>249</v>
      </c>
      <c r="T409" s="150"/>
      <c r="U409" s="150"/>
      <c r="V409" s="150"/>
      <c r="W409" s="155"/>
      <c r="X409" s="156"/>
      <c r="Y409" s="155"/>
    </row>
    <row r="410" spans="1:25" ht="79.95" customHeight="1" x14ac:dyDescent="0.3">
      <c r="A410" s="40">
        <v>406</v>
      </c>
      <c r="B410" s="148"/>
      <c r="C410" s="149" t="s">
        <v>431</v>
      </c>
      <c r="D410" s="150" t="s">
        <v>197</v>
      </c>
      <c r="E410" s="150" t="s">
        <v>264</v>
      </c>
      <c r="F410" s="151" t="s">
        <v>199</v>
      </c>
      <c r="G410" s="180"/>
      <c r="H410" s="150" t="s">
        <v>265</v>
      </c>
      <c r="I410" s="305"/>
      <c r="J410" s="152" t="s">
        <v>168</v>
      </c>
      <c r="K410" s="180"/>
      <c r="L410" s="180"/>
      <c r="M410" s="180"/>
      <c r="N410" s="180"/>
      <c r="O410" s="180"/>
      <c r="P410" s="180"/>
      <c r="Q410" s="150" t="s">
        <v>202</v>
      </c>
      <c r="R410" s="150" t="s">
        <v>203</v>
      </c>
      <c r="S410" s="150" t="s">
        <v>249</v>
      </c>
      <c r="T410" s="150"/>
      <c r="U410" s="150"/>
      <c r="V410" s="150"/>
      <c r="W410" s="155"/>
      <c r="X410" s="156"/>
      <c r="Y410" s="155"/>
    </row>
    <row r="411" spans="1:25" ht="79.95" customHeight="1" x14ac:dyDescent="0.3">
      <c r="A411" s="40">
        <v>407</v>
      </c>
      <c r="B411" s="148"/>
      <c r="C411" s="149" t="s">
        <v>431</v>
      </c>
      <c r="D411" s="150" t="s">
        <v>197</v>
      </c>
      <c r="E411" s="150" t="s">
        <v>228</v>
      </c>
      <c r="F411" s="151" t="s">
        <v>199</v>
      </c>
      <c r="G411" s="180"/>
      <c r="H411" s="179" t="s">
        <v>978</v>
      </c>
      <c r="I411" s="154"/>
      <c r="J411" s="152" t="s">
        <v>168</v>
      </c>
      <c r="K411" s="180"/>
      <c r="L411" s="180"/>
      <c r="M411" s="180"/>
      <c r="N411" s="180"/>
      <c r="O411" s="180"/>
      <c r="P411" s="180"/>
      <c r="Q411" s="150" t="s">
        <v>202</v>
      </c>
      <c r="R411" s="150" t="s">
        <v>203</v>
      </c>
      <c r="S411" s="150" t="s">
        <v>231</v>
      </c>
      <c r="T411" s="150"/>
      <c r="U411" s="150"/>
      <c r="V411" s="150"/>
      <c r="W411" s="155"/>
      <c r="X411" s="156"/>
      <c r="Y411" s="155"/>
    </row>
    <row r="412" spans="1:25" ht="79.95" customHeight="1" x14ac:dyDescent="0.3">
      <c r="A412" s="40">
        <v>408</v>
      </c>
      <c r="B412" s="148"/>
      <c r="C412" s="149" t="s">
        <v>431</v>
      </c>
      <c r="D412" s="150" t="s">
        <v>197</v>
      </c>
      <c r="E412" s="150" t="s">
        <v>247</v>
      </c>
      <c r="F412" s="151" t="s">
        <v>199</v>
      </c>
      <c r="G412" s="180"/>
      <c r="H412" s="150" t="s">
        <v>279</v>
      </c>
      <c r="I412" s="150" t="s">
        <v>280</v>
      </c>
      <c r="J412" s="152" t="s">
        <v>168</v>
      </c>
      <c r="K412" s="180"/>
      <c r="L412" s="180"/>
      <c r="M412" s="180"/>
      <c r="N412" s="180"/>
      <c r="O412" s="180"/>
      <c r="P412" s="180"/>
      <c r="Q412" s="150" t="s">
        <v>202</v>
      </c>
      <c r="R412" s="150" t="s">
        <v>203</v>
      </c>
      <c r="S412" s="150" t="s">
        <v>231</v>
      </c>
      <c r="T412" s="150"/>
      <c r="U412" s="150"/>
      <c r="V412" s="150"/>
      <c r="W412" s="155"/>
      <c r="X412" s="156"/>
      <c r="Y412" s="155"/>
    </row>
    <row r="413" spans="1:25" ht="79.95" customHeight="1" x14ac:dyDescent="0.3">
      <c r="A413" s="40">
        <v>409</v>
      </c>
      <c r="B413" s="148"/>
      <c r="C413" s="149" t="s">
        <v>431</v>
      </c>
      <c r="D413" s="150" t="s">
        <v>197</v>
      </c>
      <c r="E413" s="150" t="s">
        <v>264</v>
      </c>
      <c r="F413" s="151" t="s">
        <v>199</v>
      </c>
      <c r="G413" s="180"/>
      <c r="H413" s="150" t="s">
        <v>282</v>
      </c>
      <c r="I413" s="303" t="s">
        <v>283</v>
      </c>
      <c r="J413" s="152" t="s">
        <v>168</v>
      </c>
      <c r="K413" s="180"/>
      <c r="L413" s="180"/>
      <c r="M413" s="180"/>
      <c r="N413" s="180"/>
      <c r="O413" s="180"/>
      <c r="P413" s="180"/>
      <c r="Q413" s="150" t="s">
        <v>202</v>
      </c>
      <c r="R413" s="150" t="s">
        <v>203</v>
      </c>
      <c r="S413" s="150" t="s">
        <v>231</v>
      </c>
      <c r="T413" s="150"/>
      <c r="U413" s="150"/>
      <c r="V413" s="150"/>
      <c r="W413" s="155"/>
      <c r="X413" s="156"/>
      <c r="Y413" s="155"/>
    </row>
    <row r="414" spans="1:25" ht="79.95" customHeight="1" x14ac:dyDescent="0.3">
      <c r="A414" s="40">
        <v>410</v>
      </c>
      <c r="B414" s="148"/>
      <c r="C414" s="149" t="s">
        <v>431</v>
      </c>
      <c r="D414" s="150" t="s">
        <v>197</v>
      </c>
      <c r="E414" s="150" t="s">
        <v>264</v>
      </c>
      <c r="F414" s="151" t="s">
        <v>199</v>
      </c>
      <c r="G414" s="180"/>
      <c r="H414" s="150" t="s">
        <v>290</v>
      </c>
      <c r="I414" s="305"/>
      <c r="J414" s="152" t="s">
        <v>168</v>
      </c>
      <c r="K414" s="180"/>
      <c r="L414" s="180"/>
      <c r="M414" s="180"/>
      <c r="N414" s="180"/>
      <c r="O414" s="180"/>
      <c r="P414" s="180"/>
      <c r="Q414" s="150" t="s">
        <v>202</v>
      </c>
      <c r="R414" s="150" t="s">
        <v>203</v>
      </c>
      <c r="S414" s="150" t="s">
        <v>231</v>
      </c>
      <c r="T414" s="150"/>
      <c r="U414" s="150"/>
      <c r="V414" s="150"/>
      <c r="W414" s="155"/>
      <c r="X414" s="156"/>
      <c r="Y414" s="155"/>
    </row>
    <row r="415" spans="1:25" ht="79.95" customHeight="1" x14ac:dyDescent="0.3">
      <c r="A415" s="40">
        <v>411</v>
      </c>
      <c r="B415" s="148"/>
      <c r="C415" s="149" t="s">
        <v>431</v>
      </c>
      <c r="D415" s="150" t="s">
        <v>197</v>
      </c>
      <c r="E415" s="150" t="s">
        <v>247</v>
      </c>
      <c r="F415" s="151" t="s">
        <v>199</v>
      </c>
      <c r="G415" s="180"/>
      <c r="H415" s="150" t="s">
        <v>295</v>
      </c>
      <c r="I415" s="154"/>
      <c r="J415" s="152" t="s">
        <v>168</v>
      </c>
      <c r="K415" s="180"/>
      <c r="L415" s="180"/>
      <c r="M415" s="180"/>
      <c r="N415" s="180"/>
      <c r="O415" s="180"/>
      <c r="P415" s="180"/>
      <c r="Q415" s="150" t="s">
        <v>202</v>
      </c>
      <c r="R415" s="150" t="s">
        <v>203</v>
      </c>
      <c r="S415" s="150" t="s">
        <v>231</v>
      </c>
      <c r="T415" s="150"/>
      <c r="U415" s="150"/>
      <c r="V415" s="150"/>
      <c r="W415" s="155"/>
      <c r="X415" s="156"/>
      <c r="Y415" s="155"/>
    </row>
    <row r="416" spans="1:25" ht="79.95" customHeight="1" x14ac:dyDescent="0.3">
      <c r="A416" s="40">
        <v>412</v>
      </c>
      <c r="B416" s="148"/>
      <c r="C416" s="149" t="s">
        <v>431</v>
      </c>
      <c r="D416" s="150" t="s">
        <v>197</v>
      </c>
      <c r="E416" s="150" t="s">
        <v>264</v>
      </c>
      <c r="F416" s="151" t="s">
        <v>199</v>
      </c>
      <c r="G416" s="180"/>
      <c r="H416" s="179" t="s">
        <v>979</v>
      </c>
      <c r="I416" s="154"/>
      <c r="J416" s="152" t="s">
        <v>168</v>
      </c>
      <c r="K416" s="180"/>
      <c r="L416" s="180"/>
      <c r="M416" s="180"/>
      <c r="N416" s="180"/>
      <c r="O416" s="180"/>
      <c r="P416" s="180"/>
      <c r="Q416" s="150" t="s">
        <v>202</v>
      </c>
      <c r="R416" s="150" t="s">
        <v>203</v>
      </c>
      <c r="S416" s="150" t="s">
        <v>231</v>
      </c>
      <c r="T416" s="150"/>
      <c r="U416" s="150"/>
      <c r="V416" s="150"/>
      <c r="W416" s="155"/>
      <c r="X416" s="156"/>
      <c r="Y416" s="155"/>
    </row>
    <row r="417" spans="1:25" ht="79.95" customHeight="1" x14ac:dyDescent="0.3">
      <c r="A417" s="40">
        <v>413</v>
      </c>
      <c r="B417" s="148"/>
      <c r="C417" s="149" t="s">
        <v>431</v>
      </c>
      <c r="D417" s="150" t="s">
        <v>197</v>
      </c>
      <c r="E417" s="150" t="s">
        <v>264</v>
      </c>
      <c r="F417" s="151" t="s">
        <v>199</v>
      </c>
      <c r="G417" s="180"/>
      <c r="H417" s="179" t="s">
        <v>305</v>
      </c>
      <c r="I417" s="154"/>
      <c r="J417" s="152" t="s">
        <v>168</v>
      </c>
      <c r="K417" s="180"/>
      <c r="L417" s="180"/>
      <c r="M417" s="180"/>
      <c r="N417" s="180"/>
      <c r="O417" s="180"/>
      <c r="P417" s="180"/>
      <c r="Q417" s="150" t="s">
        <v>202</v>
      </c>
      <c r="R417" s="150" t="s">
        <v>203</v>
      </c>
      <c r="S417" s="150" t="s">
        <v>231</v>
      </c>
      <c r="T417" s="150"/>
      <c r="U417" s="150"/>
      <c r="V417" s="150"/>
      <c r="W417" s="155"/>
      <c r="X417" s="156"/>
      <c r="Y417" s="155"/>
    </row>
    <row r="418" spans="1:25" ht="79.95" customHeight="1" x14ac:dyDescent="0.3">
      <c r="A418" s="40">
        <v>414</v>
      </c>
      <c r="B418" s="148"/>
      <c r="C418" s="149" t="s">
        <v>431</v>
      </c>
      <c r="D418" s="150" t="s">
        <v>197</v>
      </c>
      <c r="E418" s="150" t="s">
        <v>264</v>
      </c>
      <c r="F418" s="151" t="s">
        <v>199</v>
      </c>
      <c r="G418" s="181"/>
      <c r="H418" s="179" t="s">
        <v>980</v>
      </c>
      <c r="I418" s="154"/>
      <c r="J418" s="152" t="s">
        <v>168</v>
      </c>
      <c r="K418" s="181"/>
      <c r="L418" s="181"/>
      <c r="M418" s="181"/>
      <c r="N418" s="181"/>
      <c r="O418" s="181"/>
      <c r="P418" s="181"/>
      <c r="Q418" s="150" t="s">
        <v>202</v>
      </c>
      <c r="R418" s="150" t="s">
        <v>203</v>
      </c>
      <c r="S418" s="150" t="s">
        <v>231</v>
      </c>
      <c r="T418" s="150"/>
      <c r="U418" s="150"/>
      <c r="V418" s="150"/>
      <c r="W418" s="155"/>
      <c r="X418" s="156"/>
      <c r="Y418" s="155"/>
    </row>
    <row r="419" spans="1:25" ht="79.95" customHeight="1" x14ac:dyDescent="0.3">
      <c r="A419" s="40">
        <v>415</v>
      </c>
      <c r="B419" s="148"/>
      <c r="C419" s="149" t="s">
        <v>431</v>
      </c>
      <c r="D419" s="150" t="s">
        <v>197</v>
      </c>
      <c r="E419" s="150" t="s">
        <v>264</v>
      </c>
      <c r="F419" s="151" t="s">
        <v>199</v>
      </c>
      <c r="G419" s="181"/>
      <c r="H419" s="179" t="s">
        <v>314</v>
      </c>
      <c r="I419" s="154"/>
      <c r="J419" s="152" t="s">
        <v>168</v>
      </c>
      <c r="K419" s="181"/>
      <c r="L419" s="181"/>
      <c r="M419" s="181"/>
      <c r="N419" s="181"/>
      <c r="O419" s="181"/>
      <c r="P419" s="181"/>
      <c r="Q419" s="150" t="s">
        <v>202</v>
      </c>
      <c r="R419" s="150" t="s">
        <v>203</v>
      </c>
      <c r="S419" s="150" t="s">
        <v>231</v>
      </c>
      <c r="T419" s="150"/>
      <c r="U419" s="150"/>
      <c r="V419" s="150"/>
      <c r="W419" s="155"/>
      <c r="X419" s="156"/>
      <c r="Y419" s="155"/>
    </row>
    <row r="420" spans="1:25" ht="79.95" customHeight="1" x14ac:dyDescent="0.3">
      <c r="A420" s="40">
        <v>416</v>
      </c>
      <c r="B420" s="148"/>
      <c r="C420" s="149" t="s">
        <v>431</v>
      </c>
      <c r="D420" s="150" t="s">
        <v>197</v>
      </c>
      <c r="E420" s="150" t="s">
        <v>264</v>
      </c>
      <c r="F420" s="151" t="s">
        <v>199</v>
      </c>
      <c r="G420" s="152"/>
      <c r="H420" s="179" t="s">
        <v>317</v>
      </c>
      <c r="I420" s="154"/>
      <c r="J420" s="152" t="s">
        <v>168</v>
      </c>
      <c r="K420" s="152"/>
      <c r="L420" s="152"/>
      <c r="M420" s="152"/>
      <c r="N420" s="152"/>
      <c r="O420" s="152"/>
      <c r="P420" s="152"/>
      <c r="Q420" s="150" t="s">
        <v>202</v>
      </c>
      <c r="R420" s="150" t="s">
        <v>203</v>
      </c>
      <c r="S420" s="150" t="s">
        <v>321</v>
      </c>
      <c r="T420" s="150"/>
      <c r="U420" s="150"/>
      <c r="V420" s="150"/>
      <c r="W420" s="155"/>
      <c r="X420" s="156"/>
      <c r="Y420" s="155"/>
    </row>
    <row r="421" spans="1:25" ht="79.95" customHeight="1" x14ac:dyDescent="0.3">
      <c r="A421" s="40">
        <v>417</v>
      </c>
      <c r="B421" s="148"/>
      <c r="C421" s="149" t="s">
        <v>431</v>
      </c>
      <c r="D421" s="150" t="s">
        <v>197</v>
      </c>
      <c r="E421" s="150" t="s">
        <v>264</v>
      </c>
      <c r="F421" s="151" t="s">
        <v>199</v>
      </c>
      <c r="G421" s="152"/>
      <c r="H421" s="179" t="s">
        <v>981</v>
      </c>
      <c r="I421" s="154"/>
      <c r="J421" s="152" t="s">
        <v>168</v>
      </c>
      <c r="K421" s="152"/>
      <c r="L421" s="152"/>
      <c r="M421" s="152"/>
      <c r="N421" s="152"/>
      <c r="O421" s="152"/>
      <c r="P421" s="152"/>
      <c r="Q421" s="150" t="s">
        <v>202</v>
      </c>
      <c r="R421" s="150" t="s">
        <v>203</v>
      </c>
      <c r="S421" s="150" t="s">
        <v>321</v>
      </c>
      <c r="T421" s="150"/>
      <c r="U421" s="150"/>
      <c r="V421" s="150"/>
      <c r="W421" s="155"/>
      <c r="X421" s="156"/>
      <c r="Y421" s="155"/>
    </row>
    <row r="422" spans="1:25" ht="79.95" customHeight="1" x14ac:dyDescent="0.3">
      <c r="A422" s="40">
        <v>418</v>
      </c>
      <c r="B422" s="148"/>
      <c r="C422" s="149" t="s">
        <v>431</v>
      </c>
      <c r="D422" s="150" t="s">
        <v>197</v>
      </c>
      <c r="E422" s="150" t="s">
        <v>264</v>
      </c>
      <c r="F422" s="151" t="s">
        <v>199</v>
      </c>
      <c r="G422" s="152"/>
      <c r="H422" s="179" t="s">
        <v>326</v>
      </c>
      <c r="I422" s="154"/>
      <c r="J422" s="152" t="s">
        <v>168</v>
      </c>
      <c r="K422" s="152"/>
      <c r="L422" s="152"/>
      <c r="M422" s="152"/>
      <c r="N422" s="152"/>
      <c r="O422" s="152"/>
      <c r="P422" s="152"/>
      <c r="Q422" s="150" t="s">
        <v>202</v>
      </c>
      <c r="R422" s="150" t="s">
        <v>203</v>
      </c>
      <c r="S422" s="150" t="s">
        <v>321</v>
      </c>
      <c r="T422" s="150"/>
      <c r="U422" s="150"/>
      <c r="V422" s="150"/>
      <c r="W422" s="155"/>
      <c r="X422" s="156"/>
      <c r="Y422" s="155"/>
    </row>
    <row r="423" spans="1:25" ht="79.95" customHeight="1" x14ac:dyDescent="0.3">
      <c r="A423" s="40">
        <v>419</v>
      </c>
      <c r="B423" s="148"/>
      <c r="C423" s="149" t="s">
        <v>431</v>
      </c>
      <c r="D423" s="150" t="s">
        <v>197</v>
      </c>
      <c r="E423" s="150" t="s">
        <v>264</v>
      </c>
      <c r="F423" s="151" t="s">
        <v>199</v>
      </c>
      <c r="G423" s="152"/>
      <c r="H423" s="179" t="s">
        <v>330</v>
      </c>
      <c r="I423" s="154"/>
      <c r="J423" s="152" t="s">
        <v>168</v>
      </c>
      <c r="K423" s="152"/>
      <c r="L423" s="152"/>
      <c r="M423" s="152"/>
      <c r="N423" s="152"/>
      <c r="O423" s="152"/>
      <c r="P423" s="152"/>
      <c r="Q423" s="150" t="s">
        <v>202</v>
      </c>
      <c r="R423" s="150" t="s">
        <v>203</v>
      </c>
      <c r="S423" s="150" t="s">
        <v>231</v>
      </c>
      <c r="T423" s="150"/>
      <c r="U423" s="150"/>
      <c r="V423" s="150"/>
      <c r="W423" s="155"/>
      <c r="X423" s="156"/>
      <c r="Y423" s="155"/>
    </row>
    <row r="424" spans="1:25" ht="79.95" customHeight="1" x14ac:dyDescent="0.3">
      <c r="A424" s="40">
        <v>420</v>
      </c>
      <c r="B424" s="148"/>
      <c r="C424" s="149" t="s">
        <v>431</v>
      </c>
      <c r="D424" s="150" t="s">
        <v>197</v>
      </c>
      <c r="E424" s="150" t="s">
        <v>264</v>
      </c>
      <c r="F424" s="151" t="s">
        <v>199</v>
      </c>
      <c r="G424" s="152"/>
      <c r="H424" s="179" t="s">
        <v>334</v>
      </c>
      <c r="I424" s="154"/>
      <c r="J424" s="152" t="s">
        <v>168</v>
      </c>
      <c r="K424" s="152"/>
      <c r="L424" s="152"/>
      <c r="M424" s="152"/>
      <c r="N424" s="152"/>
      <c r="O424" s="152"/>
      <c r="P424" s="152"/>
      <c r="Q424" s="150" t="s">
        <v>202</v>
      </c>
      <c r="R424" s="150" t="s">
        <v>203</v>
      </c>
      <c r="S424" s="150" t="s">
        <v>321</v>
      </c>
      <c r="T424" s="150"/>
      <c r="U424" s="150"/>
      <c r="V424" s="150"/>
      <c r="W424" s="155"/>
      <c r="X424" s="156"/>
      <c r="Y424" s="155"/>
    </row>
    <row r="425" spans="1:25" ht="79.95" customHeight="1" x14ac:dyDescent="0.3">
      <c r="A425" s="40">
        <v>421</v>
      </c>
      <c r="B425" s="148"/>
      <c r="C425" s="149" t="s">
        <v>431</v>
      </c>
      <c r="D425" s="150" t="s">
        <v>197</v>
      </c>
      <c r="E425" s="150" t="s">
        <v>264</v>
      </c>
      <c r="F425" s="151" t="s">
        <v>199</v>
      </c>
      <c r="G425" s="152"/>
      <c r="H425" s="179" t="s">
        <v>982</v>
      </c>
      <c r="I425" s="154"/>
      <c r="J425" s="152" t="s">
        <v>168</v>
      </c>
      <c r="K425" s="152"/>
      <c r="L425" s="152"/>
      <c r="M425" s="152"/>
      <c r="N425" s="152"/>
      <c r="O425" s="152"/>
      <c r="P425" s="152"/>
      <c r="Q425" s="150" t="s">
        <v>202</v>
      </c>
      <c r="R425" s="150" t="s">
        <v>203</v>
      </c>
      <c r="S425" s="150"/>
      <c r="T425" s="150"/>
      <c r="U425" s="150"/>
      <c r="V425" s="150"/>
      <c r="W425" s="155"/>
      <c r="X425" s="156"/>
      <c r="Y425" s="155"/>
    </row>
    <row r="426" spans="1:25" ht="79.95" customHeight="1" x14ac:dyDescent="0.3">
      <c r="A426" s="40">
        <v>422</v>
      </c>
      <c r="B426" s="148"/>
      <c r="C426" s="149" t="s">
        <v>431</v>
      </c>
      <c r="D426" s="150" t="s">
        <v>197</v>
      </c>
      <c r="E426" s="150" t="s">
        <v>264</v>
      </c>
      <c r="F426" s="151" t="s">
        <v>199</v>
      </c>
      <c r="G426" s="152"/>
      <c r="H426" s="179" t="s">
        <v>340</v>
      </c>
      <c r="I426" s="154"/>
      <c r="J426" s="152" t="s">
        <v>168</v>
      </c>
      <c r="K426" s="152"/>
      <c r="L426" s="152"/>
      <c r="M426" s="152"/>
      <c r="N426" s="152"/>
      <c r="O426" s="152"/>
      <c r="P426" s="152"/>
      <c r="Q426" s="150" t="s">
        <v>202</v>
      </c>
      <c r="R426" s="150" t="s">
        <v>203</v>
      </c>
      <c r="S426" s="150" t="s">
        <v>321</v>
      </c>
      <c r="T426" s="150"/>
      <c r="U426" s="150"/>
      <c r="V426" s="150"/>
      <c r="W426" s="155"/>
      <c r="X426" s="156"/>
      <c r="Y426" s="155"/>
    </row>
    <row r="427" spans="1:25" ht="79.95" customHeight="1" x14ac:dyDescent="0.3">
      <c r="A427" s="40">
        <v>423</v>
      </c>
      <c r="B427" s="148"/>
      <c r="C427" s="149" t="s">
        <v>431</v>
      </c>
      <c r="D427" s="150" t="s">
        <v>197</v>
      </c>
      <c r="E427" s="150" t="s">
        <v>264</v>
      </c>
      <c r="F427" s="151" t="s">
        <v>199</v>
      </c>
      <c r="G427" s="152"/>
      <c r="H427" s="179" t="s">
        <v>983</v>
      </c>
      <c r="I427" s="154"/>
      <c r="J427" s="152" t="s">
        <v>168</v>
      </c>
      <c r="K427" s="152"/>
      <c r="L427" s="152"/>
      <c r="M427" s="152"/>
      <c r="N427" s="152"/>
      <c r="O427" s="152"/>
      <c r="P427" s="152"/>
      <c r="Q427" s="150" t="s">
        <v>202</v>
      </c>
      <c r="R427" s="150" t="s">
        <v>203</v>
      </c>
      <c r="S427" s="150"/>
      <c r="T427" s="150"/>
      <c r="U427" s="150"/>
      <c r="V427" s="150"/>
      <c r="W427" s="155"/>
      <c r="X427" s="156"/>
      <c r="Y427" s="155"/>
    </row>
    <row r="428" spans="1:25" ht="79.95" customHeight="1" x14ac:dyDescent="0.3">
      <c r="A428" s="40">
        <v>424</v>
      </c>
      <c r="B428" s="148"/>
      <c r="C428" s="149" t="s">
        <v>431</v>
      </c>
      <c r="D428" s="150" t="s">
        <v>197</v>
      </c>
      <c r="E428" s="150" t="s">
        <v>264</v>
      </c>
      <c r="F428" s="151" t="s">
        <v>199</v>
      </c>
      <c r="G428" s="152"/>
      <c r="H428" s="179" t="s">
        <v>984</v>
      </c>
      <c r="I428" s="154"/>
      <c r="J428" s="152" t="s">
        <v>168</v>
      </c>
      <c r="K428" s="152"/>
      <c r="L428" s="152"/>
      <c r="M428" s="152"/>
      <c r="N428" s="152"/>
      <c r="O428" s="152"/>
      <c r="P428" s="152"/>
      <c r="Q428" s="150" t="s">
        <v>202</v>
      </c>
      <c r="R428" s="150" t="s">
        <v>203</v>
      </c>
      <c r="S428" s="150" t="s">
        <v>321</v>
      </c>
      <c r="T428" s="150"/>
      <c r="U428" s="150"/>
      <c r="V428" s="150"/>
      <c r="W428" s="155"/>
      <c r="X428" s="156"/>
      <c r="Y428" s="155"/>
    </row>
    <row r="429" spans="1:25" ht="79.95" customHeight="1" x14ac:dyDescent="0.3">
      <c r="A429" s="40">
        <v>425</v>
      </c>
      <c r="B429" s="148"/>
      <c r="C429" s="149" t="s">
        <v>431</v>
      </c>
      <c r="D429" s="150" t="s">
        <v>197</v>
      </c>
      <c r="E429" s="150" t="s">
        <v>264</v>
      </c>
      <c r="F429" s="151" t="s">
        <v>199</v>
      </c>
      <c r="G429" s="152"/>
      <c r="H429" s="179" t="s">
        <v>353</v>
      </c>
      <c r="I429" s="154"/>
      <c r="J429" s="152" t="s">
        <v>168</v>
      </c>
      <c r="K429" s="152"/>
      <c r="L429" s="152"/>
      <c r="M429" s="152"/>
      <c r="N429" s="152"/>
      <c r="O429" s="152"/>
      <c r="P429" s="152"/>
      <c r="Q429" s="150" t="s">
        <v>202</v>
      </c>
      <c r="R429" s="150" t="s">
        <v>203</v>
      </c>
      <c r="S429" s="150" t="s">
        <v>321</v>
      </c>
      <c r="T429" s="150"/>
      <c r="U429" s="150"/>
      <c r="V429" s="150"/>
      <c r="W429" s="155"/>
      <c r="X429" s="156"/>
      <c r="Y429" s="155"/>
    </row>
    <row r="430" spans="1:25" ht="79.95" customHeight="1" x14ac:dyDescent="0.3">
      <c r="A430" s="40">
        <v>426</v>
      </c>
      <c r="B430" s="148"/>
      <c r="C430" s="149" t="s">
        <v>431</v>
      </c>
      <c r="D430" s="150" t="s">
        <v>197</v>
      </c>
      <c r="E430" s="150" t="s">
        <v>264</v>
      </c>
      <c r="F430" s="151" t="s">
        <v>199</v>
      </c>
      <c r="G430" s="152"/>
      <c r="H430" s="179" t="s">
        <v>356</v>
      </c>
      <c r="I430" s="154"/>
      <c r="J430" s="152" t="s">
        <v>168</v>
      </c>
      <c r="K430" s="152"/>
      <c r="L430" s="152"/>
      <c r="M430" s="152"/>
      <c r="N430" s="152"/>
      <c r="O430" s="152"/>
      <c r="P430" s="152"/>
      <c r="Q430" s="150" t="s">
        <v>202</v>
      </c>
      <c r="R430" s="150" t="s">
        <v>203</v>
      </c>
      <c r="S430" s="150" t="s">
        <v>321</v>
      </c>
      <c r="T430" s="150"/>
      <c r="U430" s="150"/>
      <c r="V430" s="150"/>
      <c r="W430" s="155"/>
      <c r="X430" s="156"/>
      <c r="Y430" s="155"/>
    </row>
    <row r="431" spans="1:25" ht="79.95" customHeight="1" x14ac:dyDescent="0.3">
      <c r="A431" s="40">
        <v>427</v>
      </c>
      <c r="B431" s="148"/>
      <c r="C431" s="149" t="s">
        <v>431</v>
      </c>
      <c r="D431" s="150" t="s">
        <v>197</v>
      </c>
      <c r="E431" s="150" t="s">
        <v>264</v>
      </c>
      <c r="F431" s="151" t="s">
        <v>199</v>
      </c>
      <c r="G431" s="152"/>
      <c r="H431" s="179" t="s">
        <v>358</v>
      </c>
      <c r="I431" s="154"/>
      <c r="J431" s="152" t="s">
        <v>168</v>
      </c>
      <c r="K431" s="152"/>
      <c r="L431" s="152"/>
      <c r="M431" s="152"/>
      <c r="N431" s="152"/>
      <c r="O431" s="152"/>
      <c r="P431" s="152"/>
      <c r="Q431" s="150" t="s">
        <v>202</v>
      </c>
      <c r="R431" s="150" t="s">
        <v>203</v>
      </c>
      <c r="S431" s="150" t="s">
        <v>321</v>
      </c>
      <c r="T431" s="150"/>
      <c r="U431" s="150"/>
      <c r="V431" s="150"/>
      <c r="W431" s="155"/>
      <c r="X431" s="156"/>
      <c r="Y431" s="155"/>
    </row>
    <row r="432" spans="1:25" ht="79.95" customHeight="1" x14ac:dyDescent="0.3">
      <c r="A432" s="40">
        <v>428</v>
      </c>
      <c r="B432" s="148"/>
      <c r="C432" s="149" t="s">
        <v>431</v>
      </c>
      <c r="D432" s="150" t="s">
        <v>197</v>
      </c>
      <c r="E432" s="150" t="s">
        <v>247</v>
      </c>
      <c r="F432" s="151" t="s">
        <v>199</v>
      </c>
      <c r="G432" s="152"/>
      <c r="H432" s="150" t="s">
        <v>361</v>
      </c>
      <c r="I432" s="150" t="s">
        <v>362</v>
      </c>
      <c r="J432" s="152" t="s">
        <v>168</v>
      </c>
      <c r="K432" s="152"/>
      <c r="L432" s="152"/>
      <c r="M432" s="152"/>
      <c r="N432" s="152"/>
      <c r="O432" s="152"/>
      <c r="P432" s="152"/>
      <c r="Q432" s="150" t="s">
        <v>202</v>
      </c>
      <c r="R432" s="150" t="s">
        <v>203</v>
      </c>
      <c r="S432" s="150" t="s">
        <v>249</v>
      </c>
      <c r="T432" s="150"/>
      <c r="U432" s="150"/>
      <c r="V432" s="150"/>
      <c r="W432" s="155"/>
      <c r="X432" s="156"/>
      <c r="Y432" s="155"/>
    </row>
    <row r="433" spans="1:25" ht="79.95" customHeight="1" x14ac:dyDescent="0.3">
      <c r="A433" s="40">
        <v>429</v>
      </c>
      <c r="B433" s="148"/>
      <c r="C433" s="149" t="s">
        <v>431</v>
      </c>
      <c r="D433" s="150" t="s">
        <v>197</v>
      </c>
      <c r="E433" s="150" t="s">
        <v>247</v>
      </c>
      <c r="F433" s="151" t="s">
        <v>199</v>
      </c>
      <c r="G433" s="152"/>
      <c r="H433" s="150" t="s">
        <v>365</v>
      </c>
      <c r="I433" s="150" t="s">
        <v>283</v>
      </c>
      <c r="J433" s="152" t="s">
        <v>168</v>
      </c>
      <c r="K433" s="152"/>
      <c r="L433" s="152"/>
      <c r="M433" s="152"/>
      <c r="N433" s="152"/>
      <c r="O433" s="152"/>
      <c r="P433" s="152"/>
      <c r="Q433" s="150" t="s">
        <v>202</v>
      </c>
      <c r="R433" s="150" t="s">
        <v>203</v>
      </c>
      <c r="S433" s="150" t="s">
        <v>249</v>
      </c>
      <c r="T433" s="150"/>
      <c r="U433" s="150"/>
      <c r="V433" s="150"/>
      <c r="W433" s="155"/>
      <c r="X433" s="156"/>
      <c r="Y433" s="155"/>
    </row>
    <row r="434" spans="1:25" ht="79.95" customHeight="1" x14ac:dyDescent="0.3">
      <c r="A434" s="40">
        <v>430</v>
      </c>
      <c r="B434" s="148"/>
      <c r="C434" s="149" t="s">
        <v>431</v>
      </c>
      <c r="D434" s="150" t="s">
        <v>197</v>
      </c>
      <c r="E434" s="150" t="s">
        <v>247</v>
      </c>
      <c r="F434" s="151" t="s">
        <v>199</v>
      </c>
      <c r="G434" s="152"/>
      <c r="H434" s="179" t="s">
        <v>985</v>
      </c>
      <c r="I434" s="154"/>
      <c r="J434" s="152" t="s">
        <v>168</v>
      </c>
      <c r="K434" s="152"/>
      <c r="L434" s="152"/>
      <c r="M434" s="152"/>
      <c r="N434" s="152"/>
      <c r="O434" s="152"/>
      <c r="P434" s="152"/>
      <c r="Q434" s="150" t="s">
        <v>202</v>
      </c>
      <c r="R434" s="150" t="s">
        <v>203</v>
      </c>
      <c r="S434" s="150" t="s">
        <v>249</v>
      </c>
      <c r="T434" s="150"/>
      <c r="U434" s="150"/>
      <c r="V434" s="150"/>
      <c r="W434" s="155"/>
      <c r="X434" s="156"/>
      <c r="Y434" s="155"/>
    </row>
    <row r="435" spans="1:25" ht="79.95" customHeight="1" x14ac:dyDescent="0.3">
      <c r="A435" s="40">
        <v>431</v>
      </c>
      <c r="B435" s="148"/>
      <c r="C435" s="149" t="s">
        <v>431</v>
      </c>
      <c r="D435" s="150" t="s">
        <v>197</v>
      </c>
      <c r="E435" s="150" t="s">
        <v>247</v>
      </c>
      <c r="F435" s="151" t="s">
        <v>199</v>
      </c>
      <c r="G435" s="152"/>
      <c r="H435" s="179" t="s">
        <v>986</v>
      </c>
      <c r="I435" s="154"/>
      <c r="J435" s="152" t="s">
        <v>168</v>
      </c>
      <c r="K435" s="152"/>
      <c r="L435" s="152"/>
      <c r="M435" s="152"/>
      <c r="N435" s="152"/>
      <c r="O435" s="152"/>
      <c r="P435" s="152"/>
      <c r="Q435" s="150" t="s">
        <v>202</v>
      </c>
      <c r="R435" s="150" t="s">
        <v>203</v>
      </c>
      <c r="S435" s="150" t="s">
        <v>249</v>
      </c>
      <c r="T435" s="150"/>
      <c r="U435" s="150"/>
      <c r="V435" s="150"/>
      <c r="W435" s="155"/>
      <c r="X435" s="156"/>
      <c r="Y435" s="155"/>
    </row>
    <row r="436" spans="1:25" ht="79.95" customHeight="1" x14ac:dyDescent="0.3">
      <c r="A436" s="40">
        <v>432</v>
      </c>
      <c r="B436" s="148"/>
      <c r="C436" s="149" t="s">
        <v>431</v>
      </c>
      <c r="D436" s="150" t="s">
        <v>197</v>
      </c>
      <c r="E436" s="150" t="s">
        <v>247</v>
      </c>
      <c r="F436" s="151" t="s">
        <v>199</v>
      </c>
      <c r="G436" s="152"/>
      <c r="H436" s="150" t="s">
        <v>374</v>
      </c>
      <c r="I436" s="303" t="s">
        <v>376</v>
      </c>
      <c r="J436" s="152" t="s">
        <v>168</v>
      </c>
      <c r="K436" s="152"/>
      <c r="L436" s="152"/>
      <c r="M436" s="152"/>
      <c r="N436" s="152"/>
      <c r="O436" s="152"/>
      <c r="P436" s="152"/>
      <c r="Q436" s="150" t="s">
        <v>202</v>
      </c>
      <c r="R436" s="150" t="s">
        <v>203</v>
      </c>
      <c r="S436" s="150"/>
      <c r="T436" s="150"/>
      <c r="U436" s="150"/>
      <c r="V436" s="150"/>
      <c r="W436" s="155"/>
      <c r="X436" s="156"/>
      <c r="Y436" s="155"/>
    </row>
    <row r="437" spans="1:25" ht="79.95" customHeight="1" x14ac:dyDescent="0.3">
      <c r="A437" s="40">
        <v>433</v>
      </c>
      <c r="B437" s="148"/>
      <c r="C437" s="149" t="s">
        <v>431</v>
      </c>
      <c r="D437" s="150" t="s">
        <v>197</v>
      </c>
      <c r="E437" s="150" t="s">
        <v>247</v>
      </c>
      <c r="F437" s="151" t="s">
        <v>199</v>
      </c>
      <c r="G437" s="152"/>
      <c r="H437" s="150" t="s">
        <v>379</v>
      </c>
      <c r="I437" s="304"/>
      <c r="J437" s="152" t="s">
        <v>168</v>
      </c>
      <c r="K437" s="152"/>
      <c r="L437" s="152"/>
      <c r="M437" s="152"/>
      <c r="N437" s="152"/>
      <c r="O437" s="152"/>
      <c r="P437" s="152"/>
      <c r="Q437" s="150" t="s">
        <v>202</v>
      </c>
      <c r="R437" s="150" t="s">
        <v>203</v>
      </c>
      <c r="S437" s="150"/>
      <c r="T437" s="150"/>
      <c r="U437" s="150"/>
      <c r="V437" s="150"/>
      <c r="W437" s="155"/>
      <c r="X437" s="156"/>
      <c r="Y437" s="155"/>
    </row>
    <row r="438" spans="1:25" ht="79.95" customHeight="1" x14ac:dyDescent="0.3">
      <c r="A438" s="40">
        <v>434</v>
      </c>
      <c r="B438" s="148"/>
      <c r="C438" s="149" t="s">
        <v>431</v>
      </c>
      <c r="D438" s="150" t="s">
        <v>197</v>
      </c>
      <c r="E438" s="150" t="s">
        <v>247</v>
      </c>
      <c r="F438" s="151" t="s">
        <v>199</v>
      </c>
      <c r="G438" s="152"/>
      <c r="H438" s="150" t="s">
        <v>381</v>
      </c>
      <c r="I438" s="304"/>
      <c r="J438" s="152" t="s">
        <v>168</v>
      </c>
      <c r="K438" s="152"/>
      <c r="L438" s="152"/>
      <c r="M438" s="152"/>
      <c r="N438" s="152"/>
      <c r="O438" s="152"/>
      <c r="P438" s="152"/>
      <c r="Q438" s="150" t="s">
        <v>202</v>
      </c>
      <c r="R438" s="150" t="s">
        <v>203</v>
      </c>
      <c r="S438" s="150"/>
      <c r="T438" s="150"/>
      <c r="U438" s="150"/>
      <c r="V438" s="150"/>
      <c r="W438" s="155"/>
      <c r="X438" s="156"/>
      <c r="Y438" s="155"/>
    </row>
    <row r="439" spans="1:25" ht="79.95" customHeight="1" x14ac:dyDescent="0.3">
      <c r="A439" s="40">
        <v>435</v>
      </c>
      <c r="B439" s="148"/>
      <c r="C439" s="149" t="s">
        <v>431</v>
      </c>
      <c r="D439" s="150" t="s">
        <v>197</v>
      </c>
      <c r="E439" s="150" t="s">
        <v>247</v>
      </c>
      <c r="F439" s="151" t="s">
        <v>199</v>
      </c>
      <c r="G439" s="152"/>
      <c r="H439" s="150" t="s">
        <v>384</v>
      </c>
      <c r="I439" s="305"/>
      <c r="J439" s="152" t="s">
        <v>168</v>
      </c>
      <c r="K439" s="152"/>
      <c r="L439" s="152"/>
      <c r="M439" s="152"/>
      <c r="N439" s="152"/>
      <c r="O439" s="152"/>
      <c r="P439" s="152"/>
      <c r="Q439" s="150" t="s">
        <v>202</v>
      </c>
      <c r="R439" s="150" t="s">
        <v>203</v>
      </c>
      <c r="S439" s="150"/>
      <c r="T439" s="150"/>
      <c r="U439" s="150"/>
      <c r="V439" s="150"/>
      <c r="W439" s="155"/>
      <c r="X439" s="156"/>
      <c r="Y439" s="155"/>
    </row>
    <row r="440" spans="1:25" ht="79.95" customHeight="1" x14ac:dyDescent="0.3">
      <c r="A440" s="40">
        <v>436</v>
      </c>
      <c r="B440" s="148"/>
      <c r="C440" s="149" t="s">
        <v>431</v>
      </c>
      <c r="D440" s="150" t="s">
        <v>197</v>
      </c>
      <c r="E440" s="150" t="s">
        <v>389</v>
      </c>
      <c r="F440" s="151" t="s">
        <v>199</v>
      </c>
      <c r="G440" s="152"/>
      <c r="H440" s="150" t="s">
        <v>390</v>
      </c>
      <c r="I440" s="303" t="s">
        <v>391</v>
      </c>
      <c r="J440" s="152" t="s">
        <v>168</v>
      </c>
      <c r="K440" s="152"/>
      <c r="L440" s="152"/>
      <c r="M440" s="152"/>
      <c r="N440" s="152"/>
      <c r="O440" s="152"/>
      <c r="P440" s="152"/>
      <c r="Q440" s="150" t="s">
        <v>202</v>
      </c>
      <c r="R440" s="150" t="s">
        <v>203</v>
      </c>
      <c r="S440" s="150" t="s">
        <v>321</v>
      </c>
      <c r="T440" s="150"/>
      <c r="U440" s="150"/>
      <c r="V440" s="150"/>
      <c r="W440" s="155"/>
      <c r="X440" s="156"/>
      <c r="Y440" s="155"/>
    </row>
    <row r="441" spans="1:25" ht="79.95" customHeight="1" x14ac:dyDescent="0.3">
      <c r="A441" s="40">
        <v>437</v>
      </c>
      <c r="B441" s="148"/>
      <c r="C441" s="149" t="s">
        <v>431</v>
      </c>
      <c r="D441" s="150" t="s">
        <v>197</v>
      </c>
      <c r="E441" s="150" t="s">
        <v>389</v>
      </c>
      <c r="F441" s="151" t="s">
        <v>199</v>
      </c>
      <c r="G441" s="152"/>
      <c r="H441" s="150" t="s">
        <v>394</v>
      </c>
      <c r="I441" s="304"/>
      <c r="J441" s="152" t="s">
        <v>168</v>
      </c>
      <c r="K441" s="152"/>
      <c r="L441" s="152"/>
      <c r="M441" s="152"/>
      <c r="N441" s="152"/>
      <c r="O441" s="152"/>
      <c r="P441" s="152"/>
      <c r="Q441" s="150" t="s">
        <v>202</v>
      </c>
      <c r="R441" s="150" t="s">
        <v>203</v>
      </c>
      <c r="S441" s="150" t="s">
        <v>321</v>
      </c>
      <c r="T441" s="150"/>
      <c r="U441" s="150"/>
      <c r="V441" s="150"/>
      <c r="W441" s="155"/>
      <c r="X441" s="156"/>
      <c r="Y441" s="155"/>
    </row>
    <row r="442" spans="1:25" ht="79.95" customHeight="1" x14ac:dyDescent="0.3">
      <c r="A442" s="40">
        <v>438</v>
      </c>
      <c r="B442" s="148"/>
      <c r="C442" s="149" t="s">
        <v>431</v>
      </c>
      <c r="D442" s="150" t="s">
        <v>197</v>
      </c>
      <c r="E442" s="150" t="s">
        <v>389</v>
      </c>
      <c r="F442" s="151" t="s">
        <v>199</v>
      </c>
      <c r="G442" s="152"/>
      <c r="H442" s="150" t="s">
        <v>397</v>
      </c>
      <c r="I442" s="305"/>
      <c r="J442" s="152" t="s">
        <v>168</v>
      </c>
      <c r="K442" s="152"/>
      <c r="L442" s="152"/>
      <c r="M442" s="152"/>
      <c r="N442" s="152"/>
      <c r="O442" s="152"/>
      <c r="P442" s="152"/>
      <c r="Q442" s="150" t="s">
        <v>202</v>
      </c>
      <c r="R442" s="150" t="s">
        <v>203</v>
      </c>
      <c r="S442" s="150" t="s">
        <v>321</v>
      </c>
      <c r="T442" s="150"/>
      <c r="U442" s="150"/>
      <c r="V442" s="150"/>
      <c r="W442" s="155"/>
      <c r="X442" s="156"/>
      <c r="Y442" s="155"/>
    </row>
    <row r="443" spans="1:25" ht="79.95" customHeight="1" x14ac:dyDescent="0.3">
      <c r="A443" s="40">
        <v>439</v>
      </c>
      <c r="B443" s="148"/>
      <c r="C443" s="149" t="s">
        <v>431</v>
      </c>
      <c r="D443" s="150" t="s">
        <v>197</v>
      </c>
      <c r="E443" s="150" t="s">
        <v>389</v>
      </c>
      <c r="F443" s="151" t="s">
        <v>199</v>
      </c>
      <c r="G443" s="152"/>
      <c r="H443" s="150" t="s">
        <v>987</v>
      </c>
      <c r="I443" s="150" t="s">
        <v>988</v>
      </c>
      <c r="J443" s="152" t="s">
        <v>168</v>
      </c>
      <c r="K443" s="152"/>
      <c r="L443" s="152"/>
      <c r="M443" s="152"/>
      <c r="N443" s="152"/>
      <c r="O443" s="152"/>
      <c r="P443" s="152"/>
      <c r="Q443" s="150" t="s">
        <v>202</v>
      </c>
      <c r="R443" s="150" t="s">
        <v>203</v>
      </c>
      <c r="S443" s="150" t="s">
        <v>321</v>
      </c>
      <c r="T443" s="150"/>
      <c r="U443" s="150"/>
      <c r="V443" s="150"/>
      <c r="W443" s="155"/>
      <c r="X443" s="156"/>
      <c r="Y443" s="155"/>
    </row>
    <row r="444" spans="1:25" ht="79.95" customHeight="1" x14ac:dyDescent="0.3">
      <c r="A444" s="40">
        <v>440</v>
      </c>
      <c r="B444" s="148"/>
      <c r="C444" s="149" t="s">
        <v>431</v>
      </c>
      <c r="D444" s="150" t="s">
        <v>197</v>
      </c>
      <c r="E444" s="150" t="s">
        <v>389</v>
      </c>
      <c r="F444" s="151" t="s">
        <v>199</v>
      </c>
      <c r="G444" s="152"/>
      <c r="H444" s="150" t="s">
        <v>405</v>
      </c>
      <c r="I444" s="150" t="s">
        <v>225</v>
      </c>
      <c r="J444" s="152" t="s">
        <v>168</v>
      </c>
      <c r="K444" s="152"/>
      <c r="L444" s="152"/>
      <c r="M444" s="152"/>
      <c r="N444" s="152"/>
      <c r="O444" s="152"/>
      <c r="P444" s="152"/>
      <c r="Q444" s="150" t="s">
        <v>202</v>
      </c>
      <c r="R444" s="150" t="s">
        <v>203</v>
      </c>
      <c r="S444" s="150" t="s">
        <v>321</v>
      </c>
      <c r="T444" s="150"/>
      <c r="U444" s="150"/>
      <c r="V444" s="150"/>
      <c r="W444" s="155"/>
      <c r="X444" s="156"/>
      <c r="Y444" s="155"/>
    </row>
    <row r="445" spans="1:25" ht="79.95" customHeight="1" x14ac:dyDescent="0.3">
      <c r="A445" s="40">
        <v>441</v>
      </c>
      <c r="B445" s="148"/>
      <c r="C445" s="149" t="s">
        <v>431</v>
      </c>
      <c r="D445" s="150" t="s">
        <v>197</v>
      </c>
      <c r="E445" s="150" t="s">
        <v>408</v>
      </c>
      <c r="F445" s="151" t="s">
        <v>199</v>
      </c>
      <c r="G445" s="152"/>
      <c r="H445" s="150" t="s">
        <v>409</v>
      </c>
      <c r="I445" s="154"/>
      <c r="J445" s="152" t="s">
        <v>261</v>
      </c>
      <c r="K445" s="152"/>
      <c r="L445" s="152"/>
      <c r="M445" s="152"/>
      <c r="N445" s="152"/>
      <c r="O445" s="152"/>
      <c r="P445" s="152"/>
      <c r="Q445" s="150" t="s">
        <v>202</v>
      </c>
      <c r="R445" s="150" t="s">
        <v>203</v>
      </c>
      <c r="S445" s="150"/>
      <c r="T445" s="150"/>
      <c r="U445" s="150"/>
      <c r="V445" s="150"/>
      <c r="W445" s="155"/>
      <c r="X445" s="156"/>
      <c r="Y445" s="155"/>
    </row>
    <row r="446" spans="1:25" ht="79.95" customHeight="1" x14ac:dyDescent="0.3">
      <c r="A446" s="40">
        <v>442</v>
      </c>
      <c r="B446" s="148"/>
      <c r="C446" s="149" t="s">
        <v>431</v>
      </c>
      <c r="D446" s="150" t="s">
        <v>197</v>
      </c>
      <c r="E446" s="150" t="s">
        <v>408</v>
      </c>
      <c r="F446" s="151" t="s">
        <v>199</v>
      </c>
      <c r="G446" s="152"/>
      <c r="H446" s="150" t="s">
        <v>412</v>
      </c>
      <c r="I446" s="154"/>
      <c r="J446" s="152" t="s">
        <v>261</v>
      </c>
      <c r="K446" s="152"/>
      <c r="L446" s="152"/>
      <c r="M446" s="152"/>
      <c r="N446" s="152"/>
      <c r="O446" s="152"/>
      <c r="P446" s="152"/>
      <c r="Q446" s="150" t="s">
        <v>202</v>
      </c>
      <c r="R446" s="150" t="s">
        <v>203</v>
      </c>
      <c r="S446" s="150"/>
      <c r="T446" s="150"/>
      <c r="U446" s="150"/>
      <c r="V446" s="150"/>
      <c r="W446" s="155"/>
      <c r="X446" s="156"/>
      <c r="Y446" s="155"/>
    </row>
    <row r="447" spans="1:25" ht="79.95" customHeight="1" x14ac:dyDescent="0.3">
      <c r="A447" s="40">
        <v>443</v>
      </c>
      <c r="B447" s="148"/>
      <c r="C447" s="149" t="s">
        <v>431</v>
      </c>
      <c r="D447" s="150" t="s">
        <v>197</v>
      </c>
      <c r="E447" s="150" t="s">
        <v>408</v>
      </c>
      <c r="F447" s="151" t="s">
        <v>199</v>
      </c>
      <c r="G447" s="152"/>
      <c r="H447" s="150" t="s">
        <v>415</v>
      </c>
      <c r="I447" s="154"/>
      <c r="J447" s="152" t="s">
        <v>261</v>
      </c>
      <c r="K447" s="152"/>
      <c r="L447" s="152"/>
      <c r="M447" s="152"/>
      <c r="N447" s="152"/>
      <c r="O447" s="152"/>
      <c r="P447" s="152"/>
      <c r="Q447" s="150" t="s">
        <v>202</v>
      </c>
      <c r="R447" s="150" t="s">
        <v>203</v>
      </c>
      <c r="S447" s="150"/>
      <c r="T447" s="150"/>
      <c r="U447" s="150"/>
      <c r="V447" s="150"/>
      <c r="W447" s="155"/>
      <c r="X447" s="156"/>
      <c r="Y447" s="155"/>
    </row>
    <row r="448" spans="1:25" ht="79.95" customHeight="1" x14ac:dyDescent="0.3">
      <c r="A448" s="40">
        <v>444</v>
      </c>
      <c r="B448" s="148"/>
      <c r="C448" s="149" t="s">
        <v>431</v>
      </c>
      <c r="D448" s="150" t="s">
        <v>197</v>
      </c>
      <c r="E448" s="150" t="s">
        <v>408</v>
      </c>
      <c r="F448" s="151" t="s">
        <v>199</v>
      </c>
      <c r="G448" s="152"/>
      <c r="H448" s="150" t="s">
        <v>421</v>
      </c>
      <c r="I448" s="154"/>
      <c r="J448" s="152" t="s">
        <v>261</v>
      </c>
      <c r="K448" s="152"/>
      <c r="L448" s="152"/>
      <c r="M448" s="152"/>
      <c r="N448" s="152"/>
      <c r="O448" s="152"/>
      <c r="P448" s="152"/>
      <c r="Q448" s="150" t="s">
        <v>202</v>
      </c>
      <c r="R448" s="150" t="s">
        <v>203</v>
      </c>
      <c r="S448" s="150"/>
      <c r="T448" s="150"/>
      <c r="U448" s="150"/>
      <c r="V448" s="150"/>
      <c r="W448" s="155"/>
      <c r="X448" s="156"/>
      <c r="Y448" s="155"/>
    </row>
    <row r="449" spans="1:25" ht="79.95" customHeight="1" x14ac:dyDescent="0.3">
      <c r="A449" s="40">
        <v>445</v>
      </c>
      <c r="B449" s="148"/>
      <c r="C449" s="149" t="s">
        <v>431</v>
      </c>
      <c r="D449" s="150" t="s">
        <v>197</v>
      </c>
      <c r="E449" s="150" t="s">
        <v>408</v>
      </c>
      <c r="F449" s="151" t="s">
        <v>199</v>
      </c>
      <c r="G449" s="152"/>
      <c r="H449" s="150" t="s">
        <v>424</v>
      </c>
      <c r="I449" s="154"/>
      <c r="J449" s="152" t="s">
        <v>261</v>
      </c>
      <c r="K449" s="152"/>
      <c r="L449" s="152"/>
      <c r="M449" s="152"/>
      <c r="N449" s="152"/>
      <c r="O449" s="152"/>
      <c r="P449" s="152"/>
      <c r="Q449" s="150" t="s">
        <v>202</v>
      </c>
      <c r="R449" s="150" t="s">
        <v>203</v>
      </c>
      <c r="S449" s="150"/>
      <c r="T449" s="150"/>
      <c r="U449" s="150"/>
      <c r="V449" s="150"/>
      <c r="W449" s="155"/>
      <c r="X449" s="156"/>
      <c r="Y449" s="155"/>
    </row>
    <row r="450" spans="1:25" ht="79.95" customHeight="1" x14ac:dyDescent="0.3">
      <c r="A450" s="40">
        <v>446</v>
      </c>
      <c r="B450" s="148"/>
      <c r="C450" s="149" t="s">
        <v>431</v>
      </c>
      <c r="D450" s="150" t="s">
        <v>197</v>
      </c>
      <c r="E450" s="150" t="s">
        <v>408</v>
      </c>
      <c r="F450" s="151" t="s">
        <v>199</v>
      </c>
      <c r="G450" s="152"/>
      <c r="H450" s="150" t="s">
        <v>428</v>
      </c>
      <c r="I450" s="154"/>
      <c r="J450" s="152" t="s">
        <v>261</v>
      </c>
      <c r="K450" s="152"/>
      <c r="L450" s="152"/>
      <c r="M450" s="152"/>
      <c r="N450" s="152"/>
      <c r="O450" s="152"/>
      <c r="P450" s="152"/>
      <c r="Q450" s="150" t="s">
        <v>202</v>
      </c>
      <c r="R450" s="150" t="s">
        <v>203</v>
      </c>
      <c r="S450" s="150"/>
      <c r="T450" s="150"/>
      <c r="U450" s="150"/>
      <c r="V450" s="150"/>
      <c r="W450" s="155"/>
      <c r="X450" s="156"/>
      <c r="Y450" s="155"/>
    </row>
    <row r="451" spans="1:25" ht="79.95" customHeight="1" x14ac:dyDescent="0.3">
      <c r="A451" s="40">
        <v>447</v>
      </c>
      <c r="B451" s="148"/>
      <c r="C451" s="149" t="s">
        <v>431</v>
      </c>
      <c r="D451" s="150" t="s">
        <v>431</v>
      </c>
      <c r="E451" s="150" t="s">
        <v>432</v>
      </c>
      <c r="F451" s="151" t="s">
        <v>199</v>
      </c>
      <c r="G451" s="152"/>
      <c r="H451" s="150" t="s">
        <v>433</v>
      </c>
      <c r="I451" s="154" t="s">
        <v>434</v>
      </c>
      <c r="J451" s="152" t="s">
        <v>168</v>
      </c>
      <c r="K451" s="152"/>
      <c r="L451" s="152"/>
      <c r="M451" s="152"/>
      <c r="N451" s="152"/>
      <c r="O451" s="152"/>
      <c r="P451" s="152"/>
      <c r="Q451" s="150" t="s">
        <v>202</v>
      </c>
      <c r="R451" s="150" t="s">
        <v>435</v>
      </c>
      <c r="S451" s="150" t="s">
        <v>436</v>
      </c>
      <c r="T451" s="150"/>
      <c r="U451" s="150"/>
      <c r="V451" s="150"/>
      <c r="W451" s="155"/>
      <c r="X451" s="156"/>
      <c r="Y451" s="155"/>
    </row>
    <row r="452" spans="1:25" ht="79.95" customHeight="1" x14ac:dyDescent="0.3">
      <c r="A452" s="40">
        <v>448</v>
      </c>
      <c r="B452" s="148"/>
      <c r="C452" s="149" t="s">
        <v>438</v>
      </c>
      <c r="D452" s="150" t="s">
        <v>438</v>
      </c>
      <c r="E452" s="150" t="s">
        <v>439</v>
      </c>
      <c r="F452" s="151" t="s">
        <v>199</v>
      </c>
      <c r="G452" s="152"/>
      <c r="H452" s="150" t="s">
        <v>440</v>
      </c>
      <c r="I452" s="154" t="s">
        <v>441</v>
      </c>
      <c r="J452" s="152" t="s">
        <v>168</v>
      </c>
      <c r="K452" s="152"/>
      <c r="L452" s="152"/>
      <c r="M452" s="152"/>
      <c r="N452" s="152"/>
      <c r="O452" s="152"/>
      <c r="P452" s="152"/>
      <c r="Q452" s="150" t="s">
        <v>202</v>
      </c>
      <c r="R452" s="150" t="s">
        <v>435</v>
      </c>
      <c r="S452" s="150" t="s">
        <v>443</v>
      </c>
      <c r="T452" s="150"/>
      <c r="U452" s="150"/>
      <c r="V452" s="150"/>
      <c r="W452" s="155"/>
      <c r="X452" s="156"/>
      <c r="Y452" s="155"/>
    </row>
    <row r="453" spans="1:25" ht="79.95" customHeight="1" x14ac:dyDescent="0.3">
      <c r="A453" s="40">
        <v>449</v>
      </c>
      <c r="B453" s="148"/>
      <c r="C453" s="149" t="s">
        <v>438</v>
      </c>
      <c r="D453" s="150" t="s">
        <v>446</v>
      </c>
      <c r="E453" s="150" t="s">
        <v>447</v>
      </c>
      <c r="F453" s="151" t="s">
        <v>199</v>
      </c>
      <c r="G453" s="152">
        <v>1</v>
      </c>
      <c r="H453" s="153" t="s">
        <v>448</v>
      </c>
      <c r="I453" s="154" t="s">
        <v>449</v>
      </c>
      <c r="J453" s="152" t="s">
        <v>168</v>
      </c>
      <c r="K453" s="152"/>
      <c r="L453" s="152"/>
      <c r="M453" s="152"/>
      <c r="N453" s="152"/>
      <c r="O453" s="152"/>
      <c r="P453" s="152"/>
      <c r="Q453" s="150"/>
      <c r="R453" s="150"/>
      <c r="S453" s="150"/>
      <c r="T453" s="150"/>
      <c r="U453" s="150"/>
      <c r="V453" s="150"/>
      <c r="W453" s="155"/>
      <c r="X453" s="156"/>
      <c r="Y453" s="155"/>
    </row>
    <row r="454" spans="1:25" ht="79.95" customHeight="1" x14ac:dyDescent="0.3">
      <c r="A454" s="40">
        <v>450</v>
      </c>
      <c r="B454" s="148"/>
      <c r="C454" s="149" t="s">
        <v>975</v>
      </c>
      <c r="D454" s="150" t="s">
        <v>446</v>
      </c>
      <c r="E454" s="150" t="s">
        <v>452</v>
      </c>
      <c r="F454" s="151" t="s">
        <v>453</v>
      </c>
      <c r="G454" s="152">
        <v>2</v>
      </c>
      <c r="H454" s="153" t="s">
        <v>454</v>
      </c>
      <c r="I454" s="154" t="s">
        <v>455</v>
      </c>
      <c r="J454" s="152" t="s">
        <v>168</v>
      </c>
      <c r="K454" s="152"/>
      <c r="L454" s="152"/>
      <c r="M454" s="152"/>
      <c r="N454" s="152"/>
      <c r="O454" s="152"/>
      <c r="P454" s="152"/>
      <c r="Q454" s="150"/>
      <c r="R454" s="150"/>
      <c r="S454" s="150"/>
      <c r="T454" s="150"/>
      <c r="U454" s="150"/>
      <c r="V454" s="150"/>
      <c r="W454" s="155"/>
      <c r="X454" s="156"/>
      <c r="Y454" s="155"/>
    </row>
    <row r="455" spans="1:25" ht="79.95" customHeight="1" x14ac:dyDescent="0.3">
      <c r="A455" s="40">
        <v>451</v>
      </c>
      <c r="B455" s="148"/>
      <c r="C455" s="149" t="s">
        <v>793</v>
      </c>
      <c r="D455" s="150" t="s">
        <v>446</v>
      </c>
      <c r="E455" s="150" t="s">
        <v>458</v>
      </c>
      <c r="F455" s="151" t="s">
        <v>459</v>
      </c>
      <c r="G455" s="152">
        <v>1</v>
      </c>
      <c r="H455" s="153" t="s">
        <v>460</v>
      </c>
      <c r="I455" s="154" t="s">
        <v>461</v>
      </c>
      <c r="J455" s="152" t="s">
        <v>168</v>
      </c>
      <c r="K455" s="152"/>
      <c r="L455" s="152"/>
      <c r="M455" s="152"/>
      <c r="N455" s="152"/>
      <c r="O455" s="152"/>
      <c r="P455" s="152"/>
      <c r="Q455" s="150"/>
      <c r="R455" s="150"/>
      <c r="S455" s="150"/>
      <c r="T455" s="150"/>
      <c r="U455" s="150"/>
      <c r="V455" s="150"/>
      <c r="W455" s="155"/>
      <c r="X455" s="156"/>
      <c r="Y455" s="155"/>
    </row>
    <row r="456" spans="1:25" ht="79.95" customHeight="1" x14ac:dyDescent="0.3">
      <c r="A456" s="40">
        <v>452</v>
      </c>
      <c r="B456" s="148"/>
      <c r="C456" s="149" t="s">
        <v>948</v>
      </c>
      <c r="D456" s="150" t="s">
        <v>446</v>
      </c>
      <c r="E456" s="150" t="s">
        <v>464</v>
      </c>
      <c r="F456" s="151" t="s">
        <v>199</v>
      </c>
      <c r="G456" s="152">
        <v>2</v>
      </c>
      <c r="H456" s="153" t="s">
        <v>465</v>
      </c>
      <c r="I456" s="154" t="s">
        <v>466</v>
      </c>
      <c r="J456" s="152" t="s">
        <v>168</v>
      </c>
      <c r="K456" s="152"/>
      <c r="L456" s="152"/>
      <c r="M456" s="152"/>
      <c r="N456" s="152"/>
      <c r="O456" s="152"/>
      <c r="P456" s="152"/>
      <c r="Q456" s="150"/>
      <c r="R456" s="150"/>
      <c r="S456" s="150"/>
      <c r="T456" s="150"/>
      <c r="U456" s="150"/>
      <c r="V456" s="150"/>
      <c r="W456" s="155"/>
      <c r="X456" s="156"/>
      <c r="Y456" s="155"/>
    </row>
    <row r="457" spans="1:25" ht="79.95" customHeight="1" x14ac:dyDescent="0.3">
      <c r="A457" s="40">
        <v>453</v>
      </c>
      <c r="B457" s="148"/>
      <c r="C457" s="149" t="s">
        <v>945</v>
      </c>
      <c r="D457" s="150" t="s">
        <v>446</v>
      </c>
      <c r="E457" s="150" t="s">
        <v>472</v>
      </c>
      <c r="F457" s="151" t="s">
        <v>459</v>
      </c>
      <c r="G457" s="152">
        <v>1</v>
      </c>
      <c r="H457" s="153" t="s">
        <v>473</v>
      </c>
      <c r="I457" s="154" t="s">
        <v>474</v>
      </c>
      <c r="J457" s="152" t="s">
        <v>168</v>
      </c>
      <c r="K457" s="152"/>
      <c r="L457" s="152"/>
      <c r="M457" s="152"/>
      <c r="N457" s="152"/>
      <c r="O457" s="152"/>
      <c r="P457" s="152"/>
      <c r="Q457" s="150"/>
      <c r="R457" s="150"/>
      <c r="S457" s="150"/>
      <c r="T457" s="150"/>
      <c r="U457" s="150"/>
      <c r="V457" s="150"/>
      <c r="W457" s="155"/>
      <c r="X457" s="156"/>
      <c r="Y457" s="155"/>
    </row>
    <row r="458" spans="1:25" ht="79.95" customHeight="1" x14ac:dyDescent="0.3">
      <c r="A458" s="40">
        <v>454</v>
      </c>
      <c r="B458" s="148"/>
      <c r="C458" s="149" t="s">
        <v>793</v>
      </c>
      <c r="D458" s="150" t="s">
        <v>446</v>
      </c>
      <c r="E458" s="150" t="s">
        <v>458</v>
      </c>
      <c r="F458" s="151" t="s">
        <v>459</v>
      </c>
      <c r="G458" s="152">
        <v>2</v>
      </c>
      <c r="H458" s="153" t="s">
        <v>480</v>
      </c>
      <c r="I458" s="154" t="s">
        <v>481</v>
      </c>
      <c r="J458" s="152" t="s">
        <v>168</v>
      </c>
      <c r="K458" s="152"/>
      <c r="L458" s="152"/>
      <c r="M458" s="152"/>
      <c r="N458" s="152"/>
      <c r="O458" s="152"/>
      <c r="P458" s="152"/>
      <c r="Q458" s="150"/>
      <c r="R458" s="150"/>
      <c r="S458" s="150"/>
      <c r="T458" s="150"/>
      <c r="U458" s="150"/>
      <c r="V458" s="150"/>
      <c r="W458" s="155"/>
      <c r="X458" s="156"/>
      <c r="Y458" s="155"/>
    </row>
    <row r="459" spans="1:25" ht="79.95" customHeight="1" x14ac:dyDescent="0.3">
      <c r="A459" s="40">
        <v>455</v>
      </c>
      <c r="B459" s="148"/>
      <c r="C459" s="149" t="s">
        <v>948</v>
      </c>
      <c r="D459" s="150" t="s">
        <v>487</v>
      </c>
      <c r="E459" s="150" t="s">
        <v>488</v>
      </c>
      <c r="F459" s="151" t="s">
        <v>199</v>
      </c>
      <c r="G459" s="152">
        <v>2</v>
      </c>
      <c r="H459" s="153" t="s">
        <v>489</v>
      </c>
      <c r="I459" s="154" t="s">
        <v>490</v>
      </c>
      <c r="J459" s="152" t="s">
        <v>168</v>
      </c>
      <c r="K459" s="152"/>
      <c r="L459" s="152"/>
      <c r="M459" s="152"/>
      <c r="N459" s="152"/>
      <c r="O459" s="152"/>
      <c r="P459" s="152"/>
      <c r="Q459" s="150"/>
      <c r="R459" s="150"/>
      <c r="S459" s="150"/>
      <c r="T459" s="150"/>
      <c r="U459" s="150"/>
      <c r="V459" s="150"/>
      <c r="W459" s="155"/>
      <c r="X459" s="156"/>
      <c r="Y459" s="155"/>
    </row>
    <row r="460" spans="1:25" ht="79.95" customHeight="1" x14ac:dyDescent="0.3">
      <c r="A460" s="40">
        <v>456</v>
      </c>
      <c r="B460" s="148"/>
      <c r="C460" s="149" t="s">
        <v>431</v>
      </c>
      <c r="D460" s="150" t="s">
        <v>446</v>
      </c>
      <c r="E460" s="150" t="s">
        <v>496</v>
      </c>
      <c r="F460" s="151" t="s">
        <v>459</v>
      </c>
      <c r="G460" s="152">
        <v>2</v>
      </c>
      <c r="H460" s="153" t="s">
        <v>497</v>
      </c>
      <c r="I460" s="154" t="s">
        <v>498</v>
      </c>
      <c r="J460" s="152" t="s">
        <v>168</v>
      </c>
      <c r="K460" s="152"/>
      <c r="L460" s="152"/>
      <c r="M460" s="152"/>
      <c r="N460" s="152"/>
      <c r="O460" s="152"/>
      <c r="P460" s="152"/>
      <c r="Q460" s="150"/>
      <c r="R460" s="150"/>
      <c r="S460" s="150"/>
      <c r="T460" s="150"/>
      <c r="U460" s="150"/>
      <c r="V460" s="150"/>
      <c r="W460" s="155"/>
      <c r="X460" s="156"/>
      <c r="Y460" s="155"/>
    </row>
    <row r="461" spans="1:25" ht="79.95" customHeight="1" x14ac:dyDescent="0.3">
      <c r="A461" s="40">
        <v>457</v>
      </c>
      <c r="B461" s="148"/>
      <c r="C461" s="149" t="s">
        <v>952</v>
      </c>
      <c r="D461" s="150" t="s">
        <v>446</v>
      </c>
      <c r="E461" s="150" t="s">
        <v>469</v>
      </c>
      <c r="F461" s="151" t="s">
        <v>134</v>
      </c>
      <c r="G461" s="152">
        <v>2</v>
      </c>
      <c r="H461" s="153" t="s">
        <v>505</v>
      </c>
      <c r="I461" s="154" t="s">
        <v>506</v>
      </c>
      <c r="J461" s="152" t="s">
        <v>261</v>
      </c>
      <c r="K461" s="152"/>
      <c r="L461" s="152"/>
      <c r="M461" s="152"/>
      <c r="N461" s="152"/>
      <c r="O461" s="152"/>
      <c r="P461" s="152"/>
      <c r="Q461" s="150"/>
      <c r="R461" s="150"/>
      <c r="S461" s="150"/>
      <c r="T461" s="150"/>
      <c r="U461" s="150"/>
      <c r="V461" s="150"/>
      <c r="W461" s="155"/>
      <c r="X461" s="156"/>
      <c r="Y461" s="155"/>
    </row>
    <row r="462" spans="1:25" ht="79.95" customHeight="1" x14ac:dyDescent="0.3">
      <c r="A462" s="40">
        <v>458</v>
      </c>
      <c r="B462" s="148"/>
      <c r="C462" s="149" t="s">
        <v>952</v>
      </c>
      <c r="D462" s="150" t="s">
        <v>446</v>
      </c>
      <c r="E462" s="150" t="s">
        <v>469</v>
      </c>
      <c r="F462" s="151" t="s">
        <v>134</v>
      </c>
      <c r="G462" s="152">
        <v>2</v>
      </c>
      <c r="H462" s="153" t="s">
        <v>470</v>
      </c>
      <c r="I462" s="154" t="s">
        <v>471</v>
      </c>
      <c r="J462" s="152" t="s">
        <v>168</v>
      </c>
      <c r="K462" s="152"/>
      <c r="L462" s="152"/>
      <c r="M462" s="152"/>
      <c r="N462" s="152"/>
      <c r="O462" s="152"/>
      <c r="P462" s="152"/>
      <c r="Q462" s="150"/>
      <c r="R462" s="150"/>
      <c r="S462" s="150"/>
      <c r="T462" s="150"/>
      <c r="U462" s="150"/>
      <c r="V462" s="150"/>
      <c r="W462" s="155"/>
      <c r="X462" s="156"/>
      <c r="Y462" s="155"/>
    </row>
    <row r="463" spans="1:25" ht="79.95" customHeight="1" x14ac:dyDescent="0.3">
      <c r="A463" s="40">
        <v>459</v>
      </c>
      <c r="B463" s="148"/>
      <c r="C463" s="149" t="s">
        <v>944</v>
      </c>
      <c r="D463" s="150" t="s">
        <v>446</v>
      </c>
      <c r="E463" s="150" t="s">
        <v>477</v>
      </c>
      <c r="F463" s="151" t="s">
        <v>110</v>
      </c>
      <c r="G463" s="152">
        <v>2</v>
      </c>
      <c r="H463" s="153" t="s">
        <v>478</v>
      </c>
      <c r="I463" s="154" t="s">
        <v>479</v>
      </c>
      <c r="J463" s="152" t="s">
        <v>168</v>
      </c>
      <c r="K463" s="152"/>
      <c r="L463" s="152"/>
      <c r="M463" s="152"/>
      <c r="N463" s="152"/>
      <c r="O463" s="152"/>
      <c r="P463" s="152"/>
      <c r="Q463" s="150"/>
      <c r="R463" s="150"/>
      <c r="S463" s="150"/>
      <c r="T463" s="150"/>
      <c r="U463" s="150"/>
      <c r="V463" s="150"/>
      <c r="W463" s="155"/>
      <c r="X463" s="156"/>
      <c r="Y463" s="155"/>
    </row>
    <row r="464" spans="1:25" ht="79.95" customHeight="1" x14ac:dyDescent="0.3">
      <c r="A464" s="40">
        <v>460</v>
      </c>
      <c r="B464" s="182"/>
      <c r="C464" s="149" t="s">
        <v>483</v>
      </c>
      <c r="D464" s="183" t="s">
        <v>483</v>
      </c>
      <c r="E464" s="183"/>
      <c r="F464" s="151"/>
      <c r="G464" s="152"/>
      <c r="H464" s="183" t="s">
        <v>484</v>
      </c>
      <c r="I464" s="154"/>
      <c r="J464" s="152"/>
      <c r="K464" s="152"/>
      <c r="L464" s="152"/>
      <c r="M464" s="152"/>
      <c r="N464" s="152"/>
      <c r="O464" s="152"/>
      <c r="P464" s="152"/>
      <c r="Q464" s="183" t="s">
        <v>485</v>
      </c>
      <c r="R464" s="150"/>
      <c r="S464" s="183" t="s">
        <v>486</v>
      </c>
      <c r="T464" s="150"/>
      <c r="U464" s="150"/>
      <c r="V464" s="150"/>
      <c r="W464" s="156"/>
      <c r="X464" s="183">
        <v>640</v>
      </c>
      <c r="Y464" s="156"/>
    </row>
    <row r="465" spans="1:25" ht="79.95" customHeight="1" x14ac:dyDescent="0.3">
      <c r="A465" s="40">
        <v>461</v>
      </c>
      <c r="B465" s="182"/>
      <c r="C465" s="149" t="s">
        <v>492</v>
      </c>
      <c r="D465" s="184" t="s">
        <v>492</v>
      </c>
      <c r="E465" s="183" t="s">
        <v>493</v>
      </c>
      <c r="F465" s="151"/>
      <c r="G465" s="152"/>
      <c r="H465" s="183" t="s">
        <v>494</v>
      </c>
      <c r="I465" s="154"/>
      <c r="J465" s="152"/>
      <c r="K465" s="152"/>
      <c r="L465" s="152"/>
      <c r="M465" s="152"/>
      <c r="N465" s="152"/>
      <c r="O465" s="152"/>
      <c r="P465" s="152"/>
      <c r="Q465" s="183" t="s">
        <v>485</v>
      </c>
      <c r="R465" s="150"/>
      <c r="S465" s="183" t="s">
        <v>495</v>
      </c>
      <c r="T465" s="150"/>
      <c r="U465" s="150"/>
      <c r="V465" s="150"/>
      <c r="W465" s="156"/>
      <c r="X465" s="183">
        <v>1362</v>
      </c>
      <c r="Y465" s="156"/>
    </row>
    <row r="466" spans="1:25" ht="79.95" customHeight="1" x14ac:dyDescent="0.3">
      <c r="A466" s="40">
        <v>462</v>
      </c>
      <c r="B466" s="182"/>
      <c r="C466" s="149" t="s">
        <v>285</v>
      </c>
      <c r="D466" s="183" t="s">
        <v>989</v>
      </c>
      <c r="E466" s="183" t="s">
        <v>502</v>
      </c>
      <c r="F466" s="151"/>
      <c r="G466" s="152"/>
      <c r="H466" s="183" t="s">
        <v>503</v>
      </c>
      <c r="I466" s="154"/>
      <c r="J466" s="152"/>
      <c r="K466" s="152"/>
      <c r="L466" s="152"/>
      <c r="M466" s="152"/>
      <c r="N466" s="152"/>
      <c r="O466" s="152"/>
      <c r="P466" s="152"/>
      <c r="Q466" s="183" t="s">
        <v>485</v>
      </c>
      <c r="R466" s="150"/>
      <c r="S466" s="183" t="s">
        <v>504</v>
      </c>
      <c r="T466" s="150"/>
      <c r="U466" s="150"/>
      <c r="V466" s="150"/>
      <c r="W466" s="156"/>
      <c r="X466" s="183"/>
      <c r="Y466" s="156"/>
    </row>
    <row r="467" spans="1:25" ht="79.95" customHeight="1" x14ac:dyDescent="0.3">
      <c r="A467" s="40">
        <v>463</v>
      </c>
      <c r="B467" s="182"/>
      <c r="C467" s="149" t="s">
        <v>975</v>
      </c>
      <c r="D467" s="183" t="s">
        <v>975</v>
      </c>
      <c r="E467" s="185" t="s">
        <v>509</v>
      </c>
      <c r="F467" s="151"/>
      <c r="G467" s="152"/>
      <c r="H467" s="183" t="s">
        <v>510</v>
      </c>
      <c r="I467" s="154"/>
      <c r="J467" s="152"/>
      <c r="K467" s="152"/>
      <c r="L467" s="152"/>
      <c r="M467" s="152"/>
      <c r="N467" s="152"/>
      <c r="O467" s="152"/>
      <c r="P467" s="152"/>
      <c r="Q467" s="183" t="s">
        <v>485</v>
      </c>
      <c r="R467" s="150"/>
      <c r="S467" s="183" t="s">
        <v>504</v>
      </c>
      <c r="T467" s="150"/>
      <c r="U467" s="150"/>
      <c r="V467" s="150"/>
      <c r="W467" s="156"/>
      <c r="X467" s="183"/>
      <c r="Y467" s="156"/>
    </row>
    <row r="468" spans="1:25" ht="79.95" customHeight="1" x14ac:dyDescent="0.3">
      <c r="A468" s="40">
        <v>464</v>
      </c>
      <c r="B468" s="182"/>
      <c r="C468" s="149" t="s">
        <v>515</v>
      </c>
      <c r="D468" s="184" t="s">
        <v>515</v>
      </c>
      <c r="E468" s="183" t="s">
        <v>990</v>
      </c>
      <c r="F468" s="151"/>
      <c r="G468" s="152"/>
      <c r="H468" s="183" t="s">
        <v>517</v>
      </c>
      <c r="I468" s="154"/>
      <c r="J468" s="152"/>
      <c r="K468" s="152"/>
      <c r="L468" s="152"/>
      <c r="M468" s="152"/>
      <c r="N468" s="152"/>
      <c r="O468" s="152"/>
      <c r="P468" s="152"/>
      <c r="Q468" s="183" t="s">
        <v>485</v>
      </c>
      <c r="R468" s="150"/>
      <c r="S468" s="183" t="s">
        <v>518</v>
      </c>
      <c r="T468" s="150"/>
      <c r="U468" s="150"/>
      <c r="V468" s="150"/>
      <c r="W468" s="156"/>
      <c r="X468" s="183">
        <v>1750</v>
      </c>
      <c r="Y468" s="156"/>
    </row>
    <row r="469" spans="1:25" ht="79.95" customHeight="1" x14ac:dyDescent="0.3">
      <c r="A469" s="40">
        <v>465</v>
      </c>
      <c r="B469" s="182"/>
      <c r="C469" s="149" t="s">
        <v>285</v>
      </c>
      <c r="D469" s="183" t="s">
        <v>989</v>
      </c>
      <c r="E469" s="183" t="s">
        <v>525</v>
      </c>
      <c r="F469" s="151"/>
      <c r="G469" s="152"/>
      <c r="H469" s="183" t="s">
        <v>526</v>
      </c>
      <c r="I469" s="154"/>
      <c r="J469" s="152"/>
      <c r="K469" s="152"/>
      <c r="L469" s="152"/>
      <c r="M469" s="152"/>
      <c r="N469" s="152"/>
      <c r="O469" s="152"/>
      <c r="P469" s="152"/>
      <c r="Q469" s="183" t="s">
        <v>485</v>
      </c>
      <c r="R469" s="150"/>
      <c r="S469" s="183" t="s">
        <v>504</v>
      </c>
      <c r="T469" s="150"/>
      <c r="U469" s="150"/>
      <c r="V469" s="150"/>
      <c r="W469" s="156"/>
      <c r="X469" s="183"/>
      <c r="Y469" s="156"/>
    </row>
    <row r="470" spans="1:25" ht="79.95" customHeight="1" x14ac:dyDescent="0.3">
      <c r="A470" s="40">
        <v>466</v>
      </c>
      <c r="B470" s="182"/>
      <c r="C470" s="149" t="s">
        <v>492</v>
      </c>
      <c r="D470" s="183" t="s">
        <v>532</v>
      </c>
      <c r="E470" s="183" t="s">
        <v>991</v>
      </c>
      <c r="F470" s="151"/>
      <c r="G470" s="152"/>
      <c r="H470" s="183" t="s">
        <v>534</v>
      </c>
      <c r="I470" s="154"/>
      <c r="J470" s="152"/>
      <c r="K470" s="152"/>
      <c r="L470" s="152"/>
      <c r="M470" s="152"/>
      <c r="N470" s="152"/>
      <c r="O470" s="152"/>
      <c r="P470" s="152"/>
      <c r="Q470" s="183" t="s">
        <v>485</v>
      </c>
      <c r="R470" s="150"/>
      <c r="S470" s="183"/>
      <c r="T470" s="150"/>
      <c r="U470" s="150"/>
      <c r="V470" s="150"/>
      <c r="W470" s="156"/>
      <c r="X470" s="183">
        <v>478</v>
      </c>
      <c r="Y470" s="156"/>
    </row>
    <row r="471" spans="1:25" ht="79.95" customHeight="1" x14ac:dyDescent="0.3">
      <c r="A471" s="40">
        <v>467</v>
      </c>
      <c r="B471" s="182"/>
      <c r="C471" s="149" t="s">
        <v>828</v>
      </c>
      <c r="D471" s="183" t="s">
        <v>543</v>
      </c>
      <c r="E471" s="183" t="s">
        <v>544</v>
      </c>
      <c r="F471" s="151"/>
      <c r="G471" s="152"/>
      <c r="H471" s="183" t="s">
        <v>545</v>
      </c>
      <c r="I471" s="154"/>
      <c r="J471" s="152"/>
      <c r="K471" s="152"/>
      <c r="L471" s="152"/>
      <c r="M471" s="152"/>
      <c r="N471" s="152"/>
      <c r="O471" s="152"/>
      <c r="P471" s="152"/>
      <c r="Q471" s="183" t="s">
        <v>485</v>
      </c>
      <c r="R471" s="150"/>
      <c r="S471" s="183" t="s">
        <v>518</v>
      </c>
      <c r="T471" s="150"/>
      <c r="U471" s="150"/>
      <c r="V471" s="150"/>
      <c r="W471" s="156"/>
      <c r="X471" s="183">
        <v>358</v>
      </c>
      <c r="Y471" s="156"/>
    </row>
    <row r="472" spans="1:25" ht="79.95" customHeight="1" x14ac:dyDescent="0.3">
      <c r="A472" s="40">
        <v>468</v>
      </c>
      <c r="B472" s="182"/>
      <c r="C472" s="149" t="s">
        <v>828</v>
      </c>
      <c r="D472" s="183" t="s">
        <v>543</v>
      </c>
      <c r="E472" s="183" t="s">
        <v>544</v>
      </c>
      <c r="F472" s="151"/>
      <c r="G472" s="152"/>
      <c r="H472" s="183" t="s">
        <v>552</v>
      </c>
      <c r="I472" s="154"/>
      <c r="J472" s="152"/>
      <c r="K472" s="152"/>
      <c r="L472" s="152"/>
      <c r="M472" s="152"/>
      <c r="N472" s="152"/>
      <c r="O472" s="152"/>
      <c r="P472" s="152"/>
      <c r="Q472" s="183" t="s">
        <v>485</v>
      </c>
      <c r="R472" s="150"/>
      <c r="S472" s="183" t="s">
        <v>495</v>
      </c>
      <c r="T472" s="150"/>
      <c r="U472" s="150"/>
      <c r="V472" s="150"/>
      <c r="W472" s="156"/>
      <c r="X472" s="183">
        <v>1713</v>
      </c>
      <c r="Y472" s="156"/>
    </row>
    <row r="473" spans="1:25" ht="79.95" customHeight="1" x14ac:dyDescent="0.3">
      <c r="A473" s="40">
        <v>469</v>
      </c>
      <c r="B473" s="182"/>
      <c r="C473" s="149" t="s">
        <v>529</v>
      </c>
      <c r="D473" s="183"/>
      <c r="E473" s="183" t="s">
        <v>556</v>
      </c>
      <c r="F473" s="151"/>
      <c r="G473" s="152"/>
      <c r="H473" s="183" t="s">
        <v>557</v>
      </c>
      <c r="I473" s="154"/>
      <c r="J473" s="152"/>
      <c r="K473" s="152"/>
      <c r="L473" s="152"/>
      <c r="M473" s="152"/>
      <c r="N473" s="152"/>
      <c r="O473" s="152"/>
      <c r="P473" s="152"/>
      <c r="Q473" s="183" t="s">
        <v>485</v>
      </c>
      <c r="R473" s="150"/>
      <c r="S473" s="183" t="s">
        <v>504</v>
      </c>
      <c r="T473" s="150"/>
      <c r="U473" s="150"/>
      <c r="V473" s="150"/>
      <c r="W473" s="156"/>
      <c r="X473" s="183"/>
      <c r="Y473" s="156"/>
    </row>
    <row r="474" spans="1:25" ht="79.95" customHeight="1" x14ac:dyDescent="0.3">
      <c r="A474" s="40">
        <v>470</v>
      </c>
      <c r="B474" s="182"/>
      <c r="C474" s="149" t="s">
        <v>954</v>
      </c>
      <c r="D474" s="183" t="s">
        <v>992</v>
      </c>
      <c r="E474" s="183" t="s">
        <v>565</v>
      </c>
      <c r="F474" s="151"/>
      <c r="G474" s="152"/>
      <c r="H474" s="183" t="s">
        <v>567</v>
      </c>
      <c r="I474" s="154"/>
      <c r="J474" s="152"/>
      <c r="K474" s="152"/>
      <c r="L474" s="152"/>
      <c r="M474" s="152"/>
      <c r="N474" s="152"/>
      <c r="O474" s="152"/>
      <c r="P474" s="152"/>
      <c r="Q474" s="183" t="s">
        <v>485</v>
      </c>
      <c r="R474" s="150"/>
      <c r="S474" s="183" t="s">
        <v>504</v>
      </c>
      <c r="T474" s="150"/>
      <c r="U474" s="150"/>
      <c r="V474" s="150"/>
      <c r="W474" s="156"/>
      <c r="X474" s="183"/>
      <c r="Y474" s="156"/>
    </row>
    <row r="475" spans="1:25" ht="79.95" customHeight="1" x14ac:dyDescent="0.3">
      <c r="A475" s="40">
        <v>471</v>
      </c>
      <c r="B475" s="182"/>
      <c r="C475" s="149" t="s">
        <v>529</v>
      </c>
      <c r="D475" s="183"/>
      <c r="E475" s="183"/>
      <c r="F475" s="151"/>
      <c r="G475" s="152"/>
      <c r="H475" s="183" t="s">
        <v>574</v>
      </c>
      <c r="I475" s="154"/>
      <c r="J475" s="152"/>
      <c r="K475" s="152"/>
      <c r="L475" s="152"/>
      <c r="M475" s="152"/>
      <c r="N475" s="152"/>
      <c r="O475" s="152"/>
      <c r="P475" s="152"/>
      <c r="Q475" s="183" t="s">
        <v>485</v>
      </c>
      <c r="R475" s="150"/>
      <c r="S475" s="183" t="s">
        <v>504</v>
      </c>
      <c r="T475" s="150"/>
      <c r="U475" s="150"/>
      <c r="V475" s="150"/>
      <c r="W475" s="156"/>
      <c r="X475" s="183" t="s">
        <v>581</v>
      </c>
      <c r="Y475" s="156"/>
    </row>
    <row r="476" spans="1:25" ht="79.95" customHeight="1" x14ac:dyDescent="0.3">
      <c r="A476" s="40">
        <v>472</v>
      </c>
      <c r="B476" s="182"/>
      <c r="C476" s="149" t="s">
        <v>954</v>
      </c>
      <c r="D476" s="183" t="s">
        <v>992</v>
      </c>
      <c r="E476" s="183" t="s">
        <v>565</v>
      </c>
      <c r="F476" s="151"/>
      <c r="G476" s="152"/>
      <c r="H476" s="183" t="s">
        <v>583</v>
      </c>
      <c r="I476" s="154"/>
      <c r="J476" s="152"/>
      <c r="K476" s="152"/>
      <c r="L476" s="152"/>
      <c r="M476" s="152"/>
      <c r="N476" s="152"/>
      <c r="O476" s="152"/>
      <c r="P476" s="152"/>
      <c r="Q476" s="183" t="s">
        <v>485</v>
      </c>
      <c r="R476" s="150"/>
      <c r="S476" s="183" t="s">
        <v>504</v>
      </c>
      <c r="T476" s="150"/>
      <c r="U476" s="150"/>
      <c r="V476" s="150"/>
      <c r="W476" s="156"/>
      <c r="X476" s="183"/>
      <c r="Y476" s="156"/>
    </row>
    <row r="477" spans="1:25" ht="79.95" customHeight="1" x14ac:dyDescent="0.3">
      <c r="A477" s="40">
        <v>473</v>
      </c>
      <c r="B477" s="182"/>
      <c r="C477" s="149" t="s">
        <v>589</v>
      </c>
      <c r="D477" s="183" t="s">
        <v>589</v>
      </c>
      <c r="E477" s="183" t="s">
        <v>590</v>
      </c>
      <c r="F477" s="151"/>
      <c r="G477" s="152"/>
      <c r="H477" s="183" t="s">
        <v>592</v>
      </c>
      <c r="I477" s="154"/>
      <c r="J477" s="152"/>
      <c r="K477" s="152"/>
      <c r="L477" s="152"/>
      <c r="M477" s="152"/>
      <c r="N477" s="152"/>
      <c r="O477" s="152"/>
      <c r="P477" s="152"/>
      <c r="Q477" s="183" t="s">
        <v>485</v>
      </c>
      <c r="R477" s="150"/>
      <c r="S477" s="183"/>
      <c r="T477" s="150"/>
      <c r="U477" s="150"/>
      <c r="V477" s="150"/>
      <c r="W477" s="156"/>
      <c r="X477" s="183"/>
      <c r="Y477" s="156"/>
    </row>
    <row r="478" spans="1:25" ht="79.95" customHeight="1" x14ac:dyDescent="0.3">
      <c r="A478" s="40">
        <v>474</v>
      </c>
      <c r="B478" s="182"/>
      <c r="C478" s="149" t="s">
        <v>492</v>
      </c>
      <c r="D478" s="183" t="s">
        <v>993</v>
      </c>
      <c r="E478" s="183" t="s">
        <v>600</v>
      </c>
      <c r="F478" s="151"/>
      <c r="G478" s="152"/>
      <c r="H478" s="183" t="s">
        <v>601</v>
      </c>
      <c r="I478" s="154"/>
      <c r="J478" s="152"/>
      <c r="K478" s="152"/>
      <c r="L478" s="152"/>
      <c r="M478" s="152"/>
      <c r="N478" s="152"/>
      <c r="O478" s="152"/>
      <c r="P478" s="152"/>
      <c r="Q478" s="183" t="s">
        <v>485</v>
      </c>
      <c r="R478" s="150"/>
      <c r="S478" s="183" t="s">
        <v>495</v>
      </c>
      <c r="T478" s="150"/>
      <c r="U478" s="150"/>
      <c r="V478" s="150"/>
      <c r="W478" s="156"/>
      <c r="X478" s="183"/>
      <c r="Y478" s="156"/>
    </row>
    <row r="479" spans="1:25" ht="79.95" customHeight="1" x14ac:dyDescent="0.3">
      <c r="A479" s="40">
        <v>475</v>
      </c>
      <c r="B479" s="182"/>
      <c r="C479" s="149" t="s">
        <v>529</v>
      </c>
      <c r="D479" s="183"/>
      <c r="E479" s="183" t="s">
        <v>556</v>
      </c>
      <c r="F479" s="151"/>
      <c r="G479" s="152"/>
      <c r="H479" s="183" t="s">
        <v>606</v>
      </c>
      <c r="I479" s="154"/>
      <c r="J479" s="152"/>
      <c r="K479" s="152"/>
      <c r="L479" s="152"/>
      <c r="M479" s="152"/>
      <c r="N479" s="152"/>
      <c r="O479" s="152"/>
      <c r="P479" s="152"/>
      <c r="Q479" s="183" t="s">
        <v>485</v>
      </c>
      <c r="R479" s="150"/>
      <c r="S479" s="183" t="s">
        <v>504</v>
      </c>
      <c r="T479" s="150"/>
      <c r="U479" s="150"/>
      <c r="V479" s="150"/>
      <c r="W479" s="156"/>
      <c r="X479" s="183"/>
      <c r="Y479" s="156"/>
    </row>
    <row r="480" spans="1:25" ht="79.95" customHeight="1" x14ac:dyDescent="0.3">
      <c r="A480" s="40">
        <v>476</v>
      </c>
      <c r="B480" s="182"/>
      <c r="C480" s="149" t="s">
        <v>954</v>
      </c>
      <c r="D480" s="183" t="s">
        <v>992</v>
      </c>
      <c r="E480" s="183" t="s">
        <v>565</v>
      </c>
      <c r="F480" s="151"/>
      <c r="G480" s="152"/>
      <c r="H480" s="183" t="s">
        <v>610</v>
      </c>
      <c r="I480" s="154"/>
      <c r="J480" s="152"/>
      <c r="K480" s="152"/>
      <c r="L480" s="152"/>
      <c r="M480" s="152"/>
      <c r="N480" s="152"/>
      <c r="O480" s="152"/>
      <c r="P480" s="152"/>
      <c r="Q480" s="183" t="s">
        <v>485</v>
      </c>
      <c r="R480" s="150"/>
      <c r="S480" s="183" t="s">
        <v>504</v>
      </c>
      <c r="T480" s="150"/>
      <c r="U480" s="150"/>
      <c r="V480" s="150"/>
      <c r="W480" s="156"/>
      <c r="X480" s="183"/>
      <c r="Y480" s="156"/>
    </row>
    <row r="481" spans="1:25" ht="79.95" customHeight="1" x14ac:dyDescent="0.3">
      <c r="A481" s="40">
        <v>477</v>
      </c>
      <c r="B481" s="182"/>
      <c r="C481" s="149" t="s">
        <v>614</v>
      </c>
      <c r="D481" s="183" t="s">
        <v>614</v>
      </c>
      <c r="E481" s="183" t="s">
        <v>615</v>
      </c>
      <c r="F481" s="151"/>
      <c r="G481" s="152"/>
      <c r="H481" s="183" t="s">
        <v>616</v>
      </c>
      <c r="I481" s="154"/>
      <c r="J481" s="152"/>
      <c r="K481" s="152"/>
      <c r="L481" s="152"/>
      <c r="M481" s="152"/>
      <c r="N481" s="152"/>
      <c r="O481" s="152"/>
      <c r="P481" s="152"/>
      <c r="Q481" s="183" t="s">
        <v>485</v>
      </c>
      <c r="R481" s="150"/>
      <c r="S481" s="183" t="s">
        <v>486</v>
      </c>
      <c r="T481" s="150"/>
      <c r="U481" s="150"/>
      <c r="V481" s="150"/>
      <c r="W481" s="156"/>
      <c r="X481" s="183"/>
      <c r="Y481" s="156"/>
    </row>
    <row r="482" spans="1:25" ht="79.95" customHeight="1" x14ac:dyDescent="0.3">
      <c r="A482" s="40">
        <v>478</v>
      </c>
      <c r="B482" s="182"/>
      <c r="C482" s="149" t="s">
        <v>994</v>
      </c>
      <c r="D482" s="183" t="s">
        <v>994</v>
      </c>
      <c r="E482" s="183" t="s">
        <v>620</v>
      </c>
      <c r="F482" s="151"/>
      <c r="G482" s="152"/>
      <c r="H482" s="183" t="s">
        <v>621</v>
      </c>
      <c r="I482" s="154"/>
      <c r="J482" s="152"/>
      <c r="K482" s="152"/>
      <c r="L482" s="152"/>
      <c r="M482" s="152"/>
      <c r="N482" s="152"/>
      <c r="O482" s="152"/>
      <c r="P482" s="152"/>
      <c r="Q482" s="183" t="s">
        <v>485</v>
      </c>
      <c r="R482" s="150"/>
      <c r="S482" s="183" t="s">
        <v>495</v>
      </c>
      <c r="T482" s="150"/>
      <c r="U482" s="150"/>
      <c r="V482" s="150"/>
      <c r="W482" s="156"/>
      <c r="X482" s="183"/>
      <c r="Y482" s="156"/>
    </row>
    <row r="483" spans="1:25" ht="79.95" customHeight="1" x14ac:dyDescent="0.3">
      <c r="A483" s="40">
        <v>479</v>
      </c>
      <c r="B483" s="182"/>
      <c r="C483" s="149" t="s">
        <v>624</v>
      </c>
      <c r="D483" s="183" t="s">
        <v>624</v>
      </c>
      <c r="E483" s="183" t="s">
        <v>625</v>
      </c>
      <c r="F483" s="151"/>
      <c r="G483" s="152"/>
      <c r="H483" s="183" t="s">
        <v>626</v>
      </c>
      <c r="I483" s="154"/>
      <c r="J483" s="152"/>
      <c r="K483" s="152"/>
      <c r="L483" s="152"/>
      <c r="M483" s="152"/>
      <c r="N483" s="152"/>
      <c r="O483" s="152"/>
      <c r="P483" s="152"/>
      <c r="Q483" s="183" t="s">
        <v>485</v>
      </c>
      <c r="R483" s="150"/>
      <c r="S483" s="183" t="s">
        <v>504</v>
      </c>
      <c r="T483" s="150"/>
      <c r="U483" s="150"/>
      <c r="V483" s="150"/>
      <c r="W483" s="156"/>
      <c r="X483" s="183"/>
      <c r="Y483" s="156"/>
    </row>
    <row r="484" spans="1:25" ht="79.95" customHeight="1" x14ac:dyDescent="0.3">
      <c r="A484" s="40">
        <v>480</v>
      </c>
      <c r="B484" s="182"/>
      <c r="C484" s="149" t="s">
        <v>589</v>
      </c>
      <c r="D484" s="183" t="s">
        <v>589</v>
      </c>
      <c r="E484" s="183" t="s">
        <v>590</v>
      </c>
      <c r="F484" s="151"/>
      <c r="G484" s="152"/>
      <c r="H484" s="183" t="s">
        <v>630</v>
      </c>
      <c r="I484" s="154"/>
      <c r="J484" s="152"/>
      <c r="K484" s="152"/>
      <c r="L484" s="152"/>
      <c r="M484" s="152"/>
      <c r="N484" s="152"/>
      <c r="O484" s="152"/>
      <c r="P484" s="152"/>
      <c r="Q484" s="183" t="s">
        <v>485</v>
      </c>
      <c r="R484" s="150"/>
      <c r="S484" s="183"/>
      <c r="T484" s="150"/>
      <c r="U484" s="150"/>
      <c r="V484" s="150"/>
      <c r="W484" s="156"/>
      <c r="X484" s="183"/>
      <c r="Y484" s="156"/>
    </row>
    <row r="485" spans="1:25" ht="79.95" customHeight="1" x14ac:dyDescent="0.3">
      <c r="A485" s="40">
        <v>481</v>
      </c>
      <c r="B485" s="182"/>
      <c r="C485" s="149" t="s">
        <v>589</v>
      </c>
      <c r="D485" s="183" t="s">
        <v>631</v>
      </c>
      <c r="E485" s="183" t="s">
        <v>632</v>
      </c>
      <c r="F485" s="151"/>
      <c r="G485" s="152"/>
      <c r="H485" s="183" t="s">
        <v>633</v>
      </c>
      <c r="I485" s="154"/>
      <c r="J485" s="152"/>
      <c r="K485" s="152"/>
      <c r="L485" s="152"/>
      <c r="M485" s="152"/>
      <c r="N485" s="152"/>
      <c r="O485" s="152"/>
      <c r="P485" s="152"/>
      <c r="Q485" s="183" t="s">
        <v>485</v>
      </c>
      <c r="R485" s="150"/>
      <c r="S485" s="183"/>
      <c r="T485" s="150"/>
      <c r="U485" s="150"/>
      <c r="V485" s="150"/>
      <c r="W485" s="156"/>
      <c r="X485" s="183"/>
      <c r="Y485" s="156"/>
    </row>
    <row r="486" spans="1:25" ht="79.95" customHeight="1" x14ac:dyDescent="0.3">
      <c r="A486" s="40">
        <v>482</v>
      </c>
      <c r="B486" s="182"/>
      <c r="C486" s="149" t="s">
        <v>438</v>
      </c>
      <c r="D486" s="183" t="s">
        <v>561</v>
      </c>
      <c r="E486" s="183" t="s">
        <v>637</v>
      </c>
      <c r="F486" s="151"/>
      <c r="G486" s="152"/>
      <c r="H486" s="183" t="s">
        <v>638</v>
      </c>
      <c r="I486" s="154"/>
      <c r="J486" s="152"/>
      <c r="K486" s="152"/>
      <c r="L486" s="152"/>
      <c r="M486" s="152"/>
      <c r="N486" s="152"/>
      <c r="O486" s="152"/>
      <c r="P486" s="152"/>
      <c r="Q486" s="183" t="s">
        <v>485</v>
      </c>
      <c r="R486" s="150"/>
      <c r="S486" s="183"/>
      <c r="T486" s="150"/>
      <c r="U486" s="150"/>
      <c r="V486" s="150"/>
      <c r="W486" s="156"/>
      <c r="X486" s="183"/>
      <c r="Y486" s="156"/>
    </row>
    <row r="487" spans="1:25" ht="79.95" customHeight="1" x14ac:dyDescent="0.3">
      <c r="A487" s="40">
        <v>483</v>
      </c>
      <c r="B487" s="182"/>
      <c r="C487" s="149" t="s">
        <v>438</v>
      </c>
      <c r="D487" s="183" t="s">
        <v>561</v>
      </c>
      <c r="E487" s="183" t="s">
        <v>641</v>
      </c>
      <c r="F487" s="151"/>
      <c r="G487" s="152"/>
      <c r="H487" s="183" t="s">
        <v>642</v>
      </c>
      <c r="I487" s="154"/>
      <c r="J487" s="152"/>
      <c r="K487" s="152"/>
      <c r="L487" s="152"/>
      <c r="M487" s="152"/>
      <c r="N487" s="152"/>
      <c r="O487" s="152"/>
      <c r="P487" s="152"/>
      <c r="Q487" s="183" t="s">
        <v>485</v>
      </c>
      <c r="R487" s="150"/>
      <c r="S487" s="183"/>
      <c r="T487" s="150"/>
      <c r="U487" s="150"/>
      <c r="V487" s="150"/>
      <c r="W487" s="156"/>
      <c r="X487" s="183"/>
      <c r="Y487" s="156"/>
    </row>
    <row r="488" spans="1:25" ht="79.95" customHeight="1" x14ac:dyDescent="0.3">
      <c r="A488" s="40">
        <v>484</v>
      </c>
      <c r="B488" s="182"/>
      <c r="C488" s="149" t="s">
        <v>438</v>
      </c>
      <c r="D488" s="183" t="s">
        <v>561</v>
      </c>
      <c r="E488" s="183" t="s">
        <v>644</v>
      </c>
      <c r="F488" s="151"/>
      <c r="G488" s="152"/>
      <c r="H488" s="183" t="s">
        <v>645</v>
      </c>
      <c r="I488" s="154"/>
      <c r="J488" s="152"/>
      <c r="K488" s="152"/>
      <c r="L488" s="152"/>
      <c r="M488" s="152"/>
      <c r="N488" s="152"/>
      <c r="O488" s="152"/>
      <c r="P488" s="152"/>
      <c r="Q488" s="183" t="s">
        <v>485</v>
      </c>
      <c r="R488" s="150"/>
      <c r="S488" s="183"/>
      <c r="T488" s="150"/>
      <c r="U488" s="150"/>
      <c r="V488" s="150"/>
      <c r="W488" s="156"/>
      <c r="X488" s="183"/>
      <c r="Y488" s="156"/>
    </row>
    <row r="489" spans="1:25" ht="79.95" customHeight="1" x14ac:dyDescent="0.3">
      <c r="A489" s="40">
        <v>485</v>
      </c>
      <c r="B489" s="182"/>
      <c r="C489" s="149" t="s">
        <v>438</v>
      </c>
      <c r="D489" s="183" t="s">
        <v>561</v>
      </c>
      <c r="E489" s="183" t="s">
        <v>647</v>
      </c>
      <c r="F489" s="151"/>
      <c r="G489" s="152"/>
      <c r="H489" s="183" t="s">
        <v>648</v>
      </c>
      <c r="I489" s="154"/>
      <c r="J489" s="152"/>
      <c r="K489" s="152"/>
      <c r="L489" s="152"/>
      <c r="M489" s="152"/>
      <c r="N489" s="152"/>
      <c r="O489" s="152"/>
      <c r="P489" s="152"/>
      <c r="Q489" s="183" t="s">
        <v>485</v>
      </c>
      <c r="R489" s="150"/>
      <c r="S489" s="183"/>
      <c r="T489" s="150"/>
      <c r="U489" s="150"/>
      <c r="V489" s="150"/>
      <c r="W489" s="156"/>
      <c r="X489" s="183"/>
      <c r="Y489" s="156"/>
    </row>
    <row r="490" spans="1:25" ht="79.95" customHeight="1" x14ac:dyDescent="0.3">
      <c r="A490" s="40">
        <v>486</v>
      </c>
      <c r="B490" s="182"/>
      <c r="C490" s="149" t="s">
        <v>943</v>
      </c>
      <c r="D490" s="183" t="s">
        <v>650</v>
      </c>
      <c r="E490" s="183" t="s">
        <v>651</v>
      </c>
      <c r="F490" s="151"/>
      <c r="G490" s="152"/>
      <c r="H490" s="183" t="s">
        <v>652</v>
      </c>
      <c r="I490" s="154"/>
      <c r="J490" s="152"/>
      <c r="K490" s="152"/>
      <c r="L490" s="152"/>
      <c r="M490" s="152"/>
      <c r="N490" s="152"/>
      <c r="O490" s="152"/>
      <c r="P490" s="152"/>
      <c r="Q490" s="183" t="s">
        <v>485</v>
      </c>
      <c r="R490" s="150"/>
      <c r="S490" s="183"/>
      <c r="T490" s="150"/>
      <c r="U490" s="150"/>
      <c r="V490" s="150"/>
      <c r="W490" s="156"/>
      <c r="X490" s="183"/>
      <c r="Y490" s="156"/>
    </row>
    <row r="491" spans="1:25" ht="79.95" customHeight="1" x14ac:dyDescent="0.3">
      <c r="A491" s="40">
        <v>487</v>
      </c>
      <c r="B491" s="182"/>
      <c r="C491" s="149" t="s">
        <v>943</v>
      </c>
      <c r="D491" s="183" t="s">
        <v>650</v>
      </c>
      <c r="E491" s="183" t="s">
        <v>655</v>
      </c>
      <c r="F491" s="151"/>
      <c r="G491" s="152"/>
      <c r="H491" s="183" t="s">
        <v>656</v>
      </c>
      <c r="I491" s="154"/>
      <c r="J491" s="152"/>
      <c r="K491" s="152"/>
      <c r="L491" s="152"/>
      <c r="M491" s="152"/>
      <c r="N491" s="152"/>
      <c r="O491" s="152"/>
      <c r="P491" s="152"/>
      <c r="Q491" s="183" t="s">
        <v>485</v>
      </c>
      <c r="R491" s="150"/>
      <c r="S491" s="183"/>
      <c r="T491" s="150"/>
      <c r="U491" s="150"/>
      <c r="V491" s="150"/>
      <c r="W491" s="156"/>
      <c r="X491" s="183"/>
      <c r="Y491" s="156"/>
    </row>
    <row r="492" spans="1:25" ht="79.95" customHeight="1" x14ac:dyDescent="0.3">
      <c r="A492" s="40">
        <v>488</v>
      </c>
      <c r="B492" s="182"/>
      <c r="C492" s="149" t="s">
        <v>943</v>
      </c>
      <c r="D492" s="183" t="s">
        <v>650</v>
      </c>
      <c r="E492" s="183" t="s">
        <v>655</v>
      </c>
      <c r="F492" s="151"/>
      <c r="G492" s="152"/>
      <c r="H492" s="183" t="s">
        <v>659</v>
      </c>
      <c r="I492" s="154"/>
      <c r="J492" s="152"/>
      <c r="K492" s="152"/>
      <c r="L492" s="152"/>
      <c r="M492" s="152"/>
      <c r="N492" s="152"/>
      <c r="O492" s="152"/>
      <c r="P492" s="152"/>
      <c r="Q492" s="183" t="s">
        <v>485</v>
      </c>
      <c r="R492" s="150"/>
      <c r="S492" s="183"/>
      <c r="T492" s="150"/>
      <c r="U492" s="150"/>
      <c r="V492" s="150"/>
      <c r="W492" s="156"/>
      <c r="X492" s="183"/>
      <c r="Y492" s="156"/>
    </row>
    <row r="493" spans="1:25" ht="79.95" customHeight="1" x14ac:dyDescent="0.3">
      <c r="A493" s="40">
        <v>489</v>
      </c>
      <c r="B493" s="182"/>
      <c r="C493" s="149" t="s">
        <v>943</v>
      </c>
      <c r="D493" s="183" t="s">
        <v>650</v>
      </c>
      <c r="E493" s="183" t="s">
        <v>662</v>
      </c>
      <c r="F493" s="151"/>
      <c r="G493" s="152"/>
      <c r="H493" s="183" t="s">
        <v>663</v>
      </c>
      <c r="I493" s="186"/>
      <c r="J493" s="152"/>
      <c r="K493" s="152"/>
      <c r="L493" s="152"/>
      <c r="M493" s="152"/>
      <c r="N493" s="152"/>
      <c r="O493" s="152"/>
      <c r="P493" s="152"/>
      <c r="Q493" s="183" t="s">
        <v>485</v>
      </c>
      <c r="R493" s="150"/>
      <c r="S493" s="183"/>
      <c r="T493" s="150"/>
      <c r="U493" s="150"/>
      <c r="V493" s="150"/>
      <c r="W493" s="156"/>
      <c r="X493" s="183"/>
      <c r="Y493" s="156"/>
    </row>
    <row r="494" spans="1:25" ht="79.95" customHeight="1" x14ac:dyDescent="0.3">
      <c r="A494" s="40">
        <v>490</v>
      </c>
      <c r="B494" s="182"/>
      <c r="C494" s="149" t="s">
        <v>836</v>
      </c>
      <c r="D494" s="183" t="s">
        <v>665</v>
      </c>
      <c r="E494" s="183" t="s">
        <v>666</v>
      </c>
      <c r="F494" s="151"/>
      <c r="G494" s="152"/>
      <c r="H494" s="183" t="s">
        <v>667</v>
      </c>
      <c r="I494" s="186"/>
      <c r="J494" s="152"/>
      <c r="K494" s="152"/>
      <c r="L494" s="152"/>
      <c r="M494" s="152"/>
      <c r="N494" s="152"/>
      <c r="O494" s="152"/>
      <c r="P494" s="152"/>
      <c r="Q494" s="183" t="s">
        <v>485</v>
      </c>
      <c r="R494" s="150"/>
      <c r="S494" s="183"/>
      <c r="T494" s="150"/>
      <c r="U494" s="150"/>
      <c r="V494" s="150"/>
      <c r="W494" s="156"/>
      <c r="X494" s="183"/>
      <c r="Y494" s="156"/>
    </row>
    <row r="495" spans="1:25" ht="79.95" customHeight="1" x14ac:dyDescent="0.3">
      <c r="A495" s="40">
        <v>491</v>
      </c>
      <c r="B495" s="182"/>
      <c r="C495" s="149" t="s">
        <v>438</v>
      </c>
      <c r="D495" s="183" t="s">
        <v>519</v>
      </c>
      <c r="E495" s="183" t="s">
        <v>520</v>
      </c>
      <c r="F495" s="151"/>
      <c r="G495" s="152"/>
      <c r="H495" s="183" t="s">
        <v>521</v>
      </c>
      <c r="I495" s="186"/>
      <c r="J495" s="152"/>
      <c r="K495" s="152"/>
      <c r="L495" s="152"/>
      <c r="M495" s="152"/>
      <c r="N495" s="152"/>
      <c r="O495" s="152"/>
      <c r="P495" s="152"/>
      <c r="Q495" s="183" t="s">
        <v>485</v>
      </c>
      <c r="R495" s="150"/>
      <c r="S495" s="183"/>
      <c r="T495" s="150"/>
      <c r="U495" s="150"/>
      <c r="V495" s="150"/>
      <c r="W495" s="156"/>
      <c r="X495" s="183"/>
      <c r="Y495" s="156"/>
    </row>
    <row r="496" spans="1:25" ht="79.95" customHeight="1" x14ac:dyDescent="0.3">
      <c r="A496" s="40">
        <v>492</v>
      </c>
      <c r="B496" s="182"/>
      <c r="C496" s="149" t="s">
        <v>438</v>
      </c>
      <c r="D496" s="183" t="s">
        <v>519</v>
      </c>
      <c r="E496" s="183" t="s">
        <v>520</v>
      </c>
      <c r="F496" s="151"/>
      <c r="G496" s="152"/>
      <c r="H496" s="183" t="s">
        <v>527</v>
      </c>
      <c r="I496" s="186"/>
      <c r="J496" s="152"/>
      <c r="K496" s="152"/>
      <c r="L496" s="152"/>
      <c r="M496" s="152"/>
      <c r="N496" s="152"/>
      <c r="O496" s="152"/>
      <c r="P496" s="152"/>
      <c r="Q496" s="183" t="s">
        <v>485</v>
      </c>
      <c r="R496" s="150"/>
      <c r="S496" s="183"/>
      <c r="T496" s="150"/>
      <c r="U496" s="150"/>
      <c r="V496" s="150"/>
      <c r="W496" s="156"/>
      <c r="X496" s="183"/>
      <c r="Y496" s="156"/>
    </row>
    <row r="497" spans="1:25" ht="79.95" customHeight="1" x14ac:dyDescent="0.3">
      <c r="A497" s="40">
        <v>493</v>
      </c>
      <c r="B497" s="182"/>
      <c r="C497" s="149" t="s">
        <v>950</v>
      </c>
      <c r="D497" s="183" t="s">
        <v>535</v>
      </c>
      <c r="E497" s="183" t="s">
        <v>536</v>
      </c>
      <c r="F497" s="151"/>
      <c r="G497" s="152"/>
      <c r="H497" s="183" t="s">
        <v>537</v>
      </c>
      <c r="I497" s="186"/>
      <c r="J497" s="152"/>
      <c r="K497" s="152"/>
      <c r="L497" s="152"/>
      <c r="M497" s="152"/>
      <c r="N497" s="152"/>
      <c r="O497" s="152"/>
      <c r="P497" s="152"/>
      <c r="Q497" s="183" t="s">
        <v>485</v>
      </c>
      <c r="R497" s="150"/>
      <c r="S497" s="183"/>
      <c r="T497" s="150"/>
      <c r="U497" s="150"/>
      <c r="V497" s="150"/>
      <c r="W497" s="156"/>
      <c r="X497" s="183"/>
      <c r="Y497" s="156"/>
    </row>
    <row r="498" spans="1:25" ht="79.95" customHeight="1" x14ac:dyDescent="0.3">
      <c r="A498" s="40">
        <v>494</v>
      </c>
      <c r="B498" s="182"/>
      <c r="C498" s="149" t="s">
        <v>438</v>
      </c>
      <c r="D498" s="183"/>
      <c r="E498" s="183" t="s">
        <v>546</v>
      </c>
      <c r="F498" s="151"/>
      <c r="G498" s="151"/>
      <c r="H498" s="183" t="s">
        <v>547</v>
      </c>
      <c r="I498" s="151"/>
      <c r="J498" s="151"/>
      <c r="K498" s="151"/>
      <c r="L498" s="151"/>
      <c r="M498" s="151"/>
      <c r="N498" s="151"/>
      <c r="O498" s="151"/>
      <c r="P498" s="151"/>
      <c r="Q498" s="183" t="s">
        <v>485</v>
      </c>
      <c r="R498" s="156"/>
      <c r="S498" s="183"/>
      <c r="T498" s="156"/>
      <c r="U498" s="156"/>
      <c r="V498" s="156"/>
      <c r="W498" s="156"/>
      <c r="X498" s="183"/>
      <c r="Y498" s="156"/>
    </row>
    <row r="499" spans="1:25" ht="79.95" customHeight="1" x14ac:dyDescent="0.3">
      <c r="A499" s="40">
        <v>495</v>
      </c>
      <c r="B499" s="182"/>
      <c r="C499" s="149" t="s">
        <v>438</v>
      </c>
      <c r="D499" s="183" t="s">
        <v>553</v>
      </c>
      <c r="E499" s="183" t="s">
        <v>554</v>
      </c>
      <c r="F499" s="151"/>
      <c r="G499" s="151"/>
      <c r="H499" s="183" t="s">
        <v>555</v>
      </c>
      <c r="I499" s="151"/>
      <c r="J499" s="151"/>
      <c r="K499" s="151"/>
      <c r="L499" s="151"/>
      <c r="M499" s="151"/>
      <c r="N499" s="151"/>
      <c r="O499" s="151"/>
      <c r="P499" s="151"/>
      <c r="Q499" s="183" t="s">
        <v>485</v>
      </c>
      <c r="R499" s="156"/>
      <c r="S499" s="183"/>
      <c r="T499" s="156"/>
      <c r="U499" s="156"/>
      <c r="V499" s="156"/>
      <c r="W499" s="156"/>
      <c r="X499" s="183"/>
      <c r="Y499" s="156"/>
    </row>
    <row r="500" spans="1:25" ht="79.95" customHeight="1" x14ac:dyDescent="0.3">
      <c r="A500" s="40">
        <v>496</v>
      </c>
      <c r="B500" s="182"/>
      <c r="C500" s="149" t="s">
        <v>438</v>
      </c>
      <c r="D500" s="183" t="s">
        <v>561</v>
      </c>
      <c r="E500" s="183" t="s">
        <v>562</v>
      </c>
      <c r="F500" s="151"/>
      <c r="G500" s="151"/>
      <c r="H500" s="183" t="s">
        <v>563</v>
      </c>
      <c r="I500" s="151"/>
      <c r="J500" s="151"/>
      <c r="K500" s="151"/>
      <c r="L500" s="151"/>
      <c r="M500" s="151"/>
      <c r="N500" s="151"/>
      <c r="O500" s="151"/>
      <c r="P500" s="151"/>
      <c r="Q500" s="183" t="s">
        <v>485</v>
      </c>
      <c r="R500" s="156"/>
      <c r="S500" s="183"/>
      <c r="T500" s="156"/>
      <c r="U500" s="156"/>
      <c r="V500" s="156"/>
      <c r="W500" s="156"/>
      <c r="X500" s="183"/>
      <c r="Y500" s="156"/>
    </row>
    <row r="501" spans="1:25" ht="79.95" customHeight="1" x14ac:dyDescent="0.3">
      <c r="A501" s="40">
        <v>497</v>
      </c>
      <c r="B501" s="182"/>
      <c r="C501" s="149" t="s">
        <v>953</v>
      </c>
      <c r="D501" s="240" t="s">
        <v>568</v>
      </c>
      <c r="E501" s="243" t="s">
        <v>570</v>
      </c>
      <c r="F501" s="151"/>
      <c r="G501" s="151"/>
      <c r="H501" s="183" t="s">
        <v>573</v>
      </c>
      <c r="I501" s="151"/>
      <c r="J501" s="151"/>
      <c r="K501" s="151"/>
      <c r="L501" s="151"/>
      <c r="M501" s="151"/>
      <c r="N501" s="151"/>
      <c r="O501" s="151"/>
      <c r="P501" s="151"/>
      <c r="Q501" s="183" t="s">
        <v>485</v>
      </c>
      <c r="R501" s="156"/>
      <c r="S501" s="300" t="s">
        <v>518</v>
      </c>
      <c r="T501" s="156"/>
      <c r="U501" s="156"/>
      <c r="V501" s="156"/>
      <c r="W501" s="156"/>
      <c r="X501" s="183">
        <v>813</v>
      </c>
      <c r="Y501" s="156"/>
    </row>
    <row r="502" spans="1:25" ht="79.95" customHeight="1" x14ac:dyDescent="0.3">
      <c r="A502" s="40">
        <v>498</v>
      </c>
      <c r="B502" s="182"/>
      <c r="C502" s="149" t="s">
        <v>953</v>
      </c>
      <c r="D502" s="241"/>
      <c r="E502" s="244"/>
      <c r="F502" s="151"/>
      <c r="G502" s="151"/>
      <c r="H502" s="183" t="s">
        <v>576</v>
      </c>
      <c r="I502" s="151"/>
      <c r="J502" s="151"/>
      <c r="K502" s="151"/>
      <c r="L502" s="151"/>
      <c r="M502" s="151"/>
      <c r="N502" s="151"/>
      <c r="O502" s="151"/>
      <c r="P502" s="151"/>
      <c r="Q502" s="183" t="s">
        <v>485</v>
      </c>
      <c r="R502" s="156"/>
      <c r="S502" s="301"/>
      <c r="T502" s="156"/>
      <c r="U502" s="156"/>
      <c r="V502" s="156"/>
      <c r="W502" s="156"/>
      <c r="X502" s="183">
        <v>902</v>
      </c>
      <c r="Y502" s="156"/>
    </row>
    <row r="503" spans="1:25" ht="79.95" customHeight="1" x14ac:dyDescent="0.3">
      <c r="A503" s="40">
        <v>499</v>
      </c>
      <c r="B503" s="182"/>
      <c r="C503" s="149" t="s">
        <v>953</v>
      </c>
      <c r="D503" s="241"/>
      <c r="E503" s="244"/>
      <c r="F503" s="151"/>
      <c r="G503" s="151"/>
      <c r="H503" s="183" t="s">
        <v>584</v>
      </c>
      <c r="I503" s="151"/>
      <c r="J503" s="151"/>
      <c r="K503" s="151"/>
      <c r="L503" s="151"/>
      <c r="M503" s="151"/>
      <c r="N503" s="151"/>
      <c r="O503" s="151"/>
      <c r="P503" s="151"/>
      <c r="Q503" s="183" t="s">
        <v>485</v>
      </c>
      <c r="R503" s="156"/>
      <c r="S503" s="301"/>
      <c r="T503" s="156"/>
      <c r="U503" s="156"/>
      <c r="V503" s="156"/>
      <c r="W503" s="156"/>
      <c r="X503" s="183">
        <v>896</v>
      </c>
      <c r="Y503" s="156"/>
    </row>
    <row r="504" spans="1:25" ht="79.95" customHeight="1" x14ac:dyDescent="0.3">
      <c r="A504" s="40">
        <v>500</v>
      </c>
      <c r="B504" s="182"/>
      <c r="C504" s="149" t="s">
        <v>953</v>
      </c>
      <c r="D504" s="241"/>
      <c r="E504" s="244"/>
      <c r="F504" s="151"/>
      <c r="G504" s="151"/>
      <c r="H504" s="183" t="s">
        <v>591</v>
      </c>
      <c r="I504" s="151"/>
      <c r="J504" s="151"/>
      <c r="K504" s="151"/>
      <c r="L504" s="151"/>
      <c r="M504" s="151"/>
      <c r="N504" s="151"/>
      <c r="O504" s="151"/>
      <c r="P504" s="151"/>
      <c r="Q504" s="183" t="s">
        <v>485</v>
      </c>
      <c r="R504" s="156"/>
      <c r="S504" s="301"/>
      <c r="T504" s="156"/>
      <c r="U504" s="156"/>
      <c r="V504" s="156"/>
      <c r="W504" s="156"/>
      <c r="X504" s="183">
        <v>635</v>
      </c>
      <c r="Y504" s="156"/>
    </row>
    <row r="505" spans="1:25" ht="79.95" customHeight="1" x14ac:dyDescent="0.3">
      <c r="A505" s="40">
        <v>501</v>
      </c>
      <c r="B505" s="182"/>
      <c r="C505" s="149" t="s">
        <v>953</v>
      </c>
      <c r="D505" s="241"/>
      <c r="E505" s="244"/>
      <c r="F505" s="151"/>
      <c r="G505" s="151"/>
      <c r="H505" s="183" t="s">
        <v>599</v>
      </c>
      <c r="I505" s="151"/>
      <c r="J505" s="151"/>
      <c r="K505" s="151"/>
      <c r="L505" s="151"/>
      <c r="M505" s="151"/>
      <c r="N505" s="151"/>
      <c r="O505" s="151"/>
      <c r="P505" s="151"/>
      <c r="Q505" s="183" t="s">
        <v>485</v>
      </c>
      <c r="R505" s="156"/>
      <c r="S505" s="301"/>
      <c r="T505" s="156"/>
      <c r="U505" s="156"/>
      <c r="V505" s="156"/>
      <c r="W505" s="156"/>
      <c r="X505" s="183">
        <v>742</v>
      </c>
      <c r="Y505" s="156"/>
    </row>
    <row r="506" spans="1:25" ht="79.95" customHeight="1" x14ac:dyDescent="0.3">
      <c r="A506" s="40">
        <v>502</v>
      </c>
      <c r="B506" s="182"/>
      <c r="C506" s="149" t="s">
        <v>953</v>
      </c>
      <c r="D506" s="241"/>
      <c r="E506" s="244"/>
      <c r="F506" s="151"/>
      <c r="G506" s="151"/>
      <c r="H506" s="183" t="s">
        <v>605</v>
      </c>
      <c r="I506" s="151"/>
      <c r="J506" s="151"/>
      <c r="K506" s="151"/>
      <c r="L506" s="151"/>
      <c r="M506" s="151"/>
      <c r="N506" s="151"/>
      <c r="O506" s="151"/>
      <c r="P506" s="151"/>
      <c r="Q506" s="183" t="s">
        <v>485</v>
      </c>
      <c r="R506" s="156"/>
      <c r="S506" s="301"/>
      <c r="T506" s="156"/>
      <c r="U506" s="156"/>
      <c r="V506" s="156"/>
      <c r="W506" s="156"/>
      <c r="X506" s="183">
        <v>671</v>
      </c>
      <c r="Y506" s="156"/>
    </row>
    <row r="507" spans="1:25" ht="79.95" customHeight="1" x14ac:dyDescent="0.3">
      <c r="A507" s="40">
        <v>503</v>
      </c>
      <c r="B507" s="182"/>
      <c r="C507" s="149" t="s">
        <v>953</v>
      </c>
      <c r="D507" s="241"/>
      <c r="E507" s="244"/>
      <c r="F507" s="151"/>
      <c r="G507" s="151"/>
      <c r="H507" s="183" t="s">
        <v>608</v>
      </c>
      <c r="I507" s="151"/>
      <c r="J507" s="151"/>
      <c r="K507" s="151"/>
      <c r="L507" s="151"/>
      <c r="M507" s="151"/>
      <c r="N507" s="151"/>
      <c r="O507" s="151"/>
      <c r="P507" s="151"/>
      <c r="Q507" s="183" t="s">
        <v>485</v>
      </c>
      <c r="R507" s="156"/>
      <c r="S507" s="301"/>
      <c r="T507" s="156"/>
      <c r="U507" s="156"/>
      <c r="V507" s="156"/>
      <c r="W507" s="156"/>
      <c r="X507" s="183">
        <v>647</v>
      </c>
      <c r="Y507" s="156"/>
    </row>
    <row r="508" spans="1:25" ht="79.95" customHeight="1" x14ac:dyDescent="0.3">
      <c r="A508" s="40">
        <v>504</v>
      </c>
      <c r="B508" s="182"/>
      <c r="C508" s="149" t="s">
        <v>953</v>
      </c>
      <c r="D508" s="241"/>
      <c r="E508" s="244"/>
      <c r="F508" s="151"/>
      <c r="G508" s="151"/>
      <c r="H508" s="183" t="s">
        <v>613</v>
      </c>
      <c r="I508" s="151"/>
      <c r="J508" s="151"/>
      <c r="K508" s="151"/>
      <c r="L508" s="151"/>
      <c r="M508" s="151"/>
      <c r="N508" s="151"/>
      <c r="O508" s="151"/>
      <c r="P508" s="151"/>
      <c r="Q508" s="183" t="s">
        <v>485</v>
      </c>
      <c r="R508" s="156"/>
      <c r="S508" s="301"/>
      <c r="T508" s="156"/>
      <c r="U508" s="156"/>
      <c r="V508" s="156"/>
      <c r="W508" s="156"/>
      <c r="X508" s="183">
        <v>761</v>
      </c>
      <c r="Y508" s="156"/>
    </row>
    <row r="509" spans="1:25" ht="79.95" customHeight="1" x14ac:dyDescent="0.3">
      <c r="A509" s="40">
        <v>505</v>
      </c>
      <c r="B509" s="182"/>
      <c r="C509" s="149" t="s">
        <v>953</v>
      </c>
      <c r="D509" s="241"/>
      <c r="E509" s="244"/>
      <c r="F509" s="151"/>
      <c r="G509" s="151"/>
      <c r="H509" s="183" t="s">
        <v>617</v>
      </c>
      <c r="I509" s="151"/>
      <c r="J509" s="151"/>
      <c r="K509" s="151"/>
      <c r="L509" s="151"/>
      <c r="M509" s="151"/>
      <c r="N509" s="151"/>
      <c r="O509" s="151"/>
      <c r="P509" s="151"/>
      <c r="Q509" s="183" t="s">
        <v>485</v>
      </c>
      <c r="R509" s="156"/>
      <c r="S509" s="301"/>
      <c r="T509" s="156"/>
      <c r="U509" s="156"/>
      <c r="V509" s="156"/>
      <c r="W509" s="156"/>
      <c r="X509" s="183">
        <v>554</v>
      </c>
      <c r="Y509" s="156"/>
    </row>
    <row r="510" spans="1:25" ht="79.95" customHeight="1" x14ac:dyDescent="0.3">
      <c r="A510" s="40">
        <v>506</v>
      </c>
      <c r="B510" s="182"/>
      <c r="C510" s="149" t="s">
        <v>953</v>
      </c>
      <c r="D510" s="241"/>
      <c r="E510" s="244"/>
      <c r="F510" s="151"/>
      <c r="G510" s="151"/>
      <c r="H510" s="183" t="s">
        <v>622</v>
      </c>
      <c r="I510" s="151"/>
      <c r="J510" s="151"/>
      <c r="K510" s="151"/>
      <c r="L510" s="151"/>
      <c r="M510" s="151"/>
      <c r="N510" s="151"/>
      <c r="O510" s="151"/>
      <c r="P510" s="151"/>
      <c r="Q510" s="183" t="s">
        <v>485</v>
      </c>
      <c r="R510" s="156"/>
      <c r="S510" s="301"/>
      <c r="T510" s="156"/>
      <c r="U510" s="156"/>
      <c r="V510" s="156"/>
      <c r="W510" s="156"/>
      <c r="X510" s="183">
        <v>461</v>
      </c>
      <c r="Y510" s="156"/>
    </row>
    <row r="511" spans="1:25" ht="79.95" customHeight="1" x14ac:dyDescent="0.3">
      <c r="A511" s="40">
        <v>507</v>
      </c>
      <c r="B511" s="182"/>
      <c r="C511" s="149" t="s">
        <v>953</v>
      </c>
      <c r="D511" s="241"/>
      <c r="E511" s="244"/>
      <c r="F511" s="151"/>
      <c r="G511" s="151"/>
      <c r="H511" s="183" t="s">
        <v>627</v>
      </c>
      <c r="I511" s="151"/>
      <c r="J511" s="151"/>
      <c r="K511" s="151"/>
      <c r="L511" s="151"/>
      <c r="M511" s="151"/>
      <c r="N511" s="151"/>
      <c r="O511" s="151"/>
      <c r="P511" s="151"/>
      <c r="Q511" s="183" t="s">
        <v>485</v>
      </c>
      <c r="R511" s="156"/>
      <c r="S511" s="301"/>
      <c r="T511" s="156"/>
      <c r="U511" s="156"/>
      <c r="V511" s="156"/>
      <c r="W511" s="156"/>
      <c r="X511" s="183">
        <v>481</v>
      </c>
      <c r="Y511" s="156"/>
    </row>
    <row r="512" spans="1:25" ht="79.95" customHeight="1" x14ac:dyDescent="0.3">
      <c r="A512" s="40">
        <v>508</v>
      </c>
      <c r="B512" s="182"/>
      <c r="C512" s="149" t="s">
        <v>953</v>
      </c>
      <c r="D512" s="241"/>
      <c r="E512" s="244"/>
      <c r="F512" s="151"/>
      <c r="G512" s="151"/>
      <c r="H512" s="183" t="s">
        <v>627</v>
      </c>
      <c r="I512" s="151"/>
      <c r="J512" s="151"/>
      <c r="K512" s="151"/>
      <c r="L512" s="151"/>
      <c r="M512" s="151"/>
      <c r="N512" s="151"/>
      <c r="O512" s="151"/>
      <c r="P512" s="151"/>
      <c r="Q512" s="183" t="s">
        <v>485</v>
      </c>
      <c r="R512" s="156"/>
      <c r="S512" s="301"/>
      <c r="T512" s="156"/>
      <c r="U512" s="156"/>
      <c r="V512" s="156"/>
      <c r="W512" s="156"/>
      <c r="X512" s="183">
        <v>561</v>
      </c>
      <c r="Y512" s="156"/>
    </row>
    <row r="513" spans="1:25" ht="79.95" customHeight="1" x14ac:dyDescent="0.3">
      <c r="A513" s="40">
        <v>509</v>
      </c>
      <c r="B513" s="182"/>
      <c r="C513" s="149" t="s">
        <v>953</v>
      </c>
      <c r="D513" s="241"/>
      <c r="E513" s="244"/>
      <c r="F513" s="151"/>
      <c r="G513" s="151"/>
      <c r="H513" s="183" t="s">
        <v>636</v>
      </c>
      <c r="I513" s="151"/>
      <c r="J513" s="151"/>
      <c r="K513" s="151"/>
      <c r="L513" s="151"/>
      <c r="M513" s="151"/>
      <c r="N513" s="151"/>
      <c r="O513" s="151"/>
      <c r="P513" s="151"/>
      <c r="Q513" s="183" t="s">
        <v>485</v>
      </c>
      <c r="R513" s="156"/>
      <c r="S513" s="301"/>
      <c r="T513" s="156"/>
      <c r="U513" s="156"/>
      <c r="V513" s="156"/>
      <c r="W513" s="156"/>
      <c r="X513" s="183">
        <v>1342</v>
      </c>
      <c r="Y513" s="156"/>
    </row>
    <row r="514" spans="1:25" ht="79.95" customHeight="1" x14ac:dyDescent="0.3">
      <c r="A514" s="40">
        <v>510</v>
      </c>
      <c r="B514" s="182"/>
      <c r="C514" s="149" t="s">
        <v>953</v>
      </c>
      <c r="D514" s="241"/>
      <c r="E514" s="244"/>
      <c r="F514" s="151"/>
      <c r="G514" s="151"/>
      <c r="H514" s="183" t="s">
        <v>639</v>
      </c>
      <c r="I514" s="151"/>
      <c r="J514" s="151"/>
      <c r="K514" s="151"/>
      <c r="L514" s="151"/>
      <c r="M514" s="151"/>
      <c r="N514" s="151"/>
      <c r="O514" s="151"/>
      <c r="P514" s="151"/>
      <c r="Q514" s="183" t="s">
        <v>485</v>
      </c>
      <c r="R514" s="156"/>
      <c r="S514" s="301"/>
      <c r="T514" s="156"/>
      <c r="U514" s="156"/>
      <c r="V514" s="156"/>
      <c r="W514" s="156"/>
      <c r="X514" s="183">
        <v>742</v>
      </c>
      <c r="Y514" s="156"/>
    </row>
    <row r="515" spans="1:25" ht="79.95" customHeight="1" x14ac:dyDescent="0.3">
      <c r="A515" s="40">
        <v>511</v>
      </c>
      <c r="B515" s="182"/>
      <c r="C515" s="149" t="s">
        <v>953</v>
      </c>
      <c r="D515" s="241"/>
      <c r="E515" s="244"/>
      <c r="F515" s="151"/>
      <c r="G515" s="151"/>
      <c r="H515" s="183" t="s">
        <v>640</v>
      </c>
      <c r="I515" s="151"/>
      <c r="J515" s="151"/>
      <c r="K515" s="151"/>
      <c r="L515" s="151"/>
      <c r="M515" s="151"/>
      <c r="N515" s="151"/>
      <c r="O515" s="151"/>
      <c r="P515" s="151"/>
      <c r="Q515" s="183" t="s">
        <v>485</v>
      </c>
      <c r="R515" s="156"/>
      <c r="S515" s="301"/>
      <c r="T515" s="156"/>
      <c r="U515" s="156"/>
      <c r="V515" s="156"/>
      <c r="W515" s="156"/>
      <c r="X515" s="183">
        <v>434</v>
      </c>
      <c r="Y515" s="156"/>
    </row>
    <row r="516" spans="1:25" ht="79.95" customHeight="1" x14ac:dyDescent="0.3">
      <c r="A516" s="40">
        <v>512</v>
      </c>
      <c r="B516" s="182"/>
      <c r="C516" s="149" t="s">
        <v>953</v>
      </c>
      <c r="D516" s="241"/>
      <c r="E516" s="244"/>
      <c r="F516" s="151"/>
      <c r="G516" s="151"/>
      <c r="H516" s="183" t="s">
        <v>643</v>
      </c>
      <c r="I516" s="151"/>
      <c r="J516" s="151"/>
      <c r="K516" s="151"/>
      <c r="L516" s="151"/>
      <c r="M516" s="151"/>
      <c r="N516" s="151"/>
      <c r="O516" s="151"/>
      <c r="P516" s="151"/>
      <c r="Q516" s="183" t="s">
        <v>485</v>
      </c>
      <c r="R516" s="156"/>
      <c r="S516" s="301"/>
      <c r="T516" s="156"/>
      <c r="U516" s="156"/>
      <c r="V516" s="156"/>
      <c r="W516" s="156"/>
      <c r="X516" s="183">
        <v>441</v>
      </c>
      <c r="Y516" s="156"/>
    </row>
    <row r="517" spans="1:25" ht="79.95" customHeight="1" x14ac:dyDescent="0.3">
      <c r="A517" s="40">
        <v>513</v>
      </c>
      <c r="B517" s="182"/>
      <c r="C517" s="149" t="s">
        <v>953</v>
      </c>
      <c r="D517" s="241"/>
      <c r="E517" s="244"/>
      <c r="F517" s="151"/>
      <c r="G517" s="151"/>
      <c r="H517" s="183" t="s">
        <v>646</v>
      </c>
      <c r="I517" s="151"/>
      <c r="J517" s="151"/>
      <c r="K517" s="151"/>
      <c r="L517" s="151"/>
      <c r="M517" s="151"/>
      <c r="N517" s="151"/>
      <c r="O517" s="151"/>
      <c r="P517" s="151"/>
      <c r="Q517" s="183" t="s">
        <v>485</v>
      </c>
      <c r="R517" s="156"/>
      <c r="S517" s="301"/>
      <c r="T517" s="156"/>
      <c r="U517" s="156"/>
      <c r="V517" s="156"/>
      <c r="W517" s="156"/>
      <c r="X517" s="183">
        <v>541</v>
      </c>
      <c r="Y517" s="156"/>
    </row>
    <row r="518" spans="1:25" ht="79.95" customHeight="1" x14ac:dyDescent="0.3">
      <c r="A518" s="40">
        <v>514</v>
      </c>
      <c r="B518" s="182"/>
      <c r="C518" s="149" t="s">
        <v>953</v>
      </c>
      <c r="D518" s="242"/>
      <c r="E518" s="245"/>
      <c r="F518" s="151"/>
      <c r="G518" s="151"/>
      <c r="H518" s="183" t="s">
        <v>649</v>
      </c>
      <c r="I518" s="151"/>
      <c r="J518" s="151"/>
      <c r="K518" s="151"/>
      <c r="L518" s="151"/>
      <c r="M518" s="151"/>
      <c r="N518" s="151"/>
      <c r="O518" s="151"/>
      <c r="P518" s="151"/>
      <c r="Q518" s="183" t="s">
        <v>485</v>
      </c>
      <c r="R518" s="156"/>
      <c r="S518" s="302"/>
      <c r="T518" s="156"/>
      <c r="U518" s="156"/>
      <c r="V518" s="156"/>
      <c r="W518" s="156"/>
      <c r="X518" s="183">
        <v>724</v>
      </c>
      <c r="Y518" s="156"/>
    </row>
    <row r="519" spans="1:25" ht="79.95" customHeight="1" x14ac:dyDescent="0.3">
      <c r="A519" s="40">
        <v>515</v>
      </c>
      <c r="B519" s="182"/>
      <c r="C519" s="149" t="s">
        <v>483</v>
      </c>
      <c r="D519" s="183" t="s">
        <v>483</v>
      </c>
      <c r="E519" s="183" t="s">
        <v>653</v>
      </c>
      <c r="F519" s="151"/>
      <c r="G519" s="151"/>
      <c r="H519" s="183" t="s">
        <v>654</v>
      </c>
      <c r="I519" s="151"/>
      <c r="J519" s="151"/>
      <c r="K519" s="151"/>
      <c r="L519" s="151"/>
      <c r="M519" s="151"/>
      <c r="N519" s="151"/>
      <c r="O519" s="151"/>
      <c r="P519" s="151"/>
      <c r="Q519" s="183" t="s">
        <v>485</v>
      </c>
      <c r="R519" s="156"/>
      <c r="S519" s="183"/>
      <c r="T519" s="156"/>
      <c r="U519" s="156"/>
      <c r="V519" s="156"/>
      <c r="W519" s="156"/>
      <c r="X519" s="183">
        <v>505</v>
      </c>
      <c r="Y519" s="156"/>
    </row>
    <row r="520" spans="1:25" ht="79.95" customHeight="1" x14ac:dyDescent="0.3">
      <c r="A520" s="40">
        <v>516</v>
      </c>
      <c r="B520" s="182"/>
      <c r="C520" s="149" t="s">
        <v>483</v>
      </c>
      <c r="D520" s="183" t="s">
        <v>483</v>
      </c>
      <c r="E520" s="183" t="s">
        <v>657</v>
      </c>
      <c r="F520" s="151"/>
      <c r="G520" s="151"/>
      <c r="H520" s="183" t="s">
        <v>658</v>
      </c>
      <c r="I520" s="151"/>
      <c r="J520" s="151"/>
      <c r="K520" s="151"/>
      <c r="L520" s="151"/>
      <c r="M520" s="151"/>
      <c r="N520" s="151"/>
      <c r="O520" s="151"/>
      <c r="P520" s="151"/>
      <c r="Q520" s="183" t="s">
        <v>485</v>
      </c>
      <c r="R520" s="156"/>
      <c r="S520" s="183"/>
      <c r="T520" s="156"/>
      <c r="U520" s="156"/>
      <c r="V520" s="156"/>
      <c r="W520" s="156"/>
      <c r="X520" s="183">
        <v>760</v>
      </c>
      <c r="Y520" s="156"/>
    </row>
    <row r="521" spans="1:25" ht="79.95" customHeight="1" x14ac:dyDescent="0.3">
      <c r="A521" s="40">
        <v>517</v>
      </c>
      <c r="B521" s="182"/>
      <c r="C521" s="149" t="s">
        <v>483</v>
      </c>
      <c r="D521" s="183" t="s">
        <v>483</v>
      </c>
      <c r="E521" s="183" t="s">
        <v>660</v>
      </c>
      <c r="F521" s="151"/>
      <c r="G521" s="151"/>
      <c r="H521" s="183" t="s">
        <v>661</v>
      </c>
      <c r="I521" s="151"/>
      <c r="J521" s="151"/>
      <c r="K521" s="151"/>
      <c r="L521" s="151"/>
      <c r="M521" s="151"/>
      <c r="N521" s="151"/>
      <c r="O521" s="151"/>
      <c r="P521" s="151"/>
      <c r="Q521" s="183" t="s">
        <v>485</v>
      </c>
      <c r="R521" s="156"/>
      <c r="S521" s="183"/>
      <c r="T521" s="156"/>
      <c r="U521" s="156"/>
      <c r="V521" s="156"/>
      <c r="W521" s="156"/>
      <c r="X521" s="183">
        <v>683</v>
      </c>
      <c r="Y521" s="156"/>
    </row>
    <row r="522" spans="1:25" ht="79.95" customHeight="1" x14ac:dyDescent="0.3">
      <c r="A522" s="40">
        <v>518</v>
      </c>
      <c r="B522" s="182"/>
      <c r="C522" s="149" t="s">
        <v>529</v>
      </c>
      <c r="D522" s="183"/>
      <c r="E522" s="183"/>
      <c r="F522" s="151"/>
      <c r="G522" s="151"/>
      <c r="H522" s="183" t="s">
        <v>664</v>
      </c>
      <c r="I522" s="151"/>
      <c r="J522" s="151"/>
      <c r="K522" s="151"/>
      <c r="L522" s="151"/>
      <c r="M522" s="151"/>
      <c r="N522" s="151"/>
      <c r="O522" s="151"/>
      <c r="P522" s="151"/>
      <c r="Q522" s="183" t="s">
        <v>485</v>
      </c>
      <c r="R522" s="156"/>
      <c r="S522" s="183"/>
      <c r="T522" s="156"/>
      <c r="U522" s="156"/>
      <c r="V522" s="156"/>
      <c r="W522" s="156"/>
      <c r="X522" s="183"/>
      <c r="Y522" s="156"/>
    </row>
    <row r="523" spans="1:25" ht="79.95" customHeight="1" x14ac:dyDescent="0.3">
      <c r="A523" s="40">
        <v>519</v>
      </c>
      <c r="B523" s="182"/>
      <c r="C523" s="149" t="s">
        <v>529</v>
      </c>
      <c r="D523" s="183"/>
      <c r="E523" s="183"/>
      <c r="F523" s="151"/>
      <c r="G523" s="151"/>
      <c r="H523" s="183" t="s">
        <v>668</v>
      </c>
      <c r="I523" s="151"/>
      <c r="J523" s="151"/>
      <c r="K523" s="151"/>
      <c r="L523" s="151"/>
      <c r="M523" s="151"/>
      <c r="N523" s="151"/>
      <c r="O523" s="151"/>
      <c r="P523" s="151"/>
      <c r="Q523" s="183" t="s">
        <v>485</v>
      </c>
      <c r="R523" s="156"/>
      <c r="S523" s="183"/>
      <c r="T523" s="156"/>
      <c r="U523" s="156"/>
      <c r="V523" s="156"/>
      <c r="W523" s="156"/>
      <c r="X523" s="183"/>
      <c r="Y523" s="156"/>
    </row>
    <row r="524" spans="1:25" ht="79.95" customHeight="1" x14ac:dyDescent="0.3">
      <c r="A524" s="40">
        <v>520</v>
      </c>
      <c r="B524" s="182"/>
      <c r="C524" s="149" t="s">
        <v>285</v>
      </c>
      <c r="D524" s="151" t="s">
        <v>958</v>
      </c>
      <c r="E524" s="151"/>
      <c r="F524" s="151"/>
      <c r="G524" s="151"/>
      <c r="H524" s="183" t="s">
        <v>959</v>
      </c>
      <c r="I524" s="183" t="s">
        <v>960</v>
      </c>
      <c r="J524" s="151"/>
      <c r="K524" s="151"/>
      <c r="L524" s="151"/>
      <c r="M524" s="151"/>
      <c r="N524" s="151"/>
      <c r="O524" s="151"/>
      <c r="P524" s="151"/>
      <c r="Q524" s="183" t="s">
        <v>958</v>
      </c>
      <c r="R524" s="156"/>
      <c r="S524" s="156"/>
      <c r="T524" s="156"/>
      <c r="U524" s="156"/>
      <c r="V524" s="156"/>
      <c r="W524" s="156"/>
      <c r="X524" s="156"/>
      <c r="Y524" s="156">
        <v>2152</v>
      </c>
    </row>
    <row r="525" spans="1:25" ht="79.95" customHeight="1" x14ac:dyDescent="0.3">
      <c r="A525" s="40">
        <v>521</v>
      </c>
      <c r="B525" s="182"/>
      <c r="C525" s="149"/>
      <c r="D525" s="151" t="s">
        <v>958</v>
      </c>
      <c r="E525" s="151"/>
      <c r="F525" s="151"/>
      <c r="G525" s="151"/>
      <c r="H525" s="183" t="s">
        <v>961</v>
      </c>
      <c r="I525" s="183" t="s">
        <v>962</v>
      </c>
      <c r="J525" s="151"/>
      <c r="K525" s="151"/>
      <c r="L525" s="151"/>
      <c r="M525" s="151"/>
      <c r="N525" s="151"/>
      <c r="O525" s="151"/>
      <c r="P525" s="151"/>
      <c r="Q525" s="183" t="s">
        <v>958</v>
      </c>
      <c r="R525" s="156"/>
      <c r="S525" s="156"/>
      <c r="T525" s="156"/>
      <c r="U525" s="156"/>
      <c r="V525" s="156"/>
      <c r="W525" s="156"/>
      <c r="X525" s="156"/>
      <c r="Y525" s="156">
        <v>2152</v>
      </c>
    </row>
    <row r="526" spans="1:25" ht="79.95" customHeight="1" x14ac:dyDescent="0.3">
      <c r="A526" s="40">
        <v>522</v>
      </c>
      <c r="B526" s="182"/>
      <c r="C526" s="149" t="s">
        <v>285</v>
      </c>
      <c r="D526" s="151" t="s">
        <v>958</v>
      </c>
      <c r="E526" s="151"/>
      <c r="F526" s="151"/>
      <c r="G526" s="151"/>
      <c r="H526" s="183" t="s">
        <v>963</v>
      </c>
      <c r="I526" s="183" t="s">
        <v>964</v>
      </c>
      <c r="J526" s="151"/>
      <c r="K526" s="151"/>
      <c r="L526" s="151"/>
      <c r="M526" s="151"/>
      <c r="N526" s="151"/>
      <c r="O526" s="151"/>
      <c r="P526" s="151"/>
      <c r="Q526" s="183" t="s">
        <v>958</v>
      </c>
      <c r="R526" s="156"/>
      <c r="S526" s="156"/>
      <c r="T526" s="156"/>
      <c r="U526" s="156"/>
      <c r="V526" s="156"/>
      <c r="W526" s="156"/>
      <c r="X526" s="156"/>
      <c r="Y526" s="156">
        <v>2152</v>
      </c>
    </row>
    <row r="527" spans="1:25" ht="79.95" customHeight="1" x14ac:dyDescent="0.3">
      <c r="A527" s="40">
        <v>523</v>
      </c>
      <c r="B527" s="182"/>
      <c r="C527" s="149" t="s">
        <v>285</v>
      </c>
      <c r="D527" s="151" t="s">
        <v>958</v>
      </c>
      <c r="E527" s="151"/>
      <c r="F527" s="151"/>
      <c r="G527" s="151"/>
      <c r="H527" s="183" t="s">
        <v>965</v>
      </c>
      <c r="I527" s="183" t="s">
        <v>966</v>
      </c>
      <c r="J527" s="151"/>
      <c r="K527" s="151"/>
      <c r="L527" s="151"/>
      <c r="M527" s="151"/>
      <c r="N527" s="151"/>
      <c r="O527" s="151"/>
      <c r="P527" s="151"/>
      <c r="Q527" s="183" t="s">
        <v>958</v>
      </c>
      <c r="R527" s="156"/>
      <c r="S527" s="156"/>
      <c r="T527" s="156"/>
      <c r="U527" s="156"/>
      <c r="V527" s="156"/>
      <c r="W527" s="156"/>
      <c r="X527" s="156"/>
      <c r="Y527" s="156">
        <v>2152</v>
      </c>
    </row>
    <row r="528" spans="1:25" ht="79.95" customHeight="1" x14ac:dyDescent="0.3">
      <c r="A528" s="40">
        <v>524</v>
      </c>
      <c r="B528" s="182"/>
      <c r="C528" s="149" t="s">
        <v>285</v>
      </c>
      <c r="D528" s="151" t="s">
        <v>958</v>
      </c>
      <c r="E528" s="151"/>
      <c r="F528" s="151"/>
      <c r="G528" s="151"/>
      <c r="H528" s="183" t="s">
        <v>967</v>
      </c>
      <c r="I528" s="183" t="s">
        <v>968</v>
      </c>
      <c r="J528" s="151"/>
      <c r="K528" s="151"/>
      <c r="L528" s="151"/>
      <c r="M528" s="151"/>
      <c r="N528" s="151"/>
      <c r="O528" s="151"/>
      <c r="P528" s="151"/>
      <c r="Q528" s="183" t="s">
        <v>958</v>
      </c>
      <c r="R528" s="156"/>
      <c r="S528" s="156"/>
      <c r="T528" s="156"/>
      <c r="U528" s="156"/>
      <c r="V528" s="156"/>
      <c r="W528" s="156"/>
      <c r="X528" s="156"/>
      <c r="Y528" s="156">
        <v>2152</v>
      </c>
    </row>
    <row r="529" spans="1:25" ht="79.95" customHeight="1" x14ac:dyDescent="0.3">
      <c r="A529" s="40">
        <v>525</v>
      </c>
      <c r="B529" s="182"/>
      <c r="C529" s="149" t="s">
        <v>285</v>
      </c>
      <c r="D529" s="150" t="s">
        <v>995</v>
      </c>
      <c r="E529" s="150" t="s">
        <v>520</v>
      </c>
      <c r="F529" s="150" t="s">
        <v>199</v>
      </c>
      <c r="G529" s="151"/>
      <c r="H529" s="150" t="s">
        <v>996</v>
      </c>
      <c r="I529" s="150" t="s">
        <v>997</v>
      </c>
      <c r="J529" s="152" t="s">
        <v>113</v>
      </c>
      <c r="K529" s="151"/>
      <c r="L529" s="151"/>
      <c r="M529" s="151"/>
      <c r="N529" s="151"/>
      <c r="O529" s="151"/>
      <c r="P529" s="151"/>
      <c r="Q529" s="150" t="s">
        <v>681</v>
      </c>
      <c r="R529" s="156"/>
      <c r="S529" s="156"/>
      <c r="T529" s="156"/>
      <c r="U529" s="156"/>
      <c r="V529" s="156"/>
      <c r="W529" s="156"/>
      <c r="X529" s="156"/>
      <c r="Y529" s="156"/>
    </row>
    <row r="530" spans="1:25" ht="79.95" customHeight="1" x14ac:dyDescent="0.3">
      <c r="A530" s="40">
        <v>526</v>
      </c>
      <c r="B530" s="182"/>
      <c r="C530" s="149" t="s">
        <v>285</v>
      </c>
      <c r="D530" s="150" t="s">
        <v>998</v>
      </c>
      <c r="E530" s="150" t="s">
        <v>999</v>
      </c>
      <c r="F530" s="150" t="s">
        <v>199</v>
      </c>
      <c r="G530" s="151"/>
      <c r="H530" s="150" t="s">
        <v>1000</v>
      </c>
      <c r="I530" s="150" t="str">
        <f>H530</f>
        <v>Лайфстайл премиальные в ДАДМ, Цифровой помощник персонального менеджера</v>
      </c>
      <c r="J530" s="152" t="s">
        <v>113</v>
      </c>
      <c r="K530" s="151"/>
      <c r="L530" s="151"/>
      <c r="M530" s="151"/>
      <c r="N530" s="151"/>
      <c r="O530" s="151"/>
      <c r="P530" s="151"/>
      <c r="Q530" s="150" t="s">
        <v>681</v>
      </c>
      <c r="R530" s="156"/>
      <c r="S530" s="156"/>
      <c r="T530" s="156"/>
      <c r="U530" s="156"/>
      <c r="V530" s="156"/>
      <c r="W530" s="156"/>
      <c r="X530" s="156"/>
      <c r="Y530" s="156"/>
    </row>
    <row r="531" spans="1:25" ht="79.95" customHeight="1" x14ac:dyDescent="0.3">
      <c r="A531" s="40">
        <v>527</v>
      </c>
      <c r="B531" s="182"/>
      <c r="C531" s="149" t="s">
        <v>285</v>
      </c>
      <c r="D531" s="150" t="s">
        <v>1001</v>
      </c>
      <c r="E531" s="150" t="s">
        <v>1002</v>
      </c>
      <c r="F531" s="150" t="s">
        <v>199</v>
      </c>
      <c r="G531" s="151"/>
      <c r="H531" s="150" t="s">
        <v>1003</v>
      </c>
      <c r="I531" s="150" t="str">
        <f>H531</f>
        <v xml:space="preserve">Лайфстайл премиальные в ДАДМ, Агент консолидированной отчётности / Цифровой помощник -аналитик </v>
      </c>
      <c r="J531" s="152" t="s">
        <v>113</v>
      </c>
      <c r="K531" s="151"/>
      <c r="L531" s="151"/>
      <c r="M531" s="151"/>
      <c r="N531" s="151"/>
      <c r="O531" s="151"/>
      <c r="P531" s="151"/>
      <c r="Q531" s="150" t="s">
        <v>681</v>
      </c>
      <c r="R531" s="156"/>
      <c r="S531" s="156"/>
      <c r="T531" s="156"/>
      <c r="U531" s="156"/>
      <c r="V531" s="156"/>
      <c r="W531" s="156"/>
      <c r="X531" s="156"/>
      <c r="Y531" s="156"/>
    </row>
    <row r="532" spans="1:25" ht="79.95" customHeight="1" x14ac:dyDescent="0.3">
      <c r="A532" s="40">
        <v>528</v>
      </c>
      <c r="B532" s="182"/>
      <c r="C532" s="149" t="s">
        <v>285</v>
      </c>
      <c r="D532" s="150" t="s">
        <v>1004</v>
      </c>
      <c r="E532" s="150" t="s">
        <v>1005</v>
      </c>
      <c r="F532" s="151" t="s">
        <v>199</v>
      </c>
      <c r="G532" s="151"/>
      <c r="H532" s="150" t="s">
        <v>1006</v>
      </c>
      <c r="I532" s="150" t="s">
        <v>1007</v>
      </c>
      <c r="J532" s="152" t="s">
        <v>113</v>
      </c>
      <c r="K532" s="151"/>
      <c r="L532" s="151"/>
      <c r="M532" s="151"/>
      <c r="N532" s="151"/>
      <c r="O532" s="151"/>
      <c r="P532" s="151"/>
      <c r="Q532" s="150" t="s">
        <v>681</v>
      </c>
      <c r="R532" s="156"/>
      <c r="S532" s="156"/>
      <c r="T532" s="156"/>
      <c r="U532" s="156"/>
      <c r="V532" s="156"/>
      <c r="W532" s="156"/>
      <c r="X532" s="156"/>
      <c r="Y532" s="156"/>
    </row>
    <row r="533" spans="1:25" ht="79.95" customHeight="1" x14ac:dyDescent="0.3">
      <c r="A533" s="40">
        <v>529</v>
      </c>
      <c r="B533" s="182"/>
      <c r="C533" s="149" t="s">
        <v>285</v>
      </c>
      <c r="D533" s="151"/>
      <c r="E533" s="150" t="s">
        <v>1008</v>
      </c>
      <c r="F533" s="151" t="s">
        <v>199</v>
      </c>
      <c r="G533" s="151"/>
      <c r="H533" s="150" t="s">
        <v>638</v>
      </c>
      <c r="I533" s="150" t="s">
        <v>1009</v>
      </c>
      <c r="J533" s="152" t="s">
        <v>113</v>
      </c>
      <c r="K533" s="151"/>
      <c r="L533" s="151"/>
      <c r="M533" s="151"/>
      <c r="N533" s="151"/>
      <c r="O533" s="151"/>
      <c r="P533" s="151"/>
      <c r="Q533" s="150" t="s">
        <v>681</v>
      </c>
      <c r="R533" s="156"/>
      <c r="S533" s="156"/>
      <c r="T533" s="156"/>
      <c r="U533" s="156"/>
      <c r="V533" s="156"/>
      <c r="W533" s="156"/>
      <c r="X533" s="156"/>
      <c r="Y533" s="156"/>
    </row>
    <row r="534" spans="1:25" ht="79.95" customHeight="1" x14ac:dyDescent="0.3">
      <c r="A534" s="40">
        <v>530</v>
      </c>
      <c r="B534" s="182"/>
      <c r="C534" s="149" t="s">
        <v>285</v>
      </c>
      <c r="D534" s="150"/>
      <c r="E534" s="151" t="s">
        <v>1010</v>
      </c>
      <c r="F534" s="151" t="s">
        <v>199</v>
      </c>
      <c r="G534" s="151"/>
      <c r="H534" s="150" t="s">
        <v>645</v>
      </c>
      <c r="I534" s="150" t="s">
        <v>1011</v>
      </c>
      <c r="J534" s="152" t="s">
        <v>113</v>
      </c>
      <c r="K534" s="151"/>
      <c r="L534" s="151"/>
      <c r="M534" s="151"/>
      <c r="N534" s="151"/>
      <c r="O534" s="151"/>
      <c r="P534" s="151"/>
      <c r="Q534" s="150" t="s">
        <v>681</v>
      </c>
      <c r="R534" s="156"/>
      <c r="S534" s="156"/>
      <c r="T534" s="156"/>
      <c r="U534" s="156"/>
      <c r="V534" s="156"/>
      <c r="W534" s="156"/>
      <c r="X534" s="156"/>
      <c r="Y534" s="156"/>
    </row>
    <row r="535" spans="1:25" ht="79.95" customHeight="1" x14ac:dyDescent="0.3">
      <c r="A535" s="40">
        <v>531</v>
      </c>
      <c r="B535" s="182"/>
      <c r="C535" s="149" t="s">
        <v>285</v>
      </c>
      <c r="D535" s="150" t="s">
        <v>561</v>
      </c>
      <c r="E535" s="150" t="s">
        <v>1012</v>
      </c>
      <c r="F535" s="151" t="s">
        <v>199</v>
      </c>
      <c r="G535" s="151"/>
      <c r="H535" s="150" t="s">
        <v>1013</v>
      </c>
      <c r="I535" s="150" t="s">
        <v>1014</v>
      </c>
      <c r="J535" s="152" t="s">
        <v>113</v>
      </c>
      <c r="K535" s="151"/>
      <c r="L535" s="151"/>
      <c r="M535" s="151"/>
      <c r="N535" s="151"/>
      <c r="O535" s="151"/>
      <c r="P535" s="151"/>
      <c r="Q535" s="150" t="s">
        <v>681</v>
      </c>
      <c r="R535" s="156"/>
      <c r="S535" s="156"/>
      <c r="T535" s="156"/>
      <c r="U535" s="156"/>
      <c r="V535" s="156"/>
      <c r="W535" s="156"/>
      <c r="X535" s="156"/>
      <c r="Y535" s="156"/>
    </row>
    <row r="536" spans="1:25" ht="79.95" customHeight="1" x14ac:dyDescent="0.3">
      <c r="A536" s="40">
        <v>532</v>
      </c>
      <c r="B536" s="182"/>
      <c r="C536" s="149" t="s">
        <v>285</v>
      </c>
      <c r="D536" s="150" t="s">
        <v>561</v>
      </c>
      <c r="E536" s="150" t="s">
        <v>1012</v>
      </c>
      <c r="F536" s="151" t="s">
        <v>199</v>
      </c>
      <c r="G536" s="151"/>
      <c r="H536" s="150" t="s">
        <v>1015</v>
      </c>
      <c r="I536" s="150" t="s">
        <v>1016</v>
      </c>
      <c r="J536" s="152" t="s">
        <v>113</v>
      </c>
      <c r="K536" s="151"/>
      <c r="L536" s="151"/>
      <c r="M536" s="151"/>
      <c r="N536" s="151"/>
      <c r="O536" s="151"/>
      <c r="P536" s="151"/>
      <c r="Q536" s="150" t="s">
        <v>681</v>
      </c>
      <c r="R536" s="156"/>
      <c r="S536" s="156"/>
      <c r="T536" s="156"/>
      <c r="U536" s="156"/>
      <c r="V536" s="156"/>
      <c r="W536" s="156"/>
      <c r="X536" s="156"/>
      <c r="Y536" s="156"/>
    </row>
    <row r="537" spans="1:25" ht="79.95" customHeight="1" x14ac:dyDescent="0.3">
      <c r="A537" s="40">
        <v>533</v>
      </c>
      <c r="B537" s="182"/>
      <c r="C537" s="149" t="s">
        <v>285</v>
      </c>
      <c r="D537" s="150" t="s">
        <v>1017</v>
      </c>
      <c r="E537" s="150" t="s">
        <v>1018</v>
      </c>
      <c r="F537" s="187" t="s">
        <v>1019</v>
      </c>
      <c r="G537" s="188"/>
      <c r="H537" s="150" t="s">
        <v>1020</v>
      </c>
      <c r="I537" s="150" t="s">
        <v>1021</v>
      </c>
      <c r="J537" s="152" t="s">
        <v>113</v>
      </c>
      <c r="K537" s="188"/>
      <c r="L537" s="188"/>
      <c r="M537" s="188"/>
      <c r="N537" s="188"/>
      <c r="O537" s="188"/>
      <c r="P537" s="188"/>
      <c r="Q537" s="150" t="s">
        <v>681</v>
      </c>
      <c r="R537" s="156"/>
      <c r="S537" s="156"/>
      <c r="T537" s="156"/>
      <c r="U537" s="156"/>
      <c r="V537" s="156"/>
      <c r="W537" s="156"/>
      <c r="X537" s="156"/>
      <c r="Y537" s="156"/>
    </row>
    <row r="538" spans="1:25" ht="79.95" customHeight="1" x14ac:dyDescent="0.3">
      <c r="A538" s="40">
        <v>534</v>
      </c>
      <c r="B538" s="182"/>
      <c r="C538" s="149" t="s">
        <v>285</v>
      </c>
      <c r="D538" s="150" t="s">
        <v>1022</v>
      </c>
      <c r="E538" s="150" t="s">
        <v>1023</v>
      </c>
      <c r="F538" s="187" t="s">
        <v>1019</v>
      </c>
      <c r="G538" s="188"/>
      <c r="H538" s="150" t="s">
        <v>1024</v>
      </c>
      <c r="I538" s="150" t="s">
        <v>1025</v>
      </c>
      <c r="J538" s="152" t="s">
        <v>113</v>
      </c>
      <c r="K538" s="188"/>
      <c r="L538" s="188"/>
      <c r="M538" s="188"/>
      <c r="N538" s="188"/>
      <c r="O538" s="188"/>
      <c r="P538" s="188"/>
      <c r="Q538" s="150" t="s">
        <v>681</v>
      </c>
      <c r="R538" s="156"/>
      <c r="S538" s="156"/>
      <c r="T538" s="156"/>
      <c r="U538" s="156"/>
      <c r="V538" s="156"/>
      <c r="W538" s="156"/>
      <c r="X538" s="156"/>
      <c r="Y538" s="156"/>
    </row>
    <row r="539" spans="1:25" ht="79.95" customHeight="1" x14ac:dyDescent="0.3">
      <c r="A539" s="40">
        <v>535</v>
      </c>
      <c r="B539" s="182"/>
      <c r="C539" s="149" t="s">
        <v>285</v>
      </c>
      <c r="D539" s="150" t="s">
        <v>1022</v>
      </c>
      <c r="E539" s="150" t="s">
        <v>1023</v>
      </c>
      <c r="F539" s="187" t="s">
        <v>1019</v>
      </c>
      <c r="G539" s="188"/>
      <c r="H539" s="150" t="s">
        <v>1026</v>
      </c>
      <c r="I539" s="150" t="s">
        <v>1027</v>
      </c>
      <c r="J539" s="152" t="s">
        <v>113</v>
      </c>
      <c r="K539" s="188"/>
      <c r="L539" s="188"/>
      <c r="M539" s="188"/>
      <c r="N539" s="188"/>
      <c r="O539" s="188"/>
      <c r="P539" s="188"/>
      <c r="Q539" s="150" t="s">
        <v>681</v>
      </c>
      <c r="R539" s="156"/>
      <c r="S539" s="156"/>
      <c r="T539" s="156"/>
      <c r="U539" s="156"/>
      <c r="V539" s="156"/>
      <c r="W539" s="156"/>
      <c r="X539" s="156"/>
      <c r="Y539" s="156"/>
    </row>
    <row r="540" spans="1:25" ht="79.95" customHeight="1" x14ac:dyDescent="0.3">
      <c r="A540" s="40">
        <v>536</v>
      </c>
      <c r="B540" s="182"/>
      <c r="C540" s="149" t="s">
        <v>285</v>
      </c>
      <c r="D540" s="150" t="s">
        <v>1022</v>
      </c>
      <c r="E540" s="150" t="s">
        <v>1023</v>
      </c>
      <c r="F540" s="187" t="s">
        <v>1019</v>
      </c>
      <c r="G540" s="188"/>
      <c r="H540" s="150" t="s">
        <v>1028</v>
      </c>
      <c r="I540" s="150" t="s">
        <v>1029</v>
      </c>
      <c r="J540" s="152" t="s">
        <v>113</v>
      </c>
      <c r="K540" s="188"/>
      <c r="L540" s="188"/>
      <c r="M540" s="188"/>
      <c r="N540" s="188"/>
      <c r="O540" s="188"/>
      <c r="P540" s="188"/>
      <c r="Q540" s="150" t="s">
        <v>681</v>
      </c>
      <c r="R540" s="156"/>
      <c r="S540" s="156"/>
      <c r="T540" s="156"/>
      <c r="U540" s="156"/>
      <c r="V540" s="156"/>
      <c r="W540" s="156"/>
      <c r="X540" s="156"/>
      <c r="Y540" s="156"/>
    </row>
    <row r="541" spans="1:25" ht="79.95" customHeight="1" x14ac:dyDescent="0.3">
      <c r="A541" s="40">
        <v>537</v>
      </c>
      <c r="B541" s="182"/>
      <c r="C541" s="149" t="s">
        <v>285</v>
      </c>
      <c r="D541" s="150" t="s">
        <v>1022</v>
      </c>
      <c r="E541" s="150" t="s">
        <v>1023</v>
      </c>
      <c r="F541" s="187" t="s">
        <v>1019</v>
      </c>
      <c r="G541" s="188"/>
      <c r="H541" s="150" t="s">
        <v>1030</v>
      </c>
      <c r="I541" s="150" t="s">
        <v>1031</v>
      </c>
      <c r="J541" s="152" t="s">
        <v>113</v>
      </c>
      <c r="K541" s="188"/>
      <c r="L541" s="188"/>
      <c r="M541" s="188"/>
      <c r="N541" s="188"/>
      <c r="O541" s="188"/>
      <c r="P541" s="188"/>
      <c r="Q541" s="150" t="s">
        <v>681</v>
      </c>
      <c r="R541" s="156"/>
      <c r="S541" s="156"/>
      <c r="T541" s="156"/>
      <c r="U541" s="156"/>
      <c r="V541" s="156"/>
      <c r="W541" s="156"/>
      <c r="X541" s="156"/>
      <c r="Y541" s="156"/>
    </row>
    <row r="542" spans="1:25" ht="79.95" customHeight="1" x14ac:dyDescent="0.3">
      <c r="A542" s="40">
        <v>538</v>
      </c>
      <c r="B542" s="182"/>
      <c r="C542" s="149" t="s">
        <v>285</v>
      </c>
      <c r="D542" s="150" t="s">
        <v>1022</v>
      </c>
      <c r="E542" s="150" t="s">
        <v>1023</v>
      </c>
      <c r="F542" s="187" t="s">
        <v>1019</v>
      </c>
      <c r="G542" s="188"/>
      <c r="H542" s="150" t="s">
        <v>1032</v>
      </c>
      <c r="I542" s="150" t="s">
        <v>1033</v>
      </c>
      <c r="J542" s="152" t="s">
        <v>113</v>
      </c>
      <c r="K542" s="188"/>
      <c r="L542" s="188"/>
      <c r="M542" s="188"/>
      <c r="N542" s="188"/>
      <c r="O542" s="188"/>
      <c r="P542" s="188"/>
      <c r="Q542" s="150" t="s">
        <v>681</v>
      </c>
      <c r="R542" s="156"/>
      <c r="S542" s="156"/>
      <c r="T542" s="156"/>
      <c r="U542" s="156"/>
      <c r="V542" s="156"/>
      <c r="W542" s="156"/>
      <c r="X542" s="156"/>
      <c r="Y542" s="156"/>
    </row>
    <row r="543" spans="1:25" ht="79.95" customHeight="1" x14ac:dyDescent="0.3">
      <c r="A543" s="40">
        <v>539</v>
      </c>
      <c r="B543" s="182"/>
      <c r="C543" s="149" t="s">
        <v>285</v>
      </c>
      <c r="D543" s="150" t="s">
        <v>1022</v>
      </c>
      <c r="E543" s="150" t="s">
        <v>1023</v>
      </c>
      <c r="F543" s="187" t="s">
        <v>1019</v>
      </c>
      <c r="G543" s="188"/>
      <c r="H543" s="150" t="s">
        <v>1034</v>
      </c>
      <c r="I543" s="150" t="s">
        <v>1035</v>
      </c>
      <c r="J543" s="152" t="s">
        <v>113</v>
      </c>
      <c r="K543" s="188"/>
      <c r="L543" s="188"/>
      <c r="M543" s="188"/>
      <c r="N543" s="188"/>
      <c r="O543" s="188"/>
      <c r="P543" s="188"/>
      <c r="Q543" s="150" t="s">
        <v>681</v>
      </c>
      <c r="R543" s="156"/>
      <c r="S543" s="156"/>
      <c r="T543" s="156"/>
      <c r="U543" s="156"/>
      <c r="V543" s="156"/>
      <c r="W543" s="156"/>
      <c r="X543" s="156"/>
      <c r="Y543" s="156"/>
    </row>
    <row r="544" spans="1:25" ht="79.95" customHeight="1" x14ac:dyDescent="0.3">
      <c r="A544" s="40">
        <v>540</v>
      </c>
      <c r="B544" s="182"/>
      <c r="C544" s="149" t="s">
        <v>285</v>
      </c>
      <c r="D544" s="150" t="s">
        <v>784</v>
      </c>
      <c r="E544" s="150" t="s">
        <v>1036</v>
      </c>
      <c r="F544" s="187" t="s">
        <v>1019</v>
      </c>
      <c r="G544" s="188"/>
      <c r="H544" s="150" t="s">
        <v>1037</v>
      </c>
      <c r="I544" s="150" t="s">
        <v>1038</v>
      </c>
      <c r="J544" s="152" t="s">
        <v>113</v>
      </c>
      <c r="K544" s="188"/>
      <c r="L544" s="188"/>
      <c r="M544" s="188"/>
      <c r="N544" s="188"/>
      <c r="O544" s="188"/>
      <c r="P544" s="188"/>
      <c r="Q544" s="150" t="s">
        <v>681</v>
      </c>
      <c r="R544" s="156"/>
      <c r="S544" s="156"/>
      <c r="T544" s="156"/>
      <c r="U544" s="156"/>
      <c r="V544" s="156"/>
      <c r="W544" s="156"/>
      <c r="X544" s="156"/>
      <c r="Y544" s="156"/>
    </row>
    <row r="545" spans="1:25" ht="79.95" customHeight="1" x14ac:dyDescent="0.3">
      <c r="A545" s="40">
        <v>541</v>
      </c>
      <c r="B545" s="182"/>
      <c r="C545" s="149" t="s">
        <v>285</v>
      </c>
      <c r="D545" s="150" t="s">
        <v>784</v>
      </c>
      <c r="E545" s="150" t="s">
        <v>1036</v>
      </c>
      <c r="F545" s="187" t="s">
        <v>1019</v>
      </c>
      <c r="G545" s="151"/>
      <c r="H545" s="150" t="s">
        <v>1039</v>
      </c>
      <c r="I545" s="150" t="s">
        <v>1040</v>
      </c>
      <c r="J545" s="152" t="s">
        <v>113</v>
      </c>
      <c r="K545" s="188"/>
      <c r="L545" s="188"/>
      <c r="M545" s="188"/>
      <c r="N545" s="188"/>
      <c r="O545" s="188"/>
      <c r="P545" s="188"/>
      <c r="Q545" s="150" t="s">
        <v>681</v>
      </c>
      <c r="R545" s="156"/>
      <c r="S545" s="156"/>
      <c r="T545" s="156"/>
      <c r="U545" s="156"/>
      <c r="V545" s="156"/>
      <c r="W545" s="156"/>
      <c r="X545" s="156"/>
      <c r="Y545" s="156"/>
    </row>
    <row r="546" spans="1:25" ht="79.95" customHeight="1" x14ac:dyDescent="0.3">
      <c r="A546" s="40">
        <v>542</v>
      </c>
      <c r="B546" s="182"/>
      <c r="C546" s="149" t="s">
        <v>285</v>
      </c>
      <c r="D546" s="150" t="s">
        <v>784</v>
      </c>
      <c r="E546" s="150" t="s">
        <v>1036</v>
      </c>
      <c r="F546" s="187" t="s">
        <v>1019</v>
      </c>
      <c r="G546" s="151"/>
      <c r="H546" s="150" t="s">
        <v>1041</v>
      </c>
      <c r="I546" s="150" t="s">
        <v>1042</v>
      </c>
      <c r="J546" s="152" t="s">
        <v>113</v>
      </c>
      <c r="K546" s="188"/>
      <c r="L546" s="188"/>
      <c r="M546" s="188"/>
      <c r="N546" s="188"/>
      <c r="O546" s="188"/>
      <c r="P546" s="188"/>
      <c r="Q546" s="150" t="s">
        <v>681</v>
      </c>
      <c r="R546" s="156"/>
      <c r="S546" s="156"/>
      <c r="T546" s="156"/>
      <c r="U546" s="156"/>
      <c r="V546" s="156"/>
      <c r="W546" s="156"/>
      <c r="X546" s="156"/>
      <c r="Y546" s="156"/>
    </row>
    <row r="547" spans="1:25" ht="79.95" customHeight="1" x14ac:dyDescent="0.3">
      <c r="A547" s="40">
        <v>543</v>
      </c>
      <c r="B547" s="182"/>
      <c r="C547" s="149" t="s">
        <v>285</v>
      </c>
      <c r="D547" s="150" t="s">
        <v>784</v>
      </c>
      <c r="E547" s="150" t="s">
        <v>1036</v>
      </c>
      <c r="F547" s="187" t="s">
        <v>1019</v>
      </c>
      <c r="G547" s="151"/>
      <c r="H547" s="150" t="s">
        <v>1043</v>
      </c>
      <c r="I547" s="150" t="s">
        <v>1044</v>
      </c>
      <c r="J547" s="152" t="s">
        <v>113</v>
      </c>
      <c r="K547" s="188"/>
      <c r="L547" s="188"/>
      <c r="M547" s="188"/>
      <c r="N547" s="188"/>
      <c r="O547" s="188"/>
      <c r="P547" s="188"/>
      <c r="Q547" s="150" t="s">
        <v>681</v>
      </c>
      <c r="R547" s="156"/>
      <c r="S547" s="156"/>
      <c r="T547" s="156"/>
      <c r="U547" s="156"/>
      <c r="V547" s="156"/>
      <c r="W547" s="156"/>
      <c r="X547" s="156"/>
      <c r="Y547" s="156"/>
    </row>
    <row r="548" spans="1:25" ht="79.95" customHeight="1" x14ac:dyDescent="0.3">
      <c r="A548" s="40">
        <v>544</v>
      </c>
      <c r="B548" s="182"/>
      <c r="C548" s="149" t="s">
        <v>285</v>
      </c>
      <c r="D548" s="150" t="s">
        <v>784</v>
      </c>
      <c r="E548" s="150" t="s">
        <v>1036</v>
      </c>
      <c r="F548" s="187" t="s">
        <v>1019</v>
      </c>
      <c r="G548" s="151"/>
      <c r="H548" s="150" t="s">
        <v>1045</v>
      </c>
      <c r="I548" s="150" t="s">
        <v>1046</v>
      </c>
      <c r="J548" s="152" t="s">
        <v>113</v>
      </c>
      <c r="K548" s="188"/>
      <c r="L548" s="188"/>
      <c r="M548" s="188"/>
      <c r="N548" s="188"/>
      <c r="O548" s="188"/>
      <c r="P548" s="188"/>
      <c r="Q548" s="150" t="s">
        <v>681</v>
      </c>
      <c r="R548" s="156"/>
      <c r="S548" s="156"/>
      <c r="T548" s="156"/>
      <c r="U548" s="156"/>
      <c r="V548" s="156"/>
      <c r="W548" s="156"/>
      <c r="X548" s="156"/>
      <c r="Y548" s="156"/>
    </row>
    <row r="549" spans="1:25" ht="79.95" customHeight="1" x14ac:dyDescent="0.3">
      <c r="A549" s="40">
        <v>545</v>
      </c>
      <c r="B549" s="182"/>
      <c r="C549" s="149" t="s">
        <v>285</v>
      </c>
      <c r="D549" s="150" t="s">
        <v>784</v>
      </c>
      <c r="E549" s="150" t="s">
        <v>1036</v>
      </c>
      <c r="F549" s="187" t="s">
        <v>1019</v>
      </c>
      <c r="G549" s="151"/>
      <c r="H549" s="150" t="s">
        <v>1047</v>
      </c>
      <c r="I549" s="150" t="s">
        <v>1048</v>
      </c>
      <c r="J549" s="152" t="s">
        <v>113</v>
      </c>
      <c r="K549" s="188"/>
      <c r="L549" s="188"/>
      <c r="M549" s="188"/>
      <c r="N549" s="188"/>
      <c r="O549" s="188"/>
      <c r="P549" s="188"/>
      <c r="Q549" s="150" t="s">
        <v>681</v>
      </c>
      <c r="R549" s="156"/>
      <c r="S549" s="156"/>
      <c r="T549" s="156"/>
      <c r="U549" s="156"/>
      <c r="V549" s="156"/>
      <c r="W549" s="156"/>
      <c r="X549" s="156"/>
      <c r="Y549" s="156"/>
    </row>
    <row r="550" spans="1:25" ht="79.95" customHeight="1" x14ac:dyDescent="0.3">
      <c r="A550" s="40">
        <v>546</v>
      </c>
      <c r="B550" s="182"/>
      <c r="C550" s="149" t="s">
        <v>285</v>
      </c>
      <c r="D550" s="150" t="s">
        <v>784</v>
      </c>
      <c r="E550" s="150" t="s">
        <v>1036</v>
      </c>
      <c r="F550" s="187" t="s">
        <v>1019</v>
      </c>
      <c r="G550" s="151"/>
      <c r="H550" s="150" t="s">
        <v>1049</v>
      </c>
      <c r="I550" s="150" t="s">
        <v>1050</v>
      </c>
      <c r="J550" s="152" t="s">
        <v>113</v>
      </c>
      <c r="K550" s="188"/>
      <c r="L550" s="188"/>
      <c r="M550" s="188"/>
      <c r="N550" s="188"/>
      <c r="O550" s="188"/>
      <c r="P550" s="188"/>
      <c r="Q550" s="150" t="s">
        <v>681</v>
      </c>
      <c r="R550" s="156"/>
      <c r="S550" s="156"/>
      <c r="T550" s="156"/>
      <c r="U550" s="156"/>
      <c r="V550" s="156"/>
      <c r="W550" s="156"/>
      <c r="X550" s="156"/>
      <c r="Y550" s="156"/>
    </row>
    <row r="551" spans="1:25" ht="79.95" customHeight="1" x14ac:dyDescent="0.3">
      <c r="A551" s="40">
        <v>547</v>
      </c>
      <c r="B551" s="182"/>
      <c r="C551" s="149" t="s">
        <v>285</v>
      </c>
      <c r="D551" s="150" t="s">
        <v>1051</v>
      </c>
      <c r="E551" s="150" t="s">
        <v>1052</v>
      </c>
      <c r="F551" s="187" t="s">
        <v>1019</v>
      </c>
      <c r="G551" s="151"/>
      <c r="H551" s="150" t="s">
        <v>1053</v>
      </c>
      <c r="I551" s="150" t="s">
        <v>1054</v>
      </c>
      <c r="J551" s="152" t="s">
        <v>113</v>
      </c>
      <c r="K551" s="188"/>
      <c r="L551" s="188"/>
      <c r="M551" s="188"/>
      <c r="N551" s="188"/>
      <c r="O551" s="188"/>
      <c r="P551" s="188"/>
      <c r="Q551" s="150" t="s">
        <v>681</v>
      </c>
      <c r="R551" s="156"/>
      <c r="S551" s="156"/>
      <c r="T551" s="156"/>
      <c r="U551" s="156"/>
      <c r="V551" s="156"/>
      <c r="W551" s="156"/>
      <c r="X551" s="156"/>
      <c r="Y551" s="156"/>
    </row>
    <row r="552" spans="1:25" ht="79.95" customHeight="1" x14ac:dyDescent="0.3">
      <c r="A552" s="40">
        <v>548</v>
      </c>
      <c r="B552" s="182"/>
      <c r="C552" s="149" t="s">
        <v>285</v>
      </c>
      <c r="D552" s="150" t="s">
        <v>1055</v>
      </c>
      <c r="E552" s="150" t="s">
        <v>1056</v>
      </c>
      <c r="F552" s="187" t="s">
        <v>1057</v>
      </c>
      <c r="G552" s="151"/>
      <c r="H552" s="150" t="s">
        <v>1058</v>
      </c>
      <c r="I552" s="189" t="s">
        <v>1059</v>
      </c>
      <c r="J552" s="152" t="s">
        <v>113</v>
      </c>
      <c r="K552" s="188"/>
      <c r="L552" s="188"/>
      <c r="M552" s="188"/>
      <c r="N552" s="188"/>
      <c r="O552" s="188"/>
      <c r="P552" s="188"/>
      <c r="Q552" s="150" t="s">
        <v>681</v>
      </c>
      <c r="R552" s="156"/>
      <c r="S552" s="156"/>
      <c r="T552" s="156"/>
      <c r="U552" s="156"/>
      <c r="V552" s="156"/>
      <c r="W552" s="156"/>
      <c r="X552" s="156"/>
      <c r="Y552" s="156"/>
    </row>
    <row r="553" spans="1:25" ht="79.95" customHeight="1" x14ac:dyDescent="0.3">
      <c r="A553" s="40">
        <v>549</v>
      </c>
      <c r="B553" s="182"/>
      <c r="C553" s="149" t="s">
        <v>285</v>
      </c>
      <c r="D553" s="150" t="s">
        <v>1055</v>
      </c>
      <c r="E553" s="150" t="s">
        <v>1056</v>
      </c>
      <c r="F553" s="150" t="s">
        <v>1057</v>
      </c>
      <c r="G553" s="151"/>
      <c r="H553" s="150" t="s">
        <v>1060</v>
      </c>
      <c r="I553" s="190" t="s">
        <v>1061</v>
      </c>
      <c r="J553" s="152" t="s">
        <v>113</v>
      </c>
      <c r="K553" s="188"/>
      <c r="L553" s="188"/>
      <c r="M553" s="188"/>
      <c r="N553" s="188"/>
      <c r="O553" s="188"/>
      <c r="P553" s="188"/>
      <c r="Q553" s="150" t="s">
        <v>681</v>
      </c>
      <c r="R553" s="156"/>
      <c r="S553" s="156"/>
      <c r="T553" s="156"/>
      <c r="U553" s="156"/>
      <c r="V553" s="156"/>
      <c r="W553" s="156"/>
      <c r="X553" s="156"/>
      <c r="Y553" s="156"/>
    </row>
    <row r="554" spans="1:25" ht="79.95" customHeight="1" x14ac:dyDescent="0.3">
      <c r="A554" s="40">
        <v>550</v>
      </c>
      <c r="B554" s="182"/>
      <c r="C554" s="149" t="s">
        <v>285</v>
      </c>
      <c r="D554" s="150" t="s">
        <v>1055</v>
      </c>
      <c r="E554" s="150" t="s">
        <v>1056</v>
      </c>
      <c r="F554" s="150" t="s">
        <v>1057</v>
      </c>
      <c r="G554" s="188"/>
      <c r="H554" s="150" t="s">
        <v>1062</v>
      </c>
      <c r="I554" s="190" t="s">
        <v>1063</v>
      </c>
      <c r="J554" s="152" t="s">
        <v>113</v>
      </c>
      <c r="K554" s="188"/>
      <c r="L554" s="188"/>
      <c r="M554" s="188"/>
      <c r="N554" s="188"/>
      <c r="O554" s="188"/>
      <c r="P554" s="188"/>
      <c r="Q554" s="150" t="s">
        <v>681</v>
      </c>
      <c r="R554" s="156"/>
      <c r="S554" s="156"/>
      <c r="T554" s="156"/>
      <c r="U554" s="156"/>
      <c r="V554" s="156"/>
      <c r="W554" s="156"/>
      <c r="X554" s="156"/>
      <c r="Y554" s="156"/>
    </row>
    <row r="555" spans="1:25" ht="79.95" customHeight="1" x14ac:dyDescent="0.3">
      <c r="A555" s="40">
        <v>551</v>
      </c>
      <c r="B555" s="182"/>
      <c r="C555" s="149" t="s">
        <v>285</v>
      </c>
      <c r="D555" s="150" t="s">
        <v>1064</v>
      </c>
      <c r="E555" s="150" t="s">
        <v>1065</v>
      </c>
      <c r="F555" s="150" t="s">
        <v>1066</v>
      </c>
      <c r="G555" s="188"/>
      <c r="H555" s="150" t="s">
        <v>1067</v>
      </c>
      <c r="I555" s="190" t="s">
        <v>1068</v>
      </c>
      <c r="J555" s="152" t="s">
        <v>113</v>
      </c>
      <c r="K555" s="188"/>
      <c r="L555" s="188"/>
      <c r="M555" s="188"/>
      <c r="N555" s="188"/>
      <c r="O555" s="188"/>
      <c r="P555" s="188"/>
      <c r="Q555" s="150" t="s">
        <v>681</v>
      </c>
      <c r="R555" s="156"/>
      <c r="S555" s="156"/>
      <c r="T555" s="156"/>
      <c r="U555" s="156"/>
      <c r="V555" s="156"/>
      <c r="W555" s="156"/>
      <c r="X555" s="156"/>
      <c r="Y555" s="156"/>
    </row>
    <row r="556" spans="1:25" ht="79.95" customHeight="1" x14ac:dyDescent="0.3">
      <c r="A556" s="40">
        <v>552</v>
      </c>
      <c r="B556" s="149" t="s">
        <v>1069</v>
      </c>
      <c r="C556" s="149" t="s">
        <v>285</v>
      </c>
      <c r="D556" s="150" t="s">
        <v>1070</v>
      </c>
      <c r="E556" s="150" t="str">
        <f>E312</f>
        <v xml:space="preserve">Зотов Антон Андреевич
</v>
      </c>
      <c r="F556" s="150" t="s">
        <v>199</v>
      </c>
      <c r="G556" s="188"/>
      <c r="H556" s="150" t="str">
        <f>H312</f>
        <v>Триггеры/события</v>
      </c>
      <c r="I556" s="190" t="s">
        <v>1071</v>
      </c>
      <c r="J556" s="152" t="s">
        <v>113</v>
      </c>
      <c r="K556" s="150"/>
      <c r="L556" s="156"/>
      <c r="M556" s="156"/>
      <c r="N556" s="156"/>
      <c r="O556" s="156"/>
      <c r="P556" s="156"/>
      <c r="Q556" s="150" t="s">
        <v>681</v>
      </c>
      <c r="R556" s="156"/>
      <c r="S556" s="156"/>
      <c r="T556" s="191"/>
      <c r="U556" s="191"/>
      <c r="V556" s="191"/>
      <c r="W556" s="191"/>
      <c r="X556" s="191"/>
      <c r="Y556" s="191"/>
    </row>
    <row r="557" spans="1:25" ht="79.95" customHeight="1" x14ac:dyDescent="0.3">
      <c r="A557" s="40">
        <v>553</v>
      </c>
      <c r="B557" s="149" t="s">
        <v>1072</v>
      </c>
      <c r="C557" s="149" t="s">
        <v>285</v>
      </c>
      <c r="D557" s="178" t="s">
        <v>1096</v>
      </c>
      <c r="E557" s="178" t="s">
        <v>1211</v>
      </c>
      <c r="F557" s="178"/>
      <c r="G557" s="188"/>
      <c r="H557" s="178"/>
      <c r="I557" s="190" t="s">
        <v>1142</v>
      </c>
      <c r="J557" s="152"/>
      <c r="K557" s="178"/>
      <c r="L557" s="156"/>
      <c r="M557" s="156"/>
      <c r="N557" s="156"/>
      <c r="O557" s="156"/>
      <c r="P557" s="156"/>
      <c r="Q557" s="178" t="s">
        <v>1096</v>
      </c>
      <c r="R557" s="156"/>
      <c r="S557" s="156"/>
      <c r="T557" s="191"/>
      <c r="U557" s="191"/>
      <c r="V557" s="191"/>
      <c r="W557" s="191"/>
      <c r="X557" s="191"/>
      <c r="Y557" s="191"/>
    </row>
    <row r="558" spans="1:25" ht="79.95" customHeight="1" x14ac:dyDescent="0.3">
      <c r="A558" s="40">
        <v>554</v>
      </c>
      <c r="B558" s="149" t="s">
        <v>1073</v>
      </c>
      <c r="C558" s="149" t="s">
        <v>285</v>
      </c>
      <c r="D558" s="178" t="s">
        <v>1096</v>
      </c>
      <c r="E558" s="178" t="s">
        <v>1211</v>
      </c>
      <c r="F558" s="178"/>
      <c r="G558" s="188"/>
      <c r="H558" s="178"/>
      <c r="I558" s="190" t="s">
        <v>1143</v>
      </c>
      <c r="J558" s="152"/>
      <c r="K558" s="178"/>
      <c r="L558" s="156"/>
      <c r="M558" s="156"/>
      <c r="N558" s="156"/>
      <c r="O558" s="156"/>
      <c r="P558" s="156"/>
      <c r="Q558" s="178" t="s">
        <v>1096</v>
      </c>
      <c r="R558" s="156"/>
      <c r="S558" s="156"/>
      <c r="T558" s="191"/>
      <c r="U558" s="191"/>
      <c r="V558" s="191"/>
      <c r="W558" s="191"/>
      <c r="X558" s="191"/>
      <c r="Y558" s="191"/>
    </row>
    <row r="559" spans="1:25" ht="79.95" customHeight="1" x14ac:dyDescent="0.3">
      <c r="A559" s="40">
        <v>555</v>
      </c>
      <c r="B559" s="149" t="s">
        <v>1074</v>
      </c>
      <c r="C559" s="149" t="s">
        <v>285</v>
      </c>
      <c r="D559" s="178" t="s">
        <v>1096</v>
      </c>
      <c r="E559" s="178" t="s">
        <v>1211</v>
      </c>
      <c r="F559" s="178"/>
      <c r="G559" s="188"/>
      <c r="H559" s="178"/>
      <c r="I559" s="190" t="s">
        <v>1144</v>
      </c>
      <c r="J559" s="152"/>
      <c r="K559" s="178"/>
      <c r="L559" s="156"/>
      <c r="M559" s="156"/>
      <c r="N559" s="156"/>
      <c r="O559" s="156"/>
      <c r="P559" s="156"/>
      <c r="Q559" s="178" t="s">
        <v>1096</v>
      </c>
      <c r="R559" s="156"/>
      <c r="S559" s="156"/>
      <c r="T559" s="191"/>
      <c r="U559" s="191"/>
      <c r="V559" s="191"/>
      <c r="W559" s="191"/>
      <c r="X559" s="191"/>
      <c r="Y559" s="191"/>
    </row>
    <row r="560" spans="1:25" ht="79.95" customHeight="1" x14ac:dyDescent="0.3">
      <c r="A560" s="40">
        <v>556</v>
      </c>
      <c r="B560" s="149" t="s">
        <v>1075</v>
      </c>
      <c r="C560" s="149" t="s">
        <v>285</v>
      </c>
      <c r="D560" s="178" t="s">
        <v>1096</v>
      </c>
      <c r="E560" s="178" t="s">
        <v>1211</v>
      </c>
      <c r="F560" s="178"/>
      <c r="G560" s="188"/>
      <c r="H560" s="178"/>
      <c r="I560" s="190" t="s">
        <v>1145</v>
      </c>
      <c r="J560" s="152"/>
      <c r="K560" s="178"/>
      <c r="L560" s="156"/>
      <c r="M560" s="156"/>
      <c r="N560" s="156"/>
      <c r="O560" s="156"/>
      <c r="P560" s="156"/>
      <c r="Q560" s="178" t="s">
        <v>1096</v>
      </c>
      <c r="R560" s="156"/>
      <c r="S560" s="156"/>
      <c r="T560" s="191"/>
      <c r="U560" s="191"/>
      <c r="V560" s="191"/>
      <c r="W560" s="191"/>
      <c r="X560" s="191"/>
      <c r="Y560" s="191"/>
    </row>
    <row r="561" spans="1:25" ht="79.95" customHeight="1" x14ac:dyDescent="0.3">
      <c r="A561" s="40">
        <v>557</v>
      </c>
      <c r="B561" s="149" t="s">
        <v>1076</v>
      </c>
      <c r="C561" s="149" t="s">
        <v>285</v>
      </c>
      <c r="D561" s="178" t="s">
        <v>1096</v>
      </c>
      <c r="E561" s="178" t="s">
        <v>1211</v>
      </c>
      <c r="F561" s="178"/>
      <c r="G561" s="188"/>
      <c r="H561" s="178"/>
      <c r="I561" s="190" t="s">
        <v>1146</v>
      </c>
      <c r="J561" s="152"/>
      <c r="K561" s="178"/>
      <c r="L561" s="156"/>
      <c r="M561" s="156"/>
      <c r="N561" s="156"/>
      <c r="O561" s="156"/>
      <c r="P561" s="156"/>
      <c r="Q561" s="178" t="s">
        <v>1096</v>
      </c>
      <c r="R561" s="156"/>
      <c r="S561" s="156"/>
      <c r="T561" s="191"/>
      <c r="U561" s="191"/>
      <c r="V561" s="191"/>
      <c r="W561" s="191"/>
      <c r="X561" s="191"/>
      <c r="Y561" s="191"/>
    </row>
    <row r="562" spans="1:25" ht="79.95" customHeight="1" x14ac:dyDescent="0.3">
      <c r="A562" s="40">
        <v>558</v>
      </c>
      <c r="B562" s="149" t="s">
        <v>1077</v>
      </c>
      <c r="C562" s="149" t="s">
        <v>285</v>
      </c>
      <c r="D562" s="178" t="s">
        <v>1096</v>
      </c>
      <c r="E562" s="178" t="s">
        <v>1211</v>
      </c>
      <c r="F562" s="178"/>
      <c r="G562" s="188"/>
      <c r="H562" s="178"/>
      <c r="I562" s="190" t="s">
        <v>1147</v>
      </c>
      <c r="J562" s="152"/>
      <c r="K562" s="178"/>
      <c r="L562" s="156"/>
      <c r="M562" s="156"/>
      <c r="N562" s="156"/>
      <c r="O562" s="156"/>
      <c r="P562" s="156"/>
      <c r="Q562" s="178" t="s">
        <v>1096</v>
      </c>
      <c r="R562" s="156"/>
      <c r="S562" s="156"/>
      <c r="T562" s="191"/>
      <c r="U562" s="191"/>
      <c r="V562" s="191"/>
      <c r="W562" s="191"/>
      <c r="X562" s="191"/>
      <c r="Y562" s="191"/>
    </row>
    <row r="563" spans="1:25" ht="79.95" customHeight="1" x14ac:dyDescent="0.3">
      <c r="A563" s="40">
        <v>559</v>
      </c>
      <c r="B563" s="149" t="s">
        <v>1078</v>
      </c>
      <c r="C563" s="149" t="s">
        <v>285</v>
      </c>
      <c r="D563" s="178" t="s">
        <v>1096</v>
      </c>
      <c r="E563" s="178" t="s">
        <v>1211</v>
      </c>
      <c r="F563" s="178"/>
      <c r="G563" s="188"/>
      <c r="H563" s="178"/>
      <c r="I563" s="190" t="s">
        <v>1148</v>
      </c>
      <c r="J563" s="152"/>
      <c r="K563" s="178"/>
      <c r="L563" s="156"/>
      <c r="M563" s="156"/>
      <c r="N563" s="156"/>
      <c r="O563" s="156"/>
      <c r="P563" s="156"/>
      <c r="Q563" s="178" t="s">
        <v>1096</v>
      </c>
      <c r="R563" s="156"/>
      <c r="S563" s="156"/>
      <c r="T563" s="191"/>
      <c r="U563" s="191"/>
      <c r="V563" s="191"/>
      <c r="W563" s="191"/>
      <c r="X563" s="191"/>
      <c r="Y563" s="191"/>
    </row>
    <row r="564" spans="1:25" ht="79.95" customHeight="1" x14ac:dyDescent="0.3">
      <c r="A564" s="40">
        <v>560</v>
      </c>
      <c r="B564" s="149" t="s">
        <v>1078</v>
      </c>
      <c r="C564" s="149" t="s">
        <v>285</v>
      </c>
      <c r="D564" s="178" t="s">
        <v>1096</v>
      </c>
      <c r="E564" s="178" t="s">
        <v>1211</v>
      </c>
      <c r="F564" s="178"/>
      <c r="G564" s="188"/>
      <c r="H564" s="178"/>
      <c r="I564" s="190" t="s">
        <v>1149</v>
      </c>
      <c r="J564" s="152"/>
      <c r="K564" s="178"/>
      <c r="L564" s="156"/>
      <c r="M564" s="156"/>
      <c r="N564" s="156"/>
      <c r="O564" s="156"/>
      <c r="P564" s="156"/>
      <c r="Q564" s="178" t="s">
        <v>1096</v>
      </c>
      <c r="R564" s="156"/>
      <c r="S564" s="156"/>
      <c r="T564" s="191"/>
      <c r="U564" s="191"/>
      <c r="V564" s="191"/>
      <c r="W564" s="191"/>
      <c r="X564" s="191"/>
      <c r="Y564" s="191"/>
    </row>
    <row r="565" spans="1:25" ht="79.95" customHeight="1" x14ac:dyDescent="0.3">
      <c r="A565" s="40">
        <v>561</v>
      </c>
      <c r="B565" s="149" t="s">
        <v>1078</v>
      </c>
      <c r="C565" s="149" t="s">
        <v>285</v>
      </c>
      <c r="D565" s="178" t="s">
        <v>1096</v>
      </c>
      <c r="E565" s="178" t="s">
        <v>1211</v>
      </c>
      <c r="F565" s="178"/>
      <c r="G565" s="188"/>
      <c r="H565" s="178"/>
      <c r="I565" s="190" t="s">
        <v>1150</v>
      </c>
      <c r="J565" s="152"/>
      <c r="K565" s="178"/>
      <c r="L565" s="156"/>
      <c r="M565" s="156"/>
      <c r="N565" s="156"/>
      <c r="O565" s="156"/>
      <c r="P565" s="156"/>
      <c r="Q565" s="178" t="s">
        <v>1096</v>
      </c>
      <c r="R565" s="156"/>
      <c r="S565" s="156"/>
      <c r="T565" s="191"/>
      <c r="U565" s="191"/>
      <c r="V565" s="191"/>
      <c r="W565" s="191"/>
      <c r="X565" s="191"/>
      <c r="Y565" s="191"/>
    </row>
    <row r="566" spans="1:25" ht="79.95" customHeight="1" x14ac:dyDescent="0.3">
      <c r="A566" s="40">
        <v>562</v>
      </c>
      <c r="B566" s="149" t="s">
        <v>1078</v>
      </c>
      <c r="C566" s="149" t="s">
        <v>285</v>
      </c>
      <c r="D566" s="178" t="s">
        <v>1096</v>
      </c>
      <c r="E566" s="178" t="s">
        <v>1211</v>
      </c>
      <c r="F566" s="178"/>
      <c r="G566" s="188"/>
      <c r="H566" s="178"/>
      <c r="I566" s="190" t="s">
        <v>1151</v>
      </c>
      <c r="J566" s="152"/>
      <c r="K566" s="178"/>
      <c r="L566" s="156"/>
      <c r="M566" s="156"/>
      <c r="N566" s="156"/>
      <c r="O566" s="156"/>
      <c r="P566" s="156"/>
      <c r="Q566" s="178" t="s">
        <v>1096</v>
      </c>
      <c r="R566" s="156"/>
      <c r="S566" s="156"/>
      <c r="T566" s="191"/>
      <c r="U566" s="191"/>
      <c r="V566" s="191"/>
      <c r="W566" s="191"/>
      <c r="X566" s="191"/>
      <c r="Y566" s="191"/>
    </row>
    <row r="567" spans="1:25" ht="409.6" x14ac:dyDescent="0.3">
      <c r="A567" s="40">
        <v>563</v>
      </c>
      <c r="B567" s="149" t="s">
        <v>1078</v>
      </c>
      <c r="C567" s="149" t="s">
        <v>285</v>
      </c>
      <c r="D567" s="178" t="s">
        <v>1096</v>
      </c>
      <c r="E567" s="178" t="s">
        <v>1211</v>
      </c>
      <c r="F567" s="178"/>
      <c r="G567" s="188"/>
      <c r="H567" s="178"/>
      <c r="I567" s="190" t="s">
        <v>1152</v>
      </c>
      <c r="J567" s="152"/>
      <c r="K567" s="178"/>
      <c r="L567" s="156"/>
      <c r="M567" s="156"/>
      <c r="N567" s="156"/>
      <c r="O567" s="156"/>
      <c r="P567" s="156"/>
      <c r="Q567" s="178" t="s">
        <v>1096</v>
      </c>
      <c r="R567" s="156"/>
      <c r="S567" s="156"/>
      <c r="T567" s="191"/>
      <c r="U567" s="191"/>
      <c r="V567" s="191"/>
      <c r="W567" s="191"/>
      <c r="X567" s="191"/>
      <c r="Y567" s="191"/>
    </row>
    <row r="568" spans="1:25" ht="79.95" customHeight="1" x14ac:dyDescent="0.3">
      <c r="A568" s="40">
        <v>564</v>
      </c>
      <c r="B568" s="149" t="s">
        <v>1079</v>
      </c>
      <c r="C568" s="149" t="s">
        <v>285</v>
      </c>
      <c r="D568" s="178" t="s">
        <v>1096</v>
      </c>
      <c r="E568" s="178" t="s">
        <v>1211</v>
      </c>
      <c r="F568" s="178"/>
      <c r="G568" s="188"/>
      <c r="H568" s="178"/>
      <c r="I568" s="190" t="s">
        <v>1153</v>
      </c>
      <c r="J568" s="152"/>
      <c r="K568" s="178"/>
      <c r="L568" s="156"/>
      <c r="M568" s="156"/>
      <c r="N568" s="156"/>
      <c r="O568" s="156"/>
      <c r="P568" s="156"/>
      <c r="Q568" s="178" t="s">
        <v>1096</v>
      </c>
      <c r="R568" s="156"/>
      <c r="S568" s="156"/>
      <c r="T568" s="191"/>
      <c r="U568" s="191"/>
      <c r="V568" s="191"/>
      <c r="W568" s="191"/>
      <c r="X568" s="191"/>
      <c r="Y568" s="191"/>
    </row>
    <row r="569" spans="1:25" ht="79.95" customHeight="1" x14ac:dyDescent="0.3">
      <c r="A569" s="40">
        <v>565</v>
      </c>
      <c r="B569" s="149" t="s">
        <v>1080</v>
      </c>
      <c r="C569" s="149" t="s">
        <v>285</v>
      </c>
      <c r="D569" s="178" t="s">
        <v>1096</v>
      </c>
      <c r="E569" s="178" t="s">
        <v>1211</v>
      </c>
      <c r="F569" s="178"/>
      <c r="G569" s="188"/>
      <c r="H569" s="178"/>
      <c r="I569" s="190" t="s">
        <v>1154</v>
      </c>
      <c r="J569" s="152"/>
      <c r="K569" s="178"/>
      <c r="L569" s="156"/>
      <c r="M569" s="156"/>
      <c r="N569" s="156"/>
      <c r="O569" s="156"/>
      <c r="P569" s="156"/>
      <c r="Q569" s="178" t="s">
        <v>1096</v>
      </c>
      <c r="R569" s="156"/>
      <c r="S569" s="156"/>
      <c r="T569" s="191"/>
      <c r="U569" s="191"/>
      <c r="V569" s="191"/>
      <c r="W569" s="191"/>
      <c r="X569" s="191"/>
      <c r="Y569" s="191"/>
    </row>
    <row r="570" spans="1:25" ht="79.95" customHeight="1" x14ac:dyDescent="0.3">
      <c r="A570" s="40">
        <v>566</v>
      </c>
      <c r="B570" s="149" t="s">
        <v>1081</v>
      </c>
      <c r="C570" s="149" t="s">
        <v>285</v>
      </c>
      <c r="D570" s="178" t="s">
        <v>1096</v>
      </c>
      <c r="E570" s="178" t="s">
        <v>1211</v>
      </c>
      <c r="F570" s="178"/>
      <c r="G570" s="188"/>
      <c r="H570" s="178"/>
      <c r="I570" s="190" t="s">
        <v>1155</v>
      </c>
      <c r="J570" s="152"/>
      <c r="K570" s="178"/>
      <c r="L570" s="156"/>
      <c r="M570" s="156"/>
      <c r="N570" s="156"/>
      <c r="O570" s="156"/>
      <c r="P570" s="156"/>
      <c r="Q570" s="178" t="s">
        <v>1096</v>
      </c>
      <c r="R570" s="156"/>
      <c r="S570" s="156"/>
      <c r="T570" s="191"/>
      <c r="U570" s="191"/>
      <c r="V570" s="191"/>
      <c r="W570" s="191"/>
      <c r="X570" s="191"/>
      <c r="Y570" s="191"/>
    </row>
    <row r="571" spans="1:25" ht="79.95" customHeight="1" x14ac:dyDescent="0.3">
      <c r="A571" s="40">
        <v>567</v>
      </c>
      <c r="B571" s="149" t="s">
        <v>1075</v>
      </c>
      <c r="C571" s="149" t="s">
        <v>285</v>
      </c>
      <c r="D571" s="178" t="s">
        <v>1096</v>
      </c>
      <c r="E571" s="178" t="s">
        <v>1211</v>
      </c>
      <c r="F571" s="178"/>
      <c r="G571" s="188"/>
      <c r="H571" s="178"/>
      <c r="I571" s="190" t="s">
        <v>1156</v>
      </c>
      <c r="J571" s="152"/>
      <c r="K571" s="178"/>
      <c r="L571" s="156"/>
      <c r="M571" s="156"/>
      <c r="N571" s="156"/>
      <c r="O571" s="156"/>
      <c r="P571" s="156"/>
      <c r="Q571" s="178" t="s">
        <v>1096</v>
      </c>
      <c r="R571" s="156"/>
      <c r="S571" s="156"/>
      <c r="T571" s="191"/>
      <c r="U571" s="191"/>
      <c r="V571" s="191"/>
      <c r="W571" s="191"/>
      <c r="X571" s="191"/>
      <c r="Y571" s="191"/>
    </row>
    <row r="572" spans="1:25" ht="79.95" customHeight="1" x14ac:dyDescent="0.3">
      <c r="A572" s="40">
        <v>568</v>
      </c>
      <c r="B572" s="149" t="s">
        <v>1082</v>
      </c>
      <c r="C572" s="149" t="s">
        <v>285</v>
      </c>
      <c r="D572" s="178" t="s">
        <v>1096</v>
      </c>
      <c r="E572" s="178" t="s">
        <v>1211</v>
      </c>
      <c r="F572" s="178"/>
      <c r="G572" s="188"/>
      <c r="H572" s="178"/>
      <c r="I572" s="190" t="s">
        <v>1157</v>
      </c>
      <c r="J572" s="152"/>
      <c r="K572" s="178"/>
      <c r="L572" s="156"/>
      <c r="M572" s="156"/>
      <c r="N572" s="156"/>
      <c r="O572" s="156"/>
      <c r="P572" s="156"/>
      <c r="Q572" s="178" t="s">
        <v>1096</v>
      </c>
      <c r="R572" s="156"/>
      <c r="S572" s="156"/>
      <c r="T572" s="191"/>
      <c r="U572" s="191"/>
      <c r="V572" s="191"/>
      <c r="W572" s="191"/>
      <c r="X572" s="191"/>
      <c r="Y572" s="191"/>
    </row>
    <row r="573" spans="1:25" ht="79.95" customHeight="1" x14ac:dyDescent="0.3">
      <c r="A573" s="40">
        <v>569</v>
      </c>
      <c r="B573" s="149" t="s">
        <v>1083</v>
      </c>
      <c r="C573" s="149" t="s">
        <v>285</v>
      </c>
      <c r="D573" s="178" t="s">
        <v>1096</v>
      </c>
      <c r="E573" s="178" t="s">
        <v>1211</v>
      </c>
      <c r="F573" s="178"/>
      <c r="G573" s="188"/>
      <c r="H573" s="178"/>
      <c r="I573" s="190" t="s">
        <v>1158</v>
      </c>
      <c r="J573" s="152"/>
      <c r="K573" s="178"/>
      <c r="L573" s="156"/>
      <c r="M573" s="156"/>
      <c r="N573" s="156"/>
      <c r="O573" s="156"/>
      <c r="P573" s="156"/>
      <c r="Q573" s="178" t="s">
        <v>1096</v>
      </c>
      <c r="R573" s="156"/>
      <c r="S573" s="156"/>
      <c r="T573" s="191"/>
      <c r="U573" s="191"/>
      <c r="V573" s="191"/>
      <c r="W573" s="191"/>
      <c r="X573" s="191"/>
      <c r="Y573" s="191"/>
    </row>
    <row r="574" spans="1:25" ht="79.95" customHeight="1" x14ac:dyDescent="0.3">
      <c r="A574" s="40">
        <v>570</v>
      </c>
      <c r="B574" s="149" t="s">
        <v>1084</v>
      </c>
      <c r="C574" s="149" t="s">
        <v>285</v>
      </c>
      <c r="D574" s="178" t="s">
        <v>1096</v>
      </c>
      <c r="E574" s="178" t="s">
        <v>1211</v>
      </c>
      <c r="F574" s="178"/>
      <c r="G574" s="188"/>
      <c r="H574" s="178"/>
      <c r="I574" s="190" t="s">
        <v>1159</v>
      </c>
      <c r="J574" s="152"/>
      <c r="K574" s="178"/>
      <c r="L574" s="156"/>
      <c r="M574" s="156"/>
      <c r="N574" s="156"/>
      <c r="O574" s="156"/>
      <c r="P574" s="156"/>
      <c r="Q574" s="178" t="s">
        <v>1096</v>
      </c>
      <c r="R574" s="156"/>
      <c r="S574" s="156"/>
      <c r="T574" s="191"/>
      <c r="U574" s="191"/>
      <c r="V574" s="191"/>
      <c r="W574" s="191"/>
      <c r="X574" s="191"/>
      <c r="Y574" s="191"/>
    </row>
    <row r="575" spans="1:25" ht="79.95" customHeight="1" x14ac:dyDescent="0.3">
      <c r="A575" s="40">
        <v>571</v>
      </c>
      <c r="B575" s="149" t="s">
        <v>1085</v>
      </c>
      <c r="C575" s="149" t="s">
        <v>285</v>
      </c>
      <c r="D575" s="178" t="s">
        <v>1096</v>
      </c>
      <c r="E575" s="178" t="s">
        <v>1211</v>
      </c>
      <c r="F575" s="178"/>
      <c r="G575" s="188"/>
      <c r="H575" s="178"/>
      <c r="I575" s="190" t="s">
        <v>1160</v>
      </c>
      <c r="J575" s="152"/>
      <c r="K575" s="178"/>
      <c r="L575" s="156"/>
      <c r="M575" s="156"/>
      <c r="N575" s="156"/>
      <c r="O575" s="156"/>
      <c r="P575" s="156"/>
      <c r="Q575" s="178" t="s">
        <v>1096</v>
      </c>
      <c r="R575" s="156"/>
      <c r="S575" s="156"/>
      <c r="T575" s="191"/>
      <c r="U575" s="191"/>
      <c r="V575" s="191"/>
      <c r="W575" s="191"/>
      <c r="X575" s="191"/>
      <c r="Y575" s="191"/>
    </row>
    <row r="576" spans="1:25" ht="79.95" customHeight="1" x14ac:dyDescent="0.3">
      <c r="A576" s="40">
        <v>572</v>
      </c>
      <c r="B576" s="149" t="s">
        <v>1086</v>
      </c>
      <c r="C576" s="149" t="s">
        <v>285</v>
      </c>
      <c r="D576" s="178" t="s">
        <v>1096</v>
      </c>
      <c r="E576" s="178" t="s">
        <v>1211</v>
      </c>
      <c r="F576" s="178"/>
      <c r="G576" s="188"/>
      <c r="H576" s="178"/>
      <c r="I576" s="190" t="s">
        <v>1161</v>
      </c>
      <c r="J576" s="152"/>
      <c r="K576" s="178"/>
      <c r="L576" s="156"/>
      <c r="M576" s="156"/>
      <c r="N576" s="156"/>
      <c r="O576" s="156"/>
      <c r="P576" s="156"/>
      <c r="Q576" s="178" t="s">
        <v>1096</v>
      </c>
      <c r="R576" s="156"/>
      <c r="S576" s="156"/>
      <c r="T576" s="191"/>
      <c r="U576" s="191"/>
      <c r="V576" s="191"/>
      <c r="W576" s="191"/>
      <c r="X576" s="191"/>
      <c r="Y576" s="191"/>
    </row>
    <row r="577" spans="1:25" ht="79.95" customHeight="1" x14ac:dyDescent="0.3">
      <c r="A577" s="40">
        <v>573</v>
      </c>
      <c r="B577" s="149" t="s">
        <v>1087</v>
      </c>
      <c r="C577" s="149" t="s">
        <v>285</v>
      </c>
      <c r="D577" s="178" t="s">
        <v>1096</v>
      </c>
      <c r="E577" s="178" t="s">
        <v>1211</v>
      </c>
      <c r="F577" s="178"/>
      <c r="G577" s="188"/>
      <c r="H577" s="178" t="s">
        <v>1097</v>
      </c>
      <c r="I577" s="190" t="s">
        <v>1162</v>
      </c>
      <c r="J577" s="152"/>
      <c r="K577" s="178"/>
      <c r="L577" s="156"/>
      <c r="M577" s="156"/>
      <c r="N577" s="156"/>
      <c r="O577" s="156"/>
      <c r="P577" s="156"/>
      <c r="Q577" s="178" t="s">
        <v>1096</v>
      </c>
      <c r="R577" s="156"/>
      <c r="S577" s="156"/>
      <c r="T577" s="191"/>
      <c r="U577" s="191"/>
      <c r="V577" s="191"/>
      <c r="W577" s="191"/>
      <c r="X577" s="191"/>
      <c r="Y577" s="191"/>
    </row>
    <row r="578" spans="1:25" ht="79.95" customHeight="1" x14ac:dyDescent="0.3">
      <c r="A578" s="40">
        <v>574</v>
      </c>
      <c r="B578" s="149" t="s">
        <v>1087</v>
      </c>
      <c r="C578" s="149" t="s">
        <v>285</v>
      </c>
      <c r="D578" s="178" t="s">
        <v>1096</v>
      </c>
      <c r="E578" s="178" t="s">
        <v>1211</v>
      </c>
      <c r="F578" s="178"/>
      <c r="G578" s="188"/>
      <c r="H578" s="178" t="s">
        <v>1098</v>
      </c>
      <c r="I578" s="190" t="s">
        <v>1163</v>
      </c>
      <c r="J578" s="152"/>
      <c r="K578" s="178"/>
      <c r="L578" s="156"/>
      <c r="M578" s="156"/>
      <c r="N578" s="156"/>
      <c r="O578" s="156"/>
      <c r="P578" s="156"/>
      <c r="Q578" s="178" t="s">
        <v>1096</v>
      </c>
      <c r="R578" s="156"/>
      <c r="S578" s="156"/>
      <c r="T578" s="191"/>
      <c r="U578" s="191"/>
      <c r="V578" s="191"/>
      <c r="W578" s="191"/>
      <c r="X578" s="191"/>
      <c r="Y578" s="191"/>
    </row>
    <row r="579" spans="1:25" ht="79.95" customHeight="1" x14ac:dyDescent="0.3">
      <c r="A579" s="40">
        <v>575</v>
      </c>
      <c r="B579" s="149" t="s">
        <v>1087</v>
      </c>
      <c r="C579" s="149" t="s">
        <v>285</v>
      </c>
      <c r="D579" s="178" t="s">
        <v>1096</v>
      </c>
      <c r="E579" s="178" t="s">
        <v>1211</v>
      </c>
      <c r="F579" s="178"/>
      <c r="G579" s="188"/>
      <c r="H579" s="178" t="s">
        <v>1099</v>
      </c>
      <c r="I579" s="190" t="s">
        <v>1164</v>
      </c>
      <c r="J579" s="152"/>
      <c r="K579" s="178"/>
      <c r="L579" s="156"/>
      <c r="M579" s="156"/>
      <c r="N579" s="156"/>
      <c r="O579" s="156"/>
      <c r="P579" s="156"/>
      <c r="Q579" s="178" t="s">
        <v>1096</v>
      </c>
      <c r="R579" s="156"/>
      <c r="S579" s="156"/>
      <c r="T579" s="191"/>
      <c r="U579" s="191"/>
      <c r="V579" s="191"/>
      <c r="W579" s="191"/>
      <c r="X579" s="191"/>
      <c r="Y579" s="191"/>
    </row>
    <row r="580" spans="1:25" ht="69" x14ac:dyDescent="0.3">
      <c r="A580" s="40">
        <v>576</v>
      </c>
      <c r="B580" s="149" t="s">
        <v>1087</v>
      </c>
      <c r="C580" s="149" t="s">
        <v>285</v>
      </c>
      <c r="D580" s="178" t="s">
        <v>1096</v>
      </c>
      <c r="E580" s="178" t="s">
        <v>1211</v>
      </c>
      <c r="F580" s="178"/>
      <c r="G580" s="188"/>
      <c r="H580" s="178" t="s">
        <v>1100</v>
      </c>
      <c r="I580" s="190" t="s">
        <v>1165</v>
      </c>
      <c r="J580" s="152"/>
      <c r="K580" s="178"/>
      <c r="L580" s="156"/>
      <c r="M580" s="156"/>
      <c r="N580" s="156"/>
      <c r="O580" s="156"/>
      <c r="P580" s="156"/>
      <c r="Q580" s="178" t="s">
        <v>1096</v>
      </c>
      <c r="R580" s="156"/>
      <c r="S580" s="156"/>
      <c r="T580" s="191"/>
      <c r="U580" s="191"/>
      <c r="V580" s="191"/>
      <c r="W580" s="191"/>
      <c r="X580" s="191"/>
      <c r="Y580" s="191"/>
    </row>
    <row r="581" spans="1:25" ht="41.4" x14ac:dyDescent="0.3">
      <c r="A581" s="40">
        <v>577</v>
      </c>
      <c r="B581" s="149" t="s">
        <v>1087</v>
      </c>
      <c r="C581" s="149" t="s">
        <v>285</v>
      </c>
      <c r="D581" s="178" t="s">
        <v>1096</v>
      </c>
      <c r="E581" s="178" t="s">
        <v>1211</v>
      </c>
      <c r="F581" s="178"/>
      <c r="G581" s="188"/>
      <c r="H581" s="178" t="s">
        <v>1101</v>
      </c>
      <c r="I581" s="190" t="s">
        <v>1166</v>
      </c>
      <c r="J581" s="152"/>
      <c r="K581" s="178"/>
      <c r="L581" s="156"/>
      <c r="M581" s="156"/>
      <c r="N581" s="156"/>
      <c r="O581" s="156"/>
      <c r="P581" s="156"/>
      <c r="Q581" s="178" t="s">
        <v>1096</v>
      </c>
      <c r="R581" s="156"/>
      <c r="S581" s="156"/>
      <c r="T581" s="191"/>
      <c r="U581" s="191"/>
      <c r="V581" s="191"/>
      <c r="W581" s="191"/>
      <c r="X581" s="191"/>
      <c r="Y581" s="191"/>
    </row>
    <row r="582" spans="1:25" ht="41.4" x14ac:dyDescent="0.3">
      <c r="A582" s="40">
        <v>578</v>
      </c>
      <c r="B582" s="149" t="s">
        <v>1087</v>
      </c>
      <c r="C582" s="149" t="s">
        <v>285</v>
      </c>
      <c r="D582" s="178" t="s">
        <v>1096</v>
      </c>
      <c r="E582" s="178" t="s">
        <v>1211</v>
      </c>
      <c r="F582" s="178"/>
      <c r="G582" s="188"/>
      <c r="H582" s="178" t="s">
        <v>1102</v>
      </c>
      <c r="I582" s="190" t="s">
        <v>1167</v>
      </c>
      <c r="J582" s="152"/>
      <c r="K582" s="178"/>
      <c r="L582" s="156"/>
      <c r="M582" s="156"/>
      <c r="N582" s="156"/>
      <c r="O582" s="156"/>
      <c r="P582" s="156"/>
      <c r="Q582" s="178" t="s">
        <v>1096</v>
      </c>
      <c r="R582" s="156"/>
      <c r="S582" s="156"/>
      <c r="T582" s="191"/>
      <c r="U582" s="191"/>
      <c r="V582" s="191"/>
      <c r="W582" s="191"/>
      <c r="X582" s="191"/>
      <c r="Y582" s="191"/>
    </row>
    <row r="583" spans="1:25" ht="55.2" x14ac:dyDescent="0.3">
      <c r="A583" s="40">
        <v>579</v>
      </c>
      <c r="B583" s="149" t="s">
        <v>1087</v>
      </c>
      <c r="C583" s="149" t="s">
        <v>285</v>
      </c>
      <c r="D583" s="178" t="s">
        <v>1096</v>
      </c>
      <c r="E583" s="178" t="s">
        <v>1211</v>
      </c>
      <c r="F583" s="178"/>
      <c r="G583" s="188"/>
      <c r="H583" s="178" t="s">
        <v>1103</v>
      </c>
      <c r="I583" s="190" t="s">
        <v>1168</v>
      </c>
      <c r="J583" s="152"/>
      <c r="K583" s="178"/>
      <c r="L583" s="156"/>
      <c r="M583" s="156"/>
      <c r="N583" s="156"/>
      <c r="O583" s="156"/>
      <c r="P583" s="156"/>
      <c r="Q583" s="178" t="s">
        <v>1096</v>
      </c>
      <c r="R583" s="156"/>
      <c r="S583" s="156"/>
      <c r="T583" s="191"/>
      <c r="U583" s="191"/>
      <c r="V583" s="191"/>
      <c r="W583" s="191"/>
      <c r="X583" s="191"/>
      <c r="Y583" s="191"/>
    </row>
    <row r="584" spans="1:25" ht="55.2" x14ac:dyDescent="0.3">
      <c r="A584" s="40">
        <v>580</v>
      </c>
      <c r="B584" s="149" t="s">
        <v>1087</v>
      </c>
      <c r="C584" s="149" t="s">
        <v>285</v>
      </c>
      <c r="D584" s="178" t="s">
        <v>1096</v>
      </c>
      <c r="E584" s="178" t="s">
        <v>1211</v>
      </c>
      <c r="F584" s="178"/>
      <c r="G584" s="188"/>
      <c r="H584" s="178" t="s">
        <v>1104</v>
      </c>
      <c r="I584" s="190" t="s">
        <v>1169</v>
      </c>
      <c r="J584" s="152"/>
      <c r="K584" s="178"/>
      <c r="L584" s="156"/>
      <c r="M584" s="156"/>
      <c r="N584" s="156"/>
      <c r="O584" s="156"/>
      <c r="P584" s="156"/>
      <c r="Q584" s="178" t="s">
        <v>1096</v>
      </c>
      <c r="R584" s="156"/>
      <c r="S584" s="156"/>
      <c r="T584" s="191"/>
      <c r="U584" s="191"/>
      <c r="V584" s="191"/>
      <c r="W584" s="191"/>
      <c r="X584" s="191"/>
      <c r="Y584" s="191"/>
    </row>
    <row r="585" spans="1:25" ht="41.4" x14ac:dyDescent="0.3">
      <c r="A585" s="40">
        <v>581</v>
      </c>
      <c r="B585" s="149" t="s">
        <v>1087</v>
      </c>
      <c r="C585" s="149" t="s">
        <v>285</v>
      </c>
      <c r="D585" s="178" t="s">
        <v>1096</v>
      </c>
      <c r="E585" s="178" t="s">
        <v>1211</v>
      </c>
      <c r="F585" s="178"/>
      <c r="G585" s="188"/>
      <c r="H585" s="178" t="s">
        <v>1105</v>
      </c>
      <c r="I585" s="190" t="s">
        <v>1170</v>
      </c>
      <c r="J585" s="152"/>
      <c r="K585" s="178"/>
      <c r="L585" s="156"/>
      <c r="M585" s="156"/>
      <c r="N585" s="156"/>
      <c r="O585" s="156"/>
      <c r="P585" s="156"/>
      <c r="Q585" s="178" t="s">
        <v>1096</v>
      </c>
      <c r="R585" s="156"/>
      <c r="S585" s="156"/>
      <c r="T585" s="191"/>
      <c r="U585" s="191"/>
      <c r="V585" s="191"/>
      <c r="W585" s="191"/>
      <c r="X585" s="191"/>
      <c r="Y585" s="191"/>
    </row>
    <row r="586" spans="1:25" ht="69" x14ac:dyDescent="0.3">
      <c r="A586" s="40">
        <v>582</v>
      </c>
      <c r="B586" s="149" t="s">
        <v>1087</v>
      </c>
      <c r="C586" s="149" t="s">
        <v>285</v>
      </c>
      <c r="D586" s="178" t="s">
        <v>1096</v>
      </c>
      <c r="E586" s="178" t="s">
        <v>1211</v>
      </c>
      <c r="F586" s="178"/>
      <c r="G586" s="188"/>
      <c r="H586" s="178" t="s">
        <v>1106</v>
      </c>
      <c r="I586" s="190" t="s">
        <v>1171</v>
      </c>
      <c r="J586" s="152"/>
      <c r="K586" s="178"/>
      <c r="L586" s="156"/>
      <c r="M586" s="156"/>
      <c r="N586" s="156"/>
      <c r="O586" s="156"/>
      <c r="P586" s="156"/>
      <c r="Q586" s="178" t="s">
        <v>1096</v>
      </c>
      <c r="R586" s="156"/>
      <c r="S586" s="156"/>
      <c r="T586" s="191"/>
      <c r="U586" s="191"/>
      <c r="V586" s="191"/>
      <c r="W586" s="191"/>
      <c r="X586" s="191"/>
      <c r="Y586" s="191"/>
    </row>
    <row r="587" spans="1:25" ht="69" x14ac:dyDescent="0.3">
      <c r="A587" s="40">
        <v>583</v>
      </c>
      <c r="B587" s="149" t="s">
        <v>1087</v>
      </c>
      <c r="C587" s="149" t="s">
        <v>285</v>
      </c>
      <c r="D587" s="178" t="s">
        <v>1096</v>
      </c>
      <c r="E587" s="178" t="s">
        <v>1211</v>
      </c>
      <c r="F587" s="178"/>
      <c r="G587" s="188"/>
      <c r="H587" s="178" t="s">
        <v>1107</v>
      </c>
      <c r="I587" s="190" t="s">
        <v>1172</v>
      </c>
      <c r="J587" s="152"/>
      <c r="K587" s="178"/>
      <c r="L587" s="156"/>
      <c r="M587" s="156"/>
      <c r="N587" s="156"/>
      <c r="O587" s="156"/>
      <c r="P587" s="156"/>
      <c r="Q587" s="178" t="s">
        <v>1096</v>
      </c>
      <c r="R587" s="156"/>
      <c r="S587" s="156"/>
      <c r="T587" s="191"/>
      <c r="U587" s="191"/>
      <c r="V587" s="191"/>
      <c r="W587" s="191"/>
      <c r="X587" s="191"/>
      <c r="Y587" s="191"/>
    </row>
    <row r="588" spans="1:25" ht="79.95" customHeight="1" x14ac:dyDescent="0.3">
      <c r="A588" s="40">
        <v>584</v>
      </c>
      <c r="B588" s="149" t="s">
        <v>1088</v>
      </c>
      <c r="C588" s="149" t="s">
        <v>285</v>
      </c>
      <c r="D588" s="178" t="s">
        <v>1096</v>
      </c>
      <c r="E588" s="178" t="s">
        <v>1211</v>
      </c>
      <c r="F588" s="178"/>
      <c r="G588" s="188"/>
      <c r="H588" s="178" t="s">
        <v>1108</v>
      </c>
      <c r="I588" s="190" t="s">
        <v>1173</v>
      </c>
      <c r="J588" s="152"/>
      <c r="K588" s="178"/>
      <c r="L588" s="156"/>
      <c r="M588" s="156"/>
      <c r="N588" s="156"/>
      <c r="O588" s="156"/>
      <c r="P588" s="156"/>
      <c r="Q588" s="178" t="s">
        <v>1096</v>
      </c>
      <c r="R588" s="156"/>
      <c r="S588" s="156"/>
      <c r="T588" s="191"/>
      <c r="U588" s="191"/>
      <c r="V588" s="191"/>
      <c r="W588" s="191"/>
      <c r="X588" s="191"/>
      <c r="Y588" s="191"/>
    </row>
    <row r="589" spans="1:25" ht="55.2" x14ac:dyDescent="0.3">
      <c r="A589" s="40">
        <v>585</v>
      </c>
      <c r="B589" s="149" t="s">
        <v>1088</v>
      </c>
      <c r="C589" s="149" t="s">
        <v>285</v>
      </c>
      <c r="D589" s="178" t="s">
        <v>1096</v>
      </c>
      <c r="E589" s="178" t="s">
        <v>1211</v>
      </c>
      <c r="F589" s="178"/>
      <c r="G589" s="188"/>
      <c r="H589" s="178" t="s">
        <v>1109</v>
      </c>
      <c r="I589" s="190" t="s">
        <v>1174</v>
      </c>
      <c r="J589" s="152"/>
      <c r="K589" s="178"/>
      <c r="L589" s="156"/>
      <c r="M589" s="156"/>
      <c r="N589" s="156"/>
      <c r="O589" s="156"/>
      <c r="P589" s="156"/>
      <c r="Q589" s="178" t="s">
        <v>1096</v>
      </c>
      <c r="R589" s="156"/>
      <c r="S589" s="156"/>
      <c r="T589" s="191"/>
      <c r="U589" s="191"/>
      <c r="V589" s="191"/>
      <c r="W589" s="191"/>
      <c r="X589" s="191"/>
      <c r="Y589" s="191"/>
    </row>
    <row r="590" spans="1:25" ht="79.95" customHeight="1" x14ac:dyDescent="0.3">
      <c r="A590" s="40">
        <v>586</v>
      </c>
      <c r="B590" s="149" t="s">
        <v>1088</v>
      </c>
      <c r="C590" s="149" t="s">
        <v>285</v>
      </c>
      <c r="D590" s="178" t="s">
        <v>1096</v>
      </c>
      <c r="E590" s="178" t="s">
        <v>1211</v>
      </c>
      <c r="F590" s="178"/>
      <c r="G590" s="188"/>
      <c r="H590" s="178" t="s">
        <v>1110</v>
      </c>
      <c r="I590" s="190" t="s">
        <v>1175</v>
      </c>
      <c r="J590" s="152"/>
      <c r="K590" s="178"/>
      <c r="L590" s="156"/>
      <c r="M590" s="156"/>
      <c r="N590" s="156"/>
      <c r="O590" s="156"/>
      <c r="P590" s="156"/>
      <c r="Q590" s="178" t="s">
        <v>1096</v>
      </c>
      <c r="R590" s="156"/>
      <c r="S590" s="156"/>
      <c r="T590" s="191"/>
      <c r="U590" s="191"/>
      <c r="V590" s="191"/>
      <c r="W590" s="191"/>
      <c r="X590" s="191"/>
      <c r="Y590" s="191"/>
    </row>
    <row r="591" spans="1:25" ht="79.95" customHeight="1" x14ac:dyDescent="0.3">
      <c r="A591" s="40">
        <v>587</v>
      </c>
      <c r="B591" s="149" t="s">
        <v>1088</v>
      </c>
      <c r="C591" s="149" t="s">
        <v>285</v>
      </c>
      <c r="D591" s="178" t="s">
        <v>1096</v>
      </c>
      <c r="E591" s="178" t="s">
        <v>1211</v>
      </c>
      <c r="F591" s="178"/>
      <c r="G591" s="188"/>
      <c r="H591" s="178" t="s">
        <v>1111</v>
      </c>
      <c r="I591" s="190" t="s">
        <v>1176</v>
      </c>
      <c r="J591" s="152"/>
      <c r="K591" s="178"/>
      <c r="L591" s="156"/>
      <c r="M591" s="156"/>
      <c r="N591" s="156"/>
      <c r="O591" s="156"/>
      <c r="P591" s="156"/>
      <c r="Q591" s="178" t="s">
        <v>1096</v>
      </c>
      <c r="R591" s="156"/>
      <c r="S591" s="156"/>
      <c r="T591" s="191"/>
      <c r="U591" s="191"/>
      <c r="V591" s="191"/>
      <c r="W591" s="191"/>
      <c r="X591" s="191"/>
      <c r="Y591" s="191"/>
    </row>
    <row r="592" spans="1:25" ht="79.95" customHeight="1" x14ac:dyDescent="0.3">
      <c r="A592" s="40">
        <v>588</v>
      </c>
      <c r="B592" s="149" t="s">
        <v>1089</v>
      </c>
      <c r="C592" s="149" t="s">
        <v>285</v>
      </c>
      <c r="D592" s="178" t="s">
        <v>1096</v>
      </c>
      <c r="E592" s="178" t="s">
        <v>1211</v>
      </c>
      <c r="F592" s="178"/>
      <c r="G592" s="188"/>
      <c r="H592" s="178" t="s">
        <v>1112</v>
      </c>
      <c r="I592" s="190" t="s">
        <v>1177</v>
      </c>
      <c r="J592" s="152"/>
      <c r="K592" s="178"/>
      <c r="L592" s="156"/>
      <c r="M592" s="156"/>
      <c r="N592" s="156"/>
      <c r="O592" s="156"/>
      <c r="P592" s="156"/>
      <c r="Q592" s="178" t="s">
        <v>1096</v>
      </c>
      <c r="R592" s="156"/>
      <c r="S592" s="156"/>
      <c r="T592" s="191"/>
      <c r="U592" s="191"/>
      <c r="V592" s="191"/>
      <c r="W592" s="191"/>
      <c r="X592" s="191"/>
      <c r="Y592" s="191"/>
    </row>
    <row r="593" spans="1:25" ht="79.95" customHeight="1" x14ac:dyDescent="0.3">
      <c r="A593" s="40">
        <v>589</v>
      </c>
      <c r="B593" s="149" t="s">
        <v>1089</v>
      </c>
      <c r="C593" s="149" t="s">
        <v>285</v>
      </c>
      <c r="D593" s="178" t="s">
        <v>1096</v>
      </c>
      <c r="E593" s="178" t="s">
        <v>1211</v>
      </c>
      <c r="F593" s="178"/>
      <c r="G593" s="188"/>
      <c r="H593" s="178" t="s">
        <v>1113</v>
      </c>
      <c r="I593" s="190" t="s">
        <v>1178</v>
      </c>
      <c r="J593" s="152"/>
      <c r="K593" s="178"/>
      <c r="L593" s="156"/>
      <c r="M593" s="156"/>
      <c r="N593" s="156"/>
      <c r="O593" s="156"/>
      <c r="P593" s="156"/>
      <c r="Q593" s="178" t="s">
        <v>1096</v>
      </c>
      <c r="R593" s="156"/>
      <c r="S593" s="156"/>
      <c r="T593" s="191"/>
      <c r="U593" s="191"/>
      <c r="V593" s="191"/>
      <c r="W593" s="191"/>
      <c r="X593" s="191"/>
      <c r="Y593" s="191"/>
    </row>
    <row r="594" spans="1:25" ht="69" x14ac:dyDescent="0.3">
      <c r="A594" s="40">
        <v>590</v>
      </c>
      <c r="B594" s="149" t="s">
        <v>1089</v>
      </c>
      <c r="C594" s="149" t="s">
        <v>285</v>
      </c>
      <c r="D594" s="178" t="s">
        <v>1096</v>
      </c>
      <c r="E594" s="178" t="s">
        <v>1211</v>
      </c>
      <c r="F594" s="178"/>
      <c r="G594" s="188"/>
      <c r="H594" s="178" t="s">
        <v>1114</v>
      </c>
      <c r="I594" s="190" t="s">
        <v>1179</v>
      </c>
      <c r="J594" s="152"/>
      <c r="K594" s="178"/>
      <c r="L594" s="156"/>
      <c r="M594" s="156"/>
      <c r="N594" s="156"/>
      <c r="O594" s="156"/>
      <c r="P594" s="156"/>
      <c r="Q594" s="178" t="s">
        <v>1096</v>
      </c>
      <c r="R594" s="156"/>
      <c r="S594" s="156"/>
      <c r="T594" s="191"/>
      <c r="U594" s="191"/>
      <c r="V594" s="191"/>
      <c r="W594" s="191"/>
      <c r="X594" s="191"/>
      <c r="Y594" s="191"/>
    </row>
    <row r="595" spans="1:25" ht="79.95" customHeight="1" x14ac:dyDescent="0.3">
      <c r="A595" s="40">
        <v>591</v>
      </c>
      <c r="B595" s="149" t="s">
        <v>1089</v>
      </c>
      <c r="C595" s="149" t="s">
        <v>285</v>
      </c>
      <c r="D595" s="178" t="s">
        <v>1096</v>
      </c>
      <c r="E595" s="178" t="s">
        <v>1211</v>
      </c>
      <c r="F595" s="178"/>
      <c r="G595" s="188"/>
      <c r="H595" s="178" t="s">
        <v>1115</v>
      </c>
      <c r="I595" s="190" t="s">
        <v>1180</v>
      </c>
      <c r="J595" s="152"/>
      <c r="K595" s="178"/>
      <c r="L595" s="156"/>
      <c r="M595" s="156"/>
      <c r="N595" s="156"/>
      <c r="O595" s="156"/>
      <c r="P595" s="156"/>
      <c r="Q595" s="178" t="s">
        <v>1096</v>
      </c>
      <c r="R595" s="156"/>
      <c r="S595" s="156"/>
      <c r="T595" s="191"/>
      <c r="U595" s="191"/>
      <c r="V595" s="191"/>
      <c r="W595" s="191"/>
      <c r="X595" s="191"/>
      <c r="Y595" s="191"/>
    </row>
    <row r="596" spans="1:25" ht="69" x14ac:dyDescent="0.3">
      <c r="A596" s="40">
        <v>592</v>
      </c>
      <c r="B596" s="149" t="s">
        <v>1089</v>
      </c>
      <c r="C596" s="149" t="s">
        <v>285</v>
      </c>
      <c r="D596" s="178" t="s">
        <v>1096</v>
      </c>
      <c r="E596" s="178" t="s">
        <v>1211</v>
      </c>
      <c r="F596" s="178"/>
      <c r="G596" s="188"/>
      <c r="H596" s="178" t="s">
        <v>1116</v>
      </c>
      <c r="I596" s="190" t="s">
        <v>1181</v>
      </c>
      <c r="J596" s="152"/>
      <c r="K596" s="178"/>
      <c r="L596" s="156"/>
      <c r="M596" s="156"/>
      <c r="N596" s="156"/>
      <c r="O596" s="156"/>
      <c r="P596" s="156"/>
      <c r="Q596" s="178" t="s">
        <v>1096</v>
      </c>
      <c r="R596" s="156"/>
      <c r="S596" s="156"/>
      <c r="T596" s="191"/>
      <c r="U596" s="191"/>
      <c r="V596" s="191"/>
      <c r="W596" s="191"/>
      <c r="X596" s="191"/>
      <c r="Y596" s="191"/>
    </row>
    <row r="597" spans="1:25" ht="69" x14ac:dyDescent="0.3">
      <c r="A597" s="40">
        <v>593</v>
      </c>
      <c r="B597" s="149" t="s">
        <v>1088</v>
      </c>
      <c r="C597" s="149" t="s">
        <v>285</v>
      </c>
      <c r="D597" s="178" t="s">
        <v>1096</v>
      </c>
      <c r="E597" s="178" t="s">
        <v>1211</v>
      </c>
      <c r="F597" s="178"/>
      <c r="G597" s="188"/>
      <c r="H597" s="178" t="s">
        <v>1117</v>
      </c>
      <c r="I597" s="190" t="s">
        <v>1182</v>
      </c>
      <c r="J597" s="152"/>
      <c r="K597" s="178"/>
      <c r="L597" s="156"/>
      <c r="M597" s="156"/>
      <c r="N597" s="156"/>
      <c r="O597" s="156"/>
      <c r="P597" s="156"/>
      <c r="Q597" s="178" t="s">
        <v>1096</v>
      </c>
      <c r="R597" s="156"/>
      <c r="S597" s="156"/>
      <c r="T597" s="191"/>
      <c r="U597" s="191"/>
      <c r="V597" s="191"/>
      <c r="W597" s="191"/>
      <c r="X597" s="191"/>
      <c r="Y597" s="191"/>
    </row>
    <row r="598" spans="1:25" ht="79.95" customHeight="1" x14ac:dyDescent="0.3">
      <c r="A598" s="40">
        <v>594</v>
      </c>
      <c r="B598" s="149" t="s">
        <v>1088</v>
      </c>
      <c r="C598" s="149" t="s">
        <v>285</v>
      </c>
      <c r="D598" s="178" t="s">
        <v>1096</v>
      </c>
      <c r="E598" s="178" t="s">
        <v>1211</v>
      </c>
      <c r="F598" s="178"/>
      <c r="G598" s="188"/>
      <c r="H598" s="178" t="s">
        <v>1118</v>
      </c>
      <c r="I598" s="190" t="s">
        <v>1183</v>
      </c>
      <c r="J598" s="152"/>
      <c r="K598" s="178"/>
      <c r="L598" s="156"/>
      <c r="M598" s="156"/>
      <c r="N598" s="156"/>
      <c r="O598" s="156"/>
      <c r="P598" s="156"/>
      <c r="Q598" s="178" t="s">
        <v>1096</v>
      </c>
      <c r="R598" s="156"/>
      <c r="S598" s="156"/>
      <c r="T598" s="191"/>
      <c r="U598" s="191"/>
      <c r="V598" s="191"/>
      <c r="W598" s="191"/>
      <c r="X598" s="191"/>
      <c r="Y598" s="191"/>
    </row>
    <row r="599" spans="1:25" ht="79.95" customHeight="1" x14ac:dyDescent="0.3">
      <c r="A599" s="40">
        <v>595</v>
      </c>
      <c r="B599" s="149" t="s">
        <v>1088</v>
      </c>
      <c r="C599" s="149" t="s">
        <v>285</v>
      </c>
      <c r="D599" s="178" t="s">
        <v>1096</v>
      </c>
      <c r="E599" s="178" t="s">
        <v>1211</v>
      </c>
      <c r="F599" s="178"/>
      <c r="G599" s="188"/>
      <c r="H599" s="178" t="s">
        <v>1119</v>
      </c>
      <c r="I599" s="190" t="s">
        <v>1184</v>
      </c>
      <c r="J599" s="152"/>
      <c r="K599" s="178"/>
      <c r="L599" s="156"/>
      <c r="M599" s="156"/>
      <c r="N599" s="156"/>
      <c r="O599" s="156"/>
      <c r="P599" s="156"/>
      <c r="Q599" s="178" t="s">
        <v>1096</v>
      </c>
      <c r="R599" s="156"/>
      <c r="S599" s="156"/>
      <c r="T599" s="191"/>
      <c r="U599" s="191"/>
      <c r="V599" s="191"/>
      <c r="W599" s="191"/>
      <c r="X599" s="191"/>
      <c r="Y599" s="191"/>
    </row>
    <row r="600" spans="1:25" ht="79.95" customHeight="1" x14ac:dyDescent="0.3">
      <c r="A600" s="40">
        <v>596</v>
      </c>
      <c r="B600" s="149" t="s">
        <v>1088</v>
      </c>
      <c r="C600" s="149" t="s">
        <v>285</v>
      </c>
      <c r="D600" s="178" t="s">
        <v>1096</v>
      </c>
      <c r="E600" s="178" t="s">
        <v>1211</v>
      </c>
      <c r="F600" s="178"/>
      <c r="G600" s="188"/>
      <c r="H600" s="178" t="s">
        <v>1120</v>
      </c>
      <c r="I600" s="190" t="s">
        <v>1185</v>
      </c>
      <c r="J600" s="152"/>
      <c r="K600" s="178"/>
      <c r="L600" s="156"/>
      <c r="M600" s="156"/>
      <c r="N600" s="156"/>
      <c r="O600" s="156"/>
      <c r="P600" s="156"/>
      <c r="Q600" s="178" t="s">
        <v>1096</v>
      </c>
      <c r="R600" s="156"/>
      <c r="S600" s="156"/>
      <c r="T600" s="191"/>
      <c r="U600" s="191"/>
      <c r="V600" s="191"/>
      <c r="W600" s="191"/>
      <c r="X600" s="191"/>
      <c r="Y600" s="191"/>
    </row>
    <row r="601" spans="1:25" ht="69" x14ac:dyDescent="0.3">
      <c r="A601" s="40">
        <v>597</v>
      </c>
      <c r="B601" s="149" t="s">
        <v>1088</v>
      </c>
      <c r="C601" s="149" t="s">
        <v>285</v>
      </c>
      <c r="D601" s="178" t="s">
        <v>1096</v>
      </c>
      <c r="E601" s="178" t="s">
        <v>1211</v>
      </c>
      <c r="F601" s="178"/>
      <c r="G601" s="188"/>
      <c r="H601" s="178" t="s">
        <v>1121</v>
      </c>
      <c r="I601" s="190" t="s">
        <v>1186</v>
      </c>
      <c r="J601" s="152"/>
      <c r="K601" s="178"/>
      <c r="L601" s="156"/>
      <c r="M601" s="156"/>
      <c r="N601" s="156"/>
      <c r="O601" s="156"/>
      <c r="P601" s="156"/>
      <c r="Q601" s="178" t="s">
        <v>1096</v>
      </c>
      <c r="R601" s="156"/>
      <c r="S601" s="156"/>
      <c r="T601" s="191"/>
      <c r="U601" s="191"/>
      <c r="V601" s="191"/>
      <c r="W601" s="191"/>
      <c r="X601" s="191"/>
      <c r="Y601" s="191"/>
    </row>
    <row r="602" spans="1:25" ht="55.2" x14ac:dyDescent="0.3">
      <c r="A602" s="40">
        <v>598</v>
      </c>
      <c r="B602" s="149" t="s">
        <v>1088</v>
      </c>
      <c r="C602" s="149" t="s">
        <v>285</v>
      </c>
      <c r="D602" s="178" t="s">
        <v>1096</v>
      </c>
      <c r="E602" s="178" t="s">
        <v>1211</v>
      </c>
      <c r="F602" s="178"/>
      <c r="G602" s="188"/>
      <c r="H602" s="178" t="s">
        <v>1122</v>
      </c>
      <c r="I602" s="190" t="s">
        <v>1187</v>
      </c>
      <c r="J602" s="152"/>
      <c r="K602" s="178"/>
      <c r="L602" s="156"/>
      <c r="M602" s="156"/>
      <c r="N602" s="156"/>
      <c r="O602" s="156"/>
      <c r="P602" s="156"/>
      <c r="Q602" s="178" t="s">
        <v>1096</v>
      </c>
      <c r="R602" s="156"/>
      <c r="S602" s="156"/>
      <c r="T602" s="191"/>
      <c r="U602" s="191"/>
      <c r="V602" s="191"/>
      <c r="W602" s="191"/>
      <c r="X602" s="191"/>
      <c r="Y602" s="191"/>
    </row>
    <row r="603" spans="1:25" ht="55.2" x14ac:dyDescent="0.3">
      <c r="A603" s="40">
        <v>599</v>
      </c>
      <c r="B603" s="149" t="s">
        <v>1089</v>
      </c>
      <c r="C603" s="149" t="s">
        <v>285</v>
      </c>
      <c r="D603" s="178" t="s">
        <v>1096</v>
      </c>
      <c r="E603" s="178" t="s">
        <v>1211</v>
      </c>
      <c r="F603" s="178"/>
      <c r="G603" s="188"/>
      <c r="H603" s="178" t="s">
        <v>1123</v>
      </c>
      <c r="I603" s="190" t="s">
        <v>1188</v>
      </c>
      <c r="J603" s="152"/>
      <c r="K603" s="178"/>
      <c r="L603" s="156"/>
      <c r="M603" s="156"/>
      <c r="N603" s="156"/>
      <c r="O603" s="156"/>
      <c r="P603" s="156"/>
      <c r="Q603" s="178" t="s">
        <v>1096</v>
      </c>
      <c r="R603" s="156"/>
      <c r="S603" s="156"/>
      <c r="T603" s="191"/>
      <c r="U603" s="191"/>
      <c r="V603" s="191"/>
      <c r="W603" s="191"/>
      <c r="X603" s="191"/>
      <c r="Y603" s="191"/>
    </row>
    <row r="604" spans="1:25" ht="55.2" x14ac:dyDescent="0.3">
      <c r="A604" s="40">
        <v>600</v>
      </c>
      <c r="B604" s="149" t="s">
        <v>1089</v>
      </c>
      <c r="C604" s="149" t="s">
        <v>285</v>
      </c>
      <c r="D604" s="178" t="s">
        <v>1096</v>
      </c>
      <c r="E604" s="178" t="s">
        <v>1211</v>
      </c>
      <c r="F604" s="178"/>
      <c r="G604" s="188"/>
      <c r="H604" s="178" t="s">
        <v>1124</v>
      </c>
      <c r="I604" s="190" t="s">
        <v>1189</v>
      </c>
      <c r="J604" s="152"/>
      <c r="K604" s="178"/>
      <c r="L604" s="156"/>
      <c r="M604" s="156"/>
      <c r="N604" s="156"/>
      <c r="O604" s="156"/>
      <c r="P604" s="156"/>
      <c r="Q604" s="178" t="s">
        <v>1096</v>
      </c>
      <c r="R604" s="156"/>
      <c r="S604" s="156"/>
      <c r="T604" s="191"/>
      <c r="U604" s="191"/>
      <c r="V604" s="191"/>
      <c r="W604" s="191"/>
      <c r="X604" s="191"/>
      <c r="Y604" s="191"/>
    </row>
    <row r="605" spans="1:25" ht="79.95" customHeight="1" x14ac:dyDescent="0.3">
      <c r="A605" s="40">
        <v>601</v>
      </c>
      <c r="B605" s="149" t="s">
        <v>1087</v>
      </c>
      <c r="C605" s="149" t="s">
        <v>285</v>
      </c>
      <c r="D605" s="178" t="s">
        <v>1096</v>
      </c>
      <c r="E605" s="178" t="s">
        <v>1211</v>
      </c>
      <c r="F605" s="178"/>
      <c r="G605" s="188"/>
      <c r="H605" s="178" t="s">
        <v>1125</v>
      </c>
      <c r="I605" s="190" t="s">
        <v>1190</v>
      </c>
      <c r="J605" s="152"/>
      <c r="K605" s="178"/>
      <c r="L605" s="156"/>
      <c r="M605" s="156"/>
      <c r="N605" s="156"/>
      <c r="O605" s="156"/>
      <c r="P605" s="156"/>
      <c r="Q605" s="178" t="s">
        <v>1096</v>
      </c>
      <c r="R605" s="156"/>
      <c r="S605" s="156"/>
      <c r="T605" s="191"/>
      <c r="U605" s="191"/>
      <c r="V605" s="191"/>
      <c r="W605" s="191"/>
      <c r="X605" s="191"/>
      <c r="Y605" s="191"/>
    </row>
    <row r="606" spans="1:25" ht="69" x14ac:dyDescent="0.3">
      <c r="A606" s="40">
        <v>602</v>
      </c>
      <c r="B606" s="149" t="s">
        <v>1087</v>
      </c>
      <c r="C606" s="149" t="s">
        <v>285</v>
      </c>
      <c r="D606" s="178" t="s">
        <v>1096</v>
      </c>
      <c r="E606" s="178" t="s">
        <v>1211</v>
      </c>
      <c r="F606" s="178"/>
      <c r="G606" s="188"/>
      <c r="H606" s="178" t="s">
        <v>1126</v>
      </c>
      <c r="I606" s="190" t="s">
        <v>1191</v>
      </c>
      <c r="J606" s="152"/>
      <c r="K606" s="178"/>
      <c r="L606" s="156"/>
      <c r="M606" s="156"/>
      <c r="N606" s="156"/>
      <c r="O606" s="156"/>
      <c r="P606" s="156"/>
      <c r="Q606" s="178" t="s">
        <v>1096</v>
      </c>
      <c r="R606" s="156"/>
      <c r="S606" s="156"/>
      <c r="T606" s="191"/>
      <c r="U606" s="191"/>
      <c r="V606" s="191"/>
      <c r="W606" s="191"/>
      <c r="X606" s="191"/>
      <c r="Y606" s="191"/>
    </row>
    <row r="607" spans="1:25" ht="55.2" x14ac:dyDescent="0.3">
      <c r="A607" s="40">
        <v>603</v>
      </c>
      <c r="B607" s="149" t="s">
        <v>1087</v>
      </c>
      <c r="C607" s="149" t="s">
        <v>285</v>
      </c>
      <c r="D607" s="178" t="s">
        <v>1096</v>
      </c>
      <c r="E607" s="178" t="s">
        <v>1211</v>
      </c>
      <c r="F607" s="178"/>
      <c r="G607" s="188"/>
      <c r="H607" s="178" t="s">
        <v>1127</v>
      </c>
      <c r="I607" s="190" t="s">
        <v>1190</v>
      </c>
      <c r="J607" s="152"/>
      <c r="K607" s="178"/>
      <c r="L607" s="156"/>
      <c r="M607" s="156"/>
      <c r="N607" s="156"/>
      <c r="O607" s="156"/>
      <c r="P607" s="156"/>
      <c r="Q607" s="178" t="s">
        <v>1096</v>
      </c>
      <c r="R607" s="156"/>
      <c r="S607" s="156"/>
      <c r="T607" s="191"/>
      <c r="U607" s="191"/>
      <c r="V607" s="191"/>
      <c r="W607" s="191"/>
      <c r="X607" s="191"/>
      <c r="Y607" s="191"/>
    </row>
    <row r="608" spans="1:25" ht="69" x14ac:dyDescent="0.3">
      <c r="A608" s="40">
        <v>604</v>
      </c>
      <c r="B608" s="149" t="s">
        <v>1087</v>
      </c>
      <c r="C608" s="149" t="s">
        <v>285</v>
      </c>
      <c r="D608" s="178" t="s">
        <v>1096</v>
      </c>
      <c r="E608" s="178" t="s">
        <v>1211</v>
      </c>
      <c r="F608" s="178"/>
      <c r="G608" s="188"/>
      <c r="H608" s="178" t="s">
        <v>1128</v>
      </c>
      <c r="I608" s="190" t="s">
        <v>1192</v>
      </c>
      <c r="J608" s="152"/>
      <c r="K608" s="178"/>
      <c r="L608" s="156"/>
      <c r="M608" s="156"/>
      <c r="N608" s="156"/>
      <c r="O608" s="156"/>
      <c r="P608" s="156"/>
      <c r="Q608" s="178" t="s">
        <v>1096</v>
      </c>
      <c r="R608" s="156"/>
      <c r="S608" s="156"/>
      <c r="T608" s="191"/>
      <c r="U608" s="191"/>
      <c r="V608" s="191"/>
      <c r="W608" s="191"/>
      <c r="X608" s="191"/>
      <c r="Y608" s="191"/>
    </row>
    <row r="609" spans="1:25" ht="96.6" x14ac:dyDescent="0.3">
      <c r="A609" s="40">
        <v>605</v>
      </c>
      <c r="B609" s="149" t="s">
        <v>1087</v>
      </c>
      <c r="C609" s="149" t="s">
        <v>285</v>
      </c>
      <c r="D609" s="178" t="s">
        <v>1096</v>
      </c>
      <c r="E609" s="178" t="s">
        <v>1211</v>
      </c>
      <c r="F609" s="178"/>
      <c r="G609" s="188"/>
      <c r="H609" s="178" t="s">
        <v>1129</v>
      </c>
      <c r="I609" s="190" t="s">
        <v>1193</v>
      </c>
      <c r="J609" s="152"/>
      <c r="K609" s="178"/>
      <c r="L609" s="156"/>
      <c r="M609" s="156"/>
      <c r="N609" s="156"/>
      <c r="O609" s="156"/>
      <c r="P609" s="156"/>
      <c r="Q609" s="178" t="s">
        <v>1096</v>
      </c>
      <c r="R609" s="156"/>
      <c r="S609" s="156"/>
      <c r="T609" s="191"/>
      <c r="U609" s="191"/>
      <c r="V609" s="191"/>
      <c r="W609" s="191"/>
      <c r="X609" s="191"/>
      <c r="Y609" s="191"/>
    </row>
    <row r="610" spans="1:25" ht="82.8" x14ac:dyDescent="0.3">
      <c r="A610" s="40">
        <v>606</v>
      </c>
      <c r="B610" s="149" t="s">
        <v>1087</v>
      </c>
      <c r="C610" s="149" t="s">
        <v>285</v>
      </c>
      <c r="D610" s="178" t="s">
        <v>1096</v>
      </c>
      <c r="E610" s="178" t="s">
        <v>1211</v>
      </c>
      <c r="F610" s="178"/>
      <c r="G610" s="188"/>
      <c r="H610" s="178" t="s">
        <v>1130</v>
      </c>
      <c r="I610" s="190" t="s">
        <v>1194</v>
      </c>
      <c r="J610" s="152"/>
      <c r="K610" s="178"/>
      <c r="L610" s="156"/>
      <c r="M610" s="156"/>
      <c r="N610" s="156"/>
      <c r="O610" s="156"/>
      <c r="P610" s="156"/>
      <c r="Q610" s="178" t="s">
        <v>1096</v>
      </c>
      <c r="R610" s="156"/>
      <c r="S610" s="156"/>
      <c r="T610" s="191"/>
      <c r="U610" s="191"/>
      <c r="V610" s="191"/>
      <c r="W610" s="191"/>
      <c r="X610" s="191"/>
      <c r="Y610" s="191"/>
    </row>
    <row r="611" spans="1:25" ht="69" x14ac:dyDescent="0.3">
      <c r="A611" s="40">
        <v>607</v>
      </c>
      <c r="B611" s="149" t="s">
        <v>1087</v>
      </c>
      <c r="C611" s="149" t="s">
        <v>285</v>
      </c>
      <c r="D611" s="178" t="s">
        <v>1096</v>
      </c>
      <c r="E611" s="178" t="s">
        <v>1211</v>
      </c>
      <c r="F611" s="178"/>
      <c r="G611" s="188"/>
      <c r="H611" s="178" t="s">
        <v>1131</v>
      </c>
      <c r="I611" s="190" t="s">
        <v>1195</v>
      </c>
      <c r="J611" s="152"/>
      <c r="K611" s="178"/>
      <c r="L611" s="156"/>
      <c r="M611" s="156"/>
      <c r="N611" s="156"/>
      <c r="O611" s="156"/>
      <c r="P611" s="156"/>
      <c r="Q611" s="178" t="s">
        <v>1096</v>
      </c>
      <c r="R611" s="156"/>
      <c r="S611" s="156"/>
      <c r="T611" s="191"/>
      <c r="U611" s="191"/>
      <c r="V611" s="191"/>
      <c r="W611" s="191"/>
      <c r="X611" s="191"/>
      <c r="Y611" s="191"/>
    </row>
    <row r="612" spans="1:25" ht="55.2" x14ac:dyDescent="0.3">
      <c r="A612" s="40">
        <v>608</v>
      </c>
      <c r="B612" s="149" t="s">
        <v>1087</v>
      </c>
      <c r="C612" s="149" t="s">
        <v>285</v>
      </c>
      <c r="D612" s="178" t="s">
        <v>1096</v>
      </c>
      <c r="E612" s="178" t="s">
        <v>1211</v>
      </c>
      <c r="F612" s="178"/>
      <c r="G612" s="188"/>
      <c r="H612" s="178" t="s">
        <v>1132</v>
      </c>
      <c r="I612" s="190" t="s">
        <v>1196</v>
      </c>
      <c r="J612" s="152"/>
      <c r="K612" s="178"/>
      <c r="L612" s="156"/>
      <c r="M612" s="156"/>
      <c r="N612" s="156"/>
      <c r="O612" s="156"/>
      <c r="P612" s="156"/>
      <c r="Q612" s="178" t="s">
        <v>1096</v>
      </c>
      <c r="R612" s="156"/>
      <c r="S612" s="156"/>
      <c r="T612" s="191"/>
      <c r="U612" s="191"/>
      <c r="V612" s="191"/>
      <c r="W612" s="191"/>
      <c r="X612" s="191"/>
      <c r="Y612" s="191"/>
    </row>
    <row r="613" spans="1:25" ht="69" x14ac:dyDescent="0.3">
      <c r="A613" s="40">
        <v>609</v>
      </c>
      <c r="B613" s="149" t="s">
        <v>1089</v>
      </c>
      <c r="C613" s="149" t="s">
        <v>285</v>
      </c>
      <c r="D613" s="178" t="s">
        <v>1096</v>
      </c>
      <c r="E613" s="178" t="s">
        <v>1211</v>
      </c>
      <c r="F613" s="178"/>
      <c r="G613" s="188"/>
      <c r="H613" s="178" t="s">
        <v>1133</v>
      </c>
      <c r="I613" s="190" t="s">
        <v>1197</v>
      </c>
      <c r="J613" s="152"/>
      <c r="K613" s="178"/>
      <c r="L613" s="156"/>
      <c r="M613" s="156"/>
      <c r="N613" s="156"/>
      <c r="O613" s="156"/>
      <c r="P613" s="156"/>
      <c r="Q613" s="178" t="s">
        <v>1096</v>
      </c>
      <c r="R613" s="156"/>
      <c r="S613" s="156"/>
      <c r="T613" s="191"/>
      <c r="U613" s="191"/>
      <c r="V613" s="191"/>
      <c r="W613" s="191"/>
      <c r="X613" s="191"/>
      <c r="Y613" s="191"/>
    </row>
    <row r="614" spans="1:25" ht="69" x14ac:dyDescent="0.3">
      <c r="A614" s="40">
        <v>610</v>
      </c>
      <c r="B614" s="149" t="s">
        <v>1090</v>
      </c>
      <c r="C614" s="149" t="s">
        <v>285</v>
      </c>
      <c r="D614" s="178" t="s">
        <v>1096</v>
      </c>
      <c r="E614" s="178" t="s">
        <v>1211</v>
      </c>
      <c r="F614" s="178"/>
      <c r="G614" s="188"/>
      <c r="H614" s="178" t="s">
        <v>1134</v>
      </c>
      <c r="I614" s="190" t="s">
        <v>1198</v>
      </c>
      <c r="J614" s="152"/>
      <c r="K614" s="178"/>
      <c r="L614" s="156"/>
      <c r="M614" s="156"/>
      <c r="N614" s="156"/>
      <c r="O614" s="156"/>
      <c r="P614" s="156"/>
      <c r="Q614" s="178" t="s">
        <v>1096</v>
      </c>
      <c r="R614" s="156"/>
      <c r="S614" s="156"/>
      <c r="T614" s="191"/>
      <c r="U614" s="191"/>
      <c r="V614" s="191"/>
      <c r="W614" s="191"/>
      <c r="X614" s="191"/>
      <c r="Y614" s="191"/>
    </row>
    <row r="615" spans="1:25" ht="41.4" x14ac:dyDescent="0.3">
      <c r="A615" s="40">
        <v>611</v>
      </c>
      <c r="B615" s="149" t="s">
        <v>1090</v>
      </c>
      <c r="C615" s="149" t="s">
        <v>285</v>
      </c>
      <c r="D615" s="178" t="s">
        <v>1096</v>
      </c>
      <c r="E615" s="178" t="s">
        <v>1211</v>
      </c>
      <c r="F615" s="178"/>
      <c r="G615" s="188"/>
      <c r="H615" s="178" t="s">
        <v>1135</v>
      </c>
      <c r="I615" s="190" t="s">
        <v>1199</v>
      </c>
      <c r="J615" s="152"/>
      <c r="K615" s="178"/>
      <c r="L615" s="156"/>
      <c r="M615" s="156"/>
      <c r="N615" s="156"/>
      <c r="O615" s="156"/>
      <c r="P615" s="156"/>
      <c r="Q615" s="178" t="s">
        <v>1096</v>
      </c>
      <c r="R615" s="156"/>
      <c r="S615" s="156"/>
      <c r="T615" s="191"/>
      <c r="U615" s="191"/>
      <c r="V615" s="191"/>
      <c r="W615" s="191"/>
      <c r="X615" s="191"/>
      <c r="Y615" s="191"/>
    </row>
    <row r="616" spans="1:25" ht="41.4" x14ac:dyDescent="0.3">
      <c r="A616" s="40">
        <v>612</v>
      </c>
      <c r="B616" s="149" t="s">
        <v>1090</v>
      </c>
      <c r="C616" s="149" t="s">
        <v>285</v>
      </c>
      <c r="D616" s="178" t="s">
        <v>1096</v>
      </c>
      <c r="E616" s="178" t="s">
        <v>1211</v>
      </c>
      <c r="F616" s="178"/>
      <c r="G616" s="188"/>
      <c r="H616" s="178" t="s">
        <v>1136</v>
      </c>
      <c r="I616" s="190" t="s">
        <v>1200</v>
      </c>
      <c r="J616" s="152"/>
      <c r="K616" s="178"/>
      <c r="L616" s="156"/>
      <c r="M616" s="156"/>
      <c r="N616" s="156"/>
      <c r="O616" s="156"/>
      <c r="P616" s="156"/>
      <c r="Q616" s="178" t="s">
        <v>1096</v>
      </c>
      <c r="R616" s="156"/>
      <c r="S616" s="156"/>
      <c r="T616" s="191"/>
      <c r="U616" s="191"/>
      <c r="V616" s="191"/>
      <c r="W616" s="191"/>
      <c r="X616" s="191"/>
      <c r="Y616" s="191"/>
    </row>
    <row r="617" spans="1:25" ht="41.4" x14ac:dyDescent="0.3">
      <c r="A617" s="40">
        <v>613</v>
      </c>
      <c r="B617" s="149" t="s">
        <v>1090</v>
      </c>
      <c r="C617" s="149" t="s">
        <v>285</v>
      </c>
      <c r="D617" s="178" t="s">
        <v>1096</v>
      </c>
      <c r="E617" s="178" t="s">
        <v>1211</v>
      </c>
      <c r="F617" s="178"/>
      <c r="G617" s="188"/>
      <c r="H617" s="178" t="s">
        <v>1137</v>
      </c>
      <c r="I617" s="190" t="s">
        <v>1201</v>
      </c>
      <c r="J617" s="152"/>
      <c r="K617" s="178"/>
      <c r="L617" s="156"/>
      <c r="M617" s="156"/>
      <c r="N617" s="156"/>
      <c r="O617" s="156"/>
      <c r="P617" s="156"/>
      <c r="Q617" s="178" t="s">
        <v>1096</v>
      </c>
      <c r="R617" s="156"/>
      <c r="S617" s="156"/>
      <c r="T617" s="191"/>
      <c r="U617" s="191"/>
      <c r="V617" s="191"/>
      <c r="W617" s="191"/>
      <c r="X617" s="191"/>
      <c r="Y617" s="191"/>
    </row>
    <row r="618" spans="1:25" ht="55.2" x14ac:dyDescent="0.3">
      <c r="A618" s="40">
        <v>614</v>
      </c>
      <c r="B618" s="149" t="s">
        <v>1090</v>
      </c>
      <c r="C618" s="149" t="s">
        <v>285</v>
      </c>
      <c r="D618" s="178" t="s">
        <v>1096</v>
      </c>
      <c r="E618" s="178" t="s">
        <v>1211</v>
      </c>
      <c r="F618" s="178"/>
      <c r="G618" s="188"/>
      <c r="H618" s="178" t="s">
        <v>1138</v>
      </c>
      <c r="I618" s="190" t="s">
        <v>1202</v>
      </c>
      <c r="J618" s="152"/>
      <c r="K618" s="178"/>
      <c r="L618" s="156"/>
      <c r="M618" s="156"/>
      <c r="N618" s="156"/>
      <c r="O618" s="156"/>
      <c r="P618" s="156"/>
      <c r="Q618" s="178" t="s">
        <v>1096</v>
      </c>
      <c r="R618" s="156"/>
      <c r="S618" s="156"/>
      <c r="T618" s="191"/>
      <c r="U618" s="191"/>
      <c r="V618" s="191"/>
      <c r="W618" s="191"/>
      <c r="X618" s="191"/>
      <c r="Y618" s="191"/>
    </row>
    <row r="619" spans="1:25" ht="41.4" x14ac:dyDescent="0.3">
      <c r="A619" s="40">
        <v>615</v>
      </c>
      <c r="B619" s="149" t="s">
        <v>1090</v>
      </c>
      <c r="C619" s="149" t="s">
        <v>285</v>
      </c>
      <c r="D619" s="178" t="s">
        <v>1096</v>
      </c>
      <c r="E619" s="178" t="s">
        <v>1211</v>
      </c>
      <c r="F619" s="178"/>
      <c r="G619" s="188"/>
      <c r="H619" s="178" t="s">
        <v>1139</v>
      </c>
      <c r="I619" s="190" t="s">
        <v>1203</v>
      </c>
      <c r="J619" s="152"/>
      <c r="K619" s="178"/>
      <c r="L619" s="156"/>
      <c r="M619" s="156"/>
      <c r="N619" s="156"/>
      <c r="O619" s="156"/>
      <c r="P619" s="156"/>
      <c r="Q619" s="178" t="s">
        <v>1096</v>
      </c>
      <c r="R619" s="156"/>
      <c r="S619" s="156"/>
      <c r="T619" s="191"/>
      <c r="U619" s="191"/>
      <c r="V619" s="191"/>
      <c r="W619" s="191"/>
      <c r="X619" s="191"/>
      <c r="Y619" s="191"/>
    </row>
    <row r="620" spans="1:25" ht="41.4" x14ac:dyDescent="0.3">
      <c r="A620" s="40">
        <v>616</v>
      </c>
      <c r="B620" s="149" t="s">
        <v>1090</v>
      </c>
      <c r="C620" s="149" t="s">
        <v>285</v>
      </c>
      <c r="D620" s="178" t="s">
        <v>1096</v>
      </c>
      <c r="E620" s="178" t="s">
        <v>1211</v>
      </c>
      <c r="F620" s="178"/>
      <c r="G620" s="188"/>
      <c r="H620" s="178" t="s">
        <v>1140</v>
      </c>
      <c r="I620" s="190" t="s">
        <v>1204</v>
      </c>
      <c r="J620" s="152"/>
      <c r="K620" s="178"/>
      <c r="L620" s="156"/>
      <c r="M620" s="156"/>
      <c r="N620" s="156"/>
      <c r="O620" s="156"/>
      <c r="P620" s="156"/>
      <c r="Q620" s="178" t="s">
        <v>1096</v>
      </c>
      <c r="R620" s="156"/>
      <c r="S620" s="156"/>
      <c r="T620" s="191"/>
      <c r="U620" s="191"/>
      <c r="V620" s="191"/>
      <c r="W620" s="191"/>
      <c r="X620" s="191"/>
      <c r="Y620" s="191"/>
    </row>
    <row r="621" spans="1:25" ht="41.4" x14ac:dyDescent="0.3">
      <c r="A621" s="40">
        <v>617</v>
      </c>
      <c r="B621" s="149" t="s">
        <v>1090</v>
      </c>
      <c r="C621" s="149" t="s">
        <v>285</v>
      </c>
      <c r="D621" s="178" t="s">
        <v>1096</v>
      </c>
      <c r="E621" s="178" t="s">
        <v>1211</v>
      </c>
      <c r="F621" s="178"/>
      <c r="G621" s="188"/>
      <c r="H621" s="178" t="s">
        <v>1141</v>
      </c>
      <c r="I621" s="190" t="s">
        <v>1205</v>
      </c>
      <c r="J621" s="152"/>
      <c r="K621" s="178"/>
      <c r="L621" s="156"/>
      <c r="M621" s="156"/>
      <c r="N621" s="156"/>
      <c r="O621" s="156"/>
      <c r="P621" s="156"/>
      <c r="Q621" s="178" t="s">
        <v>1096</v>
      </c>
      <c r="R621" s="156"/>
      <c r="S621" s="156"/>
      <c r="T621" s="191"/>
      <c r="U621" s="191"/>
      <c r="V621" s="191"/>
      <c r="W621" s="191"/>
      <c r="X621" s="191"/>
      <c r="Y621" s="191"/>
    </row>
    <row r="622" spans="1:25" ht="55.2" x14ac:dyDescent="0.3">
      <c r="A622" s="40">
        <v>618</v>
      </c>
      <c r="B622" s="149" t="s">
        <v>1091</v>
      </c>
      <c r="C622" s="149" t="s">
        <v>285</v>
      </c>
      <c r="D622" s="178" t="s">
        <v>1096</v>
      </c>
      <c r="E622" s="178" t="s">
        <v>1211</v>
      </c>
      <c r="F622" s="178"/>
      <c r="G622" s="188"/>
      <c r="H622" s="178"/>
      <c r="I622" s="190" t="s">
        <v>1206</v>
      </c>
      <c r="J622" s="152"/>
      <c r="K622" s="178"/>
      <c r="L622" s="156"/>
      <c r="M622" s="156"/>
      <c r="N622" s="156"/>
      <c r="O622" s="156"/>
      <c r="P622" s="156"/>
      <c r="Q622" s="178" t="s">
        <v>1096</v>
      </c>
      <c r="R622" s="156"/>
      <c r="S622" s="156"/>
      <c r="T622" s="191"/>
      <c r="U622" s="191"/>
      <c r="V622" s="191"/>
      <c r="W622" s="191"/>
      <c r="X622" s="191"/>
      <c r="Y622" s="191"/>
    </row>
    <row r="623" spans="1:25" ht="96.6" x14ac:dyDescent="0.3">
      <c r="A623" s="40">
        <v>619</v>
      </c>
      <c r="B623" s="149" t="s">
        <v>1092</v>
      </c>
      <c r="C623" s="149" t="s">
        <v>285</v>
      </c>
      <c r="D623" s="178" t="s">
        <v>1096</v>
      </c>
      <c r="E623" s="178" t="s">
        <v>1211</v>
      </c>
      <c r="F623" s="178"/>
      <c r="G623" s="188"/>
      <c r="H623" s="178"/>
      <c r="I623" s="190" t="s">
        <v>1207</v>
      </c>
      <c r="J623" s="152"/>
      <c r="K623" s="178"/>
      <c r="L623" s="156"/>
      <c r="M623" s="156"/>
      <c r="N623" s="156"/>
      <c r="O623" s="156"/>
      <c r="P623" s="156"/>
      <c r="Q623" s="178" t="s">
        <v>1096</v>
      </c>
      <c r="R623" s="156"/>
      <c r="S623" s="156"/>
      <c r="T623" s="191"/>
      <c r="U623" s="191"/>
      <c r="V623" s="191"/>
      <c r="W623" s="191"/>
      <c r="X623" s="191"/>
      <c r="Y623" s="191"/>
    </row>
    <row r="624" spans="1:25" ht="41.4" x14ac:dyDescent="0.3">
      <c r="A624" s="40">
        <v>619</v>
      </c>
      <c r="B624" s="149" t="s">
        <v>1093</v>
      </c>
      <c r="C624" s="149" t="s">
        <v>285</v>
      </c>
      <c r="D624" s="178" t="s">
        <v>1096</v>
      </c>
      <c r="E624" s="178" t="s">
        <v>1211</v>
      </c>
      <c r="F624" s="178"/>
      <c r="G624" s="188"/>
      <c r="H624" s="178"/>
      <c r="I624" s="190" t="s">
        <v>1208</v>
      </c>
      <c r="J624" s="152"/>
      <c r="K624" s="178"/>
      <c r="L624" s="156"/>
      <c r="M624" s="156"/>
      <c r="N624" s="156"/>
      <c r="O624" s="156"/>
      <c r="P624" s="156"/>
      <c r="Q624" s="178" t="s">
        <v>1096</v>
      </c>
      <c r="R624" s="156"/>
      <c r="S624" s="156"/>
      <c r="T624" s="191"/>
      <c r="U624" s="191"/>
      <c r="V624" s="191"/>
      <c r="W624" s="191"/>
      <c r="X624" s="191"/>
      <c r="Y624" s="191"/>
    </row>
    <row r="625" spans="1:25" ht="124.2" x14ac:dyDescent="0.3">
      <c r="A625" s="40">
        <v>619</v>
      </c>
      <c r="B625" s="149" t="s">
        <v>1094</v>
      </c>
      <c r="C625" s="149" t="s">
        <v>285</v>
      </c>
      <c r="D625" s="178" t="s">
        <v>1096</v>
      </c>
      <c r="E625" s="178" t="s">
        <v>1211</v>
      </c>
      <c r="F625" s="178"/>
      <c r="G625" s="188"/>
      <c r="H625" s="178"/>
      <c r="I625" s="190" t="s">
        <v>1209</v>
      </c>
      <c r="J625" s="152"/>
      <c r="K625" s="178"/>
      <c r="L625" s="156"/>
      <c r="M625" s="156"/>
      <c r="N625" s="156"/>
      <c r="O625" s="156"/>
      <c r="P625" s="156"/>
      <c r="Q625" s="178" t="s">
        <v>1096</v>
      </c>
      <c r="R625" s="156"/>
      <c r="S625" s="156"/>
      <c r="T625" s="191"/>
      <c r="U625" s="191"/>
      <c r="V625" s="191"/>
      <c r="W625" s="191"/>
      <c r="X625" s="191"/>
      <c r="Y625" s="191"/>
    </row>
    <row r="626" spans="1:25" ht="55.2" x14ac:dyDescent="0.3">
      <c r="A626" s="40">
        <v>619</v>
      </c>
      <c r="B626" s="149" t="s">
        <v>1095</v>
      </c>
      <c r="C626" s="149" t="s">
        <v>285</v>
      </c>
      <c r="D626" s="178" t="s">
        <v>1096</v>
      </c>
      <c r="E626" s="178" t="s">
        <v>1211</v>
      </c>
      <c r="F626" s="178"/>
      <c r="G626" s="188"/>
      <c r="H626" s="178"/>
      <c r="I626" s="190" t="s">
        <v>1210</v>
      </c>
      <c r="J626" s="152"/>
      <c r="K626" s="178"/>
      <c r="L626" s="156"/>
      <c r="M626" s="156"/>
      <c r="N626" s="156"/>
      <c r="O626" s="156"/>
      <c r="P626" s="156"/>
      <c r="Q626" s="178" t="s">
        <v>1096</v>
      </c>
      <c r="R626" s="156"/>
      <c r="S626" s="156"/>
      <c r="T626" s="191"/>
      <c r="U626" s="191"/>
      <c r="V626" s="191"/>
      <c r="W626" s="191"/>
      <c r="X626" s="191"/>
      <c r="Y626" s="191"/>
    </row>
    <row r="627" spans="1:25" ht="27.6" x14ac:dyDescent="0.3">
      <c r="A627" s="40">
        <v>619</v>
      </c>
      <c r="B627" s="149" t="s">
        <v>1270</v>
      </c>
      <c r="C627" s="149" t="s">
        <v>1212</v>
      </c>
      <c r="D627" s="192"/>
      <c r="E627" s="192" t="s">
        <v>1227</v>
      </c>
      <c r="F627" s="192"/>
      <c r="G627" s="188"/>
      <c r="H627" s="192"/>
      <c r="I627" s="190"/>
      <c r="J627" s="152"/>
      <c r="K627" s="192"/>
      <c r="L627" s="156"/>
      <c r="M627" s="156"/>
      <c r="N627" s="156"/>
      <c r="O627" s="156"/>
      <c r="P627" s="156"/>
      <c r="Q627" s="192" t="s">
        <v>1096</v>
      </c>
      <c r="R627" s="156"/>
      <c r="S627" s="156"/>
      <c r="T627" s="191"/>
      <c r="U627" s="191"/>
      <c r="V627" s="191"/>
      <c r="W627" s="191"/>
      <c r="X627" s="191"/>
      <c r="Y627" s="191"/>
    </row>
    <row r="628" spans="1:25" ht="41.4" x14ac:dyDescent="0.3">
      <c r="A628" s="40">
        <v>619</v>
      </c>
      <c r="B628" s="149" t="s">
        <v>1271</v>
      </c>
      <c r="C628" s="149" t="s">
        <v>1213</v>
      </c>
      <c r="D628" s="192" t="s">
        <v>1243</v>
      </c>
      <c r="E628" s="192" t="s">
        <v>1302</v>
      </c>
      <c r="F628" s="192"/>
      <c r="G628" s="188"/>
      <c r="H628" s="192"/>
      <c r="I628" s="190"/>
      <c r="J628" s="152"/>
      <c r="K628" s="192"/>
      <c r="L628" s="156"/>
      <c r="M628" s="156"/>
      <c r="N628" s="156"/>
      <c r="O628" s="156"/>
      <c r="P628" s="156"/>
      <c r="Q628" s="192" t="s">
        <v>1096</v>
      </c>
      <c r="R628" s="156"/>
      <c r="S628" s="156"/>
      <c r="T628" s="191"/>
      <c r="U628" s="191"/>
      <c r="V628" s="191"/>
      <c r="W628" s="191"/>
      <c r="X628" s="191"/>
      <c r="Y628" s="191"/>
    </row>
    <row r="629" spans="1:25" ht="41.4" x14ac:dyDescent="0.3">
      <c r="A629" s="40">
        <v>619</v>
      </c>
      <c r="B629" s="149" t="s">
        <v>1272</v>
      </c>
      <c r="C629" s="149" t="s">
        <v>1213</v>
      </c>
      <c r="D629" s="192" t="s">
        <v>1243</v>
      </c>
      <c r="E629" s="192" t="s">
        <v>1299</v>
      </c>
      <c r="F629" s="192"/>
      <c r="G629" s="188"/>
      <c r="H629" s="192"/>
      <c r="I629" s="190"/>
      <c r="J629" s="152"/>
      <c r="K629" s="192"/>
      <c r="L629" s="156"/>
      <c r="M629" s="156"/>
      <c r="N629" s="156"/>
      <c r="O629" s="156"/>
      <c r="P629" s="156"/>
      <c r="Q629" s="192" t="s">
        <v>1096</v>
      </c>
      <c r="R629" s="156"/>
      <c r="S629" s="156"/>
      <c r="T629" s="191"/>
      <c r="U629" s="191"/>
      <c r="V629" s="191"/>
      <c r="W629" s="191"/>
      <c r="X629" s="191"/>
      <c r="Y629" s="191"/>
    </row>
    <row r="630" spans="1:25" ht="41.4" x14ac:dyDescent="0.3">
      <c r="A630" s="40">
        <v>619</v>
      </c>
      <c r="B630" s="149" t="s">
        <v>557</v>
      </c>
      <c r="C630" s="149" t="s">
        <v>1303</v>
      </c>
      <c r="D630" s="192"/>
      <c r="E630" s="192" t="s">
        <v>556</v>
      </c>
      <c r="F630" s="192"/>
      <c r="G630" s="188"/>
      <c r="H630" s="192"/>
      <c r="I630" s="190"/>
      <c r="J630" s="152"/>
      <c r="K630" s="192"/>
      <c r="L630" s="156"/>
      <c r="M630" s="156"/>
      <c r="N630" s="156"/>
      <c r="O630" s="156"/>
      <c r="P630" s="156"/>
      <c r="Q630" s="192" t="s">
        <v>1096</v>
      </c>
      <c r="R630" s="156"/>
      <c r="S630" s="156"/>
      <c r="T630" s="191"/>
      <c r="U630" s="191"/>
      <c r="V630" s="191"/>
      <c r="W630" s="191"/>
      <c r="X630" s="191"/>
      <c r="Y630" s="191"/>
    </row>
    <row r="631" spans="1:25" ht="69" x14ac:dyDescent="0.3">
      <c r="A631" s="40">
        <v>619</v>
      </c>
      <c r="B631" s="149" t="s">
        <v>567</v>
      </c>
      <c r="C631" s="149" t="s">
        <v>1245</v>
      </c>
      <c r="D631" s="192" t="s">
        <v>1244</v>
      </c>
      <c r="E631" s="192" t="s">
        <v>1301</v>
      </c>
      <c r="F631" s="192"/>
      <c r="G631" s="188"/>
      <c r="H631" s="192"/>
      <c r="I631" s="190"/>
      <c r="J631" s="152"/>
      <c r="K631" s="192"/>
      <c r="L631" s="156"/>
      <c r="M631" s="156"/>
      <c r="N631" s="156"/>
      <c r="O631" s="156"/>
      <c r="P631" s="156"/>
      <c r="Q631" s="192" t="s">
        <v>1096</v>
      </c>
      <c r="R631" s="156"/>
      <c r="S631" s="156"/>
      <c r="T631" s="191"/>
      <c r="U631" s="191"/>
      <c r="V631" s="191"/>
      <c r="W631" s="191"/>
      <c r="X631" s="191"/>
      <c r="Y631" s="191"/>
    </row>
    <row r="632" spans="1:25" ht="27.6" x14ac:dyDescent="0.3">
      <c r="A632" s="40">
        <v>619</v>
      </c>
      <c r="B632" s="149" t="s">
        <v>574</v>
      </c>
      <c r="C632" s="149" t="s">
        <v>1303</v>
      </c>
      <c r="D632" s="192"/>
      <c r="E632" s="192" t="s">
        <v>1214</v>
      </c>
      <c r="F632" s="192"/>
      <c r="G632" s="188"/>
      <c r="H632" s="192"/>
      <c r="I632" s="190"/>
      <c r="J632" s="152"/>
      <c r="K632" s="192"/>
      <c r="L632" s="156"/>
      <c r="M632" s="156"/>
      <c r="N632" s="156"/>
      <c r="O632" s="156"/>
      <c r="P632" s="156"/>
      <c r="Q632" s="192" t="s">
        <v>1096</v>
      </c>
      <c r="R632" s="156"/>
      <c r="S632" s="156"/>
      <c r="T632" s="191"/>
      <c r="U632" s="191"/>
      <c r="V632" s="191"/>
      <c r="W632" s="191"/>
      <c r="X632" s="191"/>
      <c r="Y632" s="191"/>
    </row>
    <row r="633" spans="1:25" ht="27.6" x14ac:dyDescent="0.3">
      <c r="A633" s="40">
        <v>619</v>
      </c>
      <c r="B633" s="149" t="s">
        <v>1273</v>
      </c>
      <c r="C633" s="149" t="s">
        <v>1303</v>
      </c>
      <c r="D633" s="192"/>
      <c r="E633" s="192" t="s">
        <v>1214</v>
      </c>
      <c r="F633" s="192"/>
      <c r="G633" s="188"/>
      <c r="H633" s="192"/>
      <c r="I633" s="190"/>
      <c r="J633" s="152"/>
      <c r="K633" s="192"/>
      <c r="L633" s="156"/>
      <c r="M633" s="156"/>
      <c r="N633" s="156"/>
      <c r="O633" s="156"/>
      <c r="P633" s="156"/>
      <c r="Q633" s="192" t="s">
        <v>1096</v>
      </c>
      <c r="R633" s="156"/>
      <c r="S633" s="156"/>
      <c r="T633" s="191"/>
      <c r="U633" s="191"/>
      <c r="V633" s="191"/>
      <c r="W633" s="191"/>
      <c r="X633" s="191"/>
      <c r="Y633" s="191"/>
    </row>
    <row r="634" spans="1:25" ht="41.4" x14ac:dyDescent="0.3">
      <c r="A634" s="40">
        <v>619</v>
      </c>
      <c r="B634" s="149" t="s">
        <v>1274</v>
      </c>
      <c r="C634" s="149" t="s">
        <v>1213</v>
      </c>
      <c r="D634" s="192" t="s">
        <v>1243</v>
      </c>
      <c r="E634" s="192" t="s">
        <v>1299</v>
      </c>
      <c r="F634" s="192"/>
      <c r="G634" s="188"/>
      <c r="H634" s="192"/>
      <c r="I634" s="190"/>
      <c r="J634" s="152"/>
      <c r="K634" s="192"/>
      <c r="L634" s="156"/>
      <c r="M634" s="156"/>
      <c r="N634" s="156"/>
      <c r="O634" s="156"/>
      <c r="P634" s="156"/>
      <c r="Q634" s="192" t="s">
        <v>1096</v>
      </c>
      <c r="R634" s="156"/>
      <c r="S634" s="156"/>
      <c r="T634" s="191"/>
      <c r="U634" s="191"/>
      <c r="V634" s="191"/>
      <c r="W634" s="191"/>
      <c r="X634" s="191"/>
      <c r="Y634" s="191"/>
    </row>
    <row r="635" spans="1:25" ht="41.4" x14ac:dyDescent="0.3">
      <c r="A635" s="40">
        <v>619</v>
      </c>
      <c r="B635" s="149" t="s">
        <v>583</v>
      </c>
      <c r="C635" s="149" t="s">
        <v>1245</v>
      </c>
      <c r="D635" s="192" t="s">
        <v>1244</v>
      </c>
      <c r="E635" s="192" t="s">
        <v>1301</v>
      </c>
      <c r="F635" s="192"/>
      <c r="G635" s="188"/>
      <c r="H635" s="192"/>
      <c r="I635" s="190"/>
      <c r="J635" s="152"/>
      <c r="K635" s="192"/>
      <c r="L635" s="156"/>
      <c r="M635" s="156"/>
      <c r="N635" s="156"/>
      <c r="O635" s="156"/>
      <c r="P635" s="156"/>
      <c r="Q635" s="192" t="s">
        <v>1096</v>
      </c>
      <c r="R635" s="156"/>
      <c r="S635" s="156"/>
      <c r="T635" s="191"/>
      <c r="U635" s="191"/>
      <c r="V635" s="191"/>
      <c r="W635" s="191"/>
      <c r="X635" s="191"/>
      <c r="Y635" s="191"/>
    </row>
    <row r="636" spans="1:25" ht="79.95" customHeight="1" x14ac:dyDescent="0.3">
      <c r="A636" s="40">
        <v>619</v>
      </c>
      <c r="B636" s="149" t="s">
        <v>1275</v>
      </c>
      <c r="C636" s="149" t="s">
        <v>1246</v>
      </c>
      <c r="D636" s="192" t="s">
        <v>1215</v>
      </c>
      <c r="E636" s="192" t="s">
        <v>1228</v>
      </c>
      <c r="F636" s="192"/>
      <c r="G636" s="188"/>
      <c r="H636" s="192"/>
      <c r="I636" s="190"/>
      <c r="J636" s="152"/>
      <c r="K636" s="192"/>
      <c r="L636" s="156"/>
      <c r="M636" s="156"/>
      <c r="N636" s="156"/>
      <c r="O636" s="156"/>
      <c r="P636" s="156"/>
      <c r="Q636" s="192" t="s">
        <v>1096</v>
      </c>
      <c r="R636" s="156"/>
      <c r="S636" s="156"/>
      <c r="T636" s="191"/>
      <c r="U636" s="191"/>
      <c r="V636" s="191"/>
      <c r="W636" s="191"/>
      <c r="X636" s="191"/>
      <c r="Y636" s="191"/>
    </row>
    <row r="637" spans="1:25" ht="27.6" x14ac:dyDescent="0.3">
      <c r="A637" s="40">
        <v>619</v>
      </c>
      <c r="B637" s="149" t="s">
        <v>601</v>
      </c>
      <c r="C637" s="149" t="s">
        <v>1247</v>
      </c>
      <c r="D637" s="192" t="s">
        <v>1248</v>
      </c>
      <c r="E637" s="192" t="s">
        <v>1300</v>
      </c>
      <c r="F637" s="192"/>
      <c r="G637" s="188"/>
      <c r="H637" s="192"/>
      <c r="I637" s="190"/>
      <c r="J637" s="152"/>
      <c r="K637" s="192"/>
      <c r="L637" s="156"/>
      <c r="M637" s="156"/>
      <c r="N637" s="156"/>
      <c r="O637" s="156"/>
      <c r="P637" s="156"/>
      <c r="Q637" s="192" t="s">
        <v>1096</v>
      </c>
      <c r="R637" s="156"/>
      <c r="S637" s="156"/>
      <c r="T637" s="191"/>
      <c r="U637" s="191"/>
      <c r="V637" s="191"/>
      <c r="W637" s="191"/>
      <c r="X637" s="191"/>
      <c r="Y637" s="191"/>
    </row>
    <row r="638" spans="1:25" ht="41.4" x14ac:dyDescent="0.3">
      <c r="A638" s="40">
        <v>619</v>
      </c>
      <c r="B638" s="149" t="s">
        <v>1276</v>
      </c>
      <c r="C638" s="149" t="s">
        <v>1213</v>
      </c>
      <c r="D638" s="192" t="s">
        <v>1249</v>
      </c>
      <c r="E638" s="192" t="s">
        <v>1299</v>
      </c>
      <c r="F638" s="192"/>
      <c r="G638" s="188"/>
      <c r="H638" s="192"/>
      <c r="I638" s="190"/>
      <c r="J638" s="152"/>
      <c r="K638" s="192"/>
      <c r="L638" s="156"/>
      <c r="M638" s="156"/>
      <c r="N638" s="156"/>
      <c r="O638" s="156"/>
      <c r="P638" s="156"/>
      <c r="Q638" s="192" t="s">
        <v>1096</v>
      </c>
      <c r="R638" s="156"/>
      <c r="S638" s="156"/>
      <c r="T638" s="191"/>
      <c r="U638" s="191"/>
      <c r="V638" s="191"/>
      <c r="W638" s="191"/>
      <c r="X638" s="191"/>
      <c r="Y638" s="191"/>
    </row>
    <row r="639" spans="1:25" ht="69" x14ac:dyDescent="0.3">
      <c r="A639" s="40">
        <v>619</v>
      </c>
      <c r="B639" s="149" t="s">
        <v>606</v>
      </c>
      <c r="C639" s="149" t="s">
        <v>1303</v>
      </c>
      <c r="D639" s="192"/>
      <c r="E639" s="192" t="s">
        <v>556</v>
      </c>
      <c r="F639" s="192"/>
      <c r="G639" s="188"/>
      <c r="H639" s="192"/>
      <c r="I639" s="190"/>
      <c r="J639" s="152"/>
      <c r="K639" s="192"/>
      <c r="L639" s="156"/>
      <c r="M639" s="156"/>
      <c r="N639" s="156"/>
      <c r="O639" s="156"/>
      <c r="P639" s="156"/>
      <c r="Q639" s="192" t="s">
        <v>1096</v>
      </c>
      <c r="R639" s="156"/>
      <c r="S639" s="156"/>
      <c r="T639" s="191"/>
      <c r="U639" s="191"/>
      <c r="V639" s="191"/>
      <c r="W639" s="191"/>
      <c r="X639" s="191"/>
      <c r="Y639" s="191"/>
    </row>
    <row r="640" spans="1:25" ht="55.2" x14ac:dyDescent="0.3">
      <c r="A640" s="40">
        <v>619</v>
      </c>
      <c r="B640" s="149" t="s">
        <v>610</v>
      </c>
      <c r="C640" s="149" t="s">
        <v>1245</v>
      </c>
      <c r="D640" s="192" t="s">
        <v>1244</v>
      </c>
      <c r="E640" s="192" t="s">
        <v>1298</v>
      </c>
      <c r="F640" s="192"/>
      <c r="G640" s="188"/>
      <c r="H640" s="192"/>
      <c r="I640" s="190"/>
      <c r="J640" s="152"/>
      <c r="K640" s="192"/>
      <c r="L640" s="156"/>
      <c r="M640" s="156"/>
      <c r="N640" s="156"/>
      <c r="O640" s="156"/>
      <c r="P640" s="156"/>
      <c r="Q640" s="192" t="s">
        <v>1096</v>
      </c>
      <c r="R640" s="156"/>
      <c r="S640" s="156"/>
      <c r="T640" s="191"/>
      <c r="U640" s="191"/>
      <c r="V640" s="191"/>
      <c r="W640" s="191"/>
      <c r="X640" s="191"/>
      <c r="Y640" s="191"/>
    </row>
    <row r="641" spans="1:25" ht="41.4" x14ac:dyDescent="0.3">
      <c r="A641" s="40">
        <v>619</v>
      </c>
      <c r="B641" s="149" t="s">
        <v>616</v>
      </c>
      <c r="C641" s="149" t="s">
        <v>614</v>
      </c>
      <c r="D641" s="192"/>
      <c r="E641" s="192" t="s">
        <v>615</v>
      </c>
      <c r="F641" s="192"/>
      <c r="G641" s="188"/>
      <c r="H641" s="192"/>
      <c r="I641" s="190"/>
      <c r="J641" s="152"/>
      <c r="K641" s="192"/>
      <c r="L641" s="156"/>
      <c r="M641" s="156"/>
      <c r="N641" s="156"/>
      <c r="O641" s="156"/>
      <c r="P641" s="156"/>
      <c r="Q641" s="192" t="s">
        <v>1096</v>
      </c>
      <c r="R641" s="156"/>
      <c r="S641" s="156"/>
      <c r="T641" s="191"/>
      <c r="U641" s="191"/>
      <c r="V641" s="191"/>
      <c r="W641" s="191"/>
      <c r="X641" s="191"/>
      <c r="Y641" s="191"/>
    </row>
    <row r="642" spans="1:25" ht="41.4" x14ac:dyDescent="0.3">
      <c r="A642" s="40">
        <v>619</v>
      </c>
      <c r="B642" s="149" t="s">
        <v>1277</v>
      </c>
      <c r="C642" s="149" t="s">
        <v>1216</v>
      </c>
      <c r="D642" s="192"/>
      <c r="E642" s="192" t="s">
        <v>1229</v>
      </c>
      <c r="F642" s="192"/>
      <c r="G642" s="188"/>
      <c r="H642" s="192"/>
      <c r="I642" s="190"/>
      <c r="J642" s="152"/>
      <c r="K642" s="192"/>
      <c r="L642" s="156"/>
      <c r="M642" s="156"/>
      <c r="N642" s="156"/>
      <c r="O642" s="156"/>
      <c r="P642" s="156"/>
      <c r="Q642" s="192" t="s">
        <v>1096</v>
      </c>
      <c r="R642" s="156"/>
      <c r="S642" s="156"/>
      <c r="T642" s="191"/>
      <c r="U642" s="191"/>
      <c r="V642" s="191"/>
      <c r="W642" s="191"/>
      <c r="X642" s="191"/>
      <c r="Y642" s="191"/>
    </row>
    <row r="643" spans="1:25" ht="55.2" x14ac:dyDescent="0.3">
      <c r="A643" s="40">
        <v>619</v>
      </c>
      <c r="B643" s="149" t="s">
        <v>1214</v>
      </c>
      <c r="C643" s="149" t="s">
        <v>1217</v>
      </c>
      <c r="D643" s="192"/>
      <c r="E643" s="192" t="s">
        <v>1230</v>
      </c>
      <c r="F643" s="192"/>
      <c r="G643" s="188"/>
      <c r="H643" s="192"/>
      <c r="I643" s="190"/>
      <c r="J643" s="152"/>
      <c r="K643" s="192"/>
      <c r="L643" s="156"/>
      <c r="M643" s="156"/>
      <c r="N643" s="156"/>
      <c r="O643" s="156"/>
      <c r="P643" s="156"/>
      <c r="Q643" s="192" t="s">
        <v>1096</v>
      </c>
      <c r="R643" s="156"/>
      <c r="S643" s="156"/>
      <c r="T643" s="191"/>
      <c r="U643" s="191"/>
      <c r="V643" s="191"/>
      <c r="W643" s="191"/>
      <c r="X643" s="191"/>
      <c r="Y643" s="191"/>
    </row>
    <row r="644" spans="1:25" ht="55.2" x14ac:dyDescent="0.3">
      <c r="A644" s="40">
        <v>619</v>
      </c>
      <c r="B644" s="149" t="s">
        <v>1214</v>
      </c>
      <c r="C644" s="149" t="s">
        <v>1218</v>
      </c>
      <c r="D644" s="192"/>
      <c r="E644" s="192" t="s">
        <v>1231</v>
      </c>
      <c r="F644" s="192"/>
      <c r="G644" s="188"/>
      <c r="H644" s="192"/>
      <c r="I644" s="190"/>
      <c r="J644" s="152"/>
      <c r="K644" s="192"/>
      <c r="L644" s="156"/>
      <c r="M644" s="156"/>
      <c r="N644" s="156"/>
      <c r="O644" s="156"/>
      <c r="P644" s="156"/>
      <c r="Q644" s="192" t="s">
        <v>1096</v>
      </c>
      <c r="R644" s="156"/>
      <c r="S644" s="156"/>
      <c r="T644" s="191"/>
      <c r="U644" s="191"/>
      <c r="V644" s="191"/>
      <c r="W644" s="191"/>
      <c r="X644" s="191"/>
      <c r="Y644" s="191"/>
    </row>
    <row r="645" spans="1:25" ht="27.6" x14ac:dyDescent="0.3">
      <c r="A645" s="40">
        <v>619</v>
      </c>
      <c r="B645" s="149" t="s">
        <v>1278</v>
      </c>
      <c r="C645" s="149" t="s">
        <v>199</v>
      </c>
      <c r="D645" s="192"/>
      <c r="E645" s="192" t="s">
        <v>1232</v>
      </c>
      <c r="F645" s="192"/>
      <c r="G645" s="188"/>
      <c r="H645" s="192"/>
      <c r="I645" s="190"/>
      <c r="J645" s="152"/>
      <c r="K645" s="192"/>
      <c r="L645" s="156"/>
      <c r="M645" s="156"/>
      <c r="N645" s="156"/>
      <c r="O645" s="156"/>
      <c r="P645" s="156"/>
      <c r="Q645" s="192" t="s">
        <v>1096</v>
      </c>
      <c r="R645" s="156"/>
      <c r="S645" s="156"/>
      <c r="T645" s="191"/>
      <c r="U645" s="191"/>
      <c r="V645" s="191"/>
      <c r="W645" s="191"/>
      <c r="X645" s="191"/>
      <c r="Y645" s="191"/>
    </row>
    <row r="646" spans="1:25" ht="27.6" x14ac:dyDescent="0.3">
      <c r="A646" s="40">
        <v>619</v>
      </c>
      <c r="B646" s="149" t="s">
        <v>1214</v>
      </c>
      <c r="C646" s="149" t="s">
        <v>199</v>
      </c>
      <c r="D646" s="192" t="s">
        <v>1250</v>
      </c>
      <c r="E646" s="192" t="s">
        <v>1233</v>
      </c>
      <c r="F646" s="192"/>
      <c r="G646" s="188"/>
      <c r="H646" s="192"/>
      <c r="I646" s="190"/>
      <c r="J646" s="152"/>
      <c r="K646" s="192"/>
      <c r="L646" s="156"/>
      <c r="M646" s="156"/>
      <c r="N646" s="156"/>
      <c r="O646" s="156"/>
      <c r="P646" s="156"/>
      <c r="Q646" s="192" t="s">
        <v>1096</v>
      </c>
      <c r="R646" s="156"/>
      <c r="S646" s="156"/>
      <c r="T646" s="191"/>
      <c r="U646" s="191"/>
      <c r="V646" s="191"/>
      <c r="W646" s="191"/>
      <c r="X646" s="191"/>
      <c r="Y646" s="191"/>
    </row>
    <row r="647" spans="1:25" ht="27.6" x14ac:dyDescent="0.3">
      <c r="A647" s="40">
        <v>619</v>
      </c>
      <c r="B647" s="149" t="s">
        <v>1279</v>
      </c>
      <c r="C647" s="149" t="s">
        <v>1219</v>
      </c>
      <c r="D647" s="192"/>
      <c r="E647" s="192" t="s">
        <v>1234</v>
      </c>
      <c r="F647" s="192"/>
      <c r="G647" s="188"/>
      <c r="H647" s="192"/>
      <c r="I647" s="190"/>
      <c r="J647" s="152"/>
      <c r="K647" s="192"/>
      <c r="L647" s="156"/>
      <c r="M647" s="156"/>
      <c r="N647" s="156"/>
      <c r="O647" s="156"/>
      <c r="P647" s="156"/>
      <c r="Q647" s="192" t="s">
        <v>1096</v>
      </c>
      <c r="R647" s="156"/>
      <c r="S647" s="156"/>
      <c r="T647" s="191"/>
      <c r="U647" s="191"/>
      <c r="V647" s="191"/>
      <c r="W647" s="191"/>
      <c r="X647" s="191"/>
      <c r="Y647" s="191"/>
    </row>
    <row r="648" spans="1:25" ht="79.95" customHeight="1" x14ac:dyDescent="0.3">
      <c r="A648" s="40">
        <v>619</v>
      </c>
      <c r="B648" s="149" t="s">
        <v>621</v>
      </c>
      <c r="C648" s="149" t="s">
        <v>1220</v>
      </c>
      <c r="D648" s="192"/>
      <c r="E648" s="192" t="s">
        <v>1235</v>
      </c>
      <c r="F648" s="192"/>
      <c r="G648" s="188"/>
      <c r="H648" s="192"/>
      <c r="I648" s="190"/>
      <c r="J648" s="152"/>
      <c r="K648" s="192"/>
      <c r="L648" s="156"/>
      <c r="M648" s="156"/>
      <c r="N648" s="156"/>
      <c r="O648" s="156"/>
      <c r="P648" s="156"/>
      <c r="Q648" s="192" t="s">
        <v>1096</v>
      </c>
      <c r="R648" s="156"/>
      <c r="S648" s="156"/>
      <c r="T648" s="191"/>
      <c r="U648" s="191"/>
      <c r="V648" s="191"/>
      <c r="W648" s="191"/>
      <c r="X648" s="191"/>
      <c r="Y648" s="191"/>
    </row>
    <row r="649" spans="1:25" ht="69" x14ac:dyDescent="0.3">
      <c r="A649" s="40">
        <v>619</v>
      </c>
      <c r="B649" s="149" t="s">
        <v>626</v>
      </c>
      <c r="C649" s="149" t="s">
        <v>624</v>
      </c>
      <c r="D649" s="192"/>
      <c r="E649" s="192" t="s">
        <v>1236</v>
      </c>
      <c r="F649" s="192"/>
      <c r="G649" s="188"/>
      <c r="H649" s="192"/>
      <c r="I649" s="190"/>
      <c r="J649" s="152"/>
      <c r="K649" s="192"/>
      <c r="L649" s="156"/>
      <c r="M649" s="156"/>
      <c r="N649" s="156"/>
      <c r="O649" s="156"/>
      <c r="P649" s="156"/>
      <c r="Q649" s="192" t="s">
        <v>1096</v>
      </c>
      <c r="R649" s="156"/>
      <c r="S649" s="156"/>
      <c r="T649" s="191"/>
      <c r="U649" s="191"/>
      <c r="V649" s="191"/>
      <c r="W649" s="191"/>
      <c r="X649" s="191"/>
      <c r="Y649" s="191"/>
    </row>
    <row r="650" spans="1:25" ht="79.95" customHeight="1" x14ac:dyDescent="0.3">
      <c r="A650" s="40">
        <v>619</v>
      </c>
      <c r="B650" s="149" t="s">
        <v>1280</v>
      </c>
      <c r="C650" s="149" t="s">
        <v>1221</v>
      </c>
      <c r="D650" s="192" t="s">
        <v>1251</v>
      </c>
      <c r="E650" s="192" t="s">
        <v>1237</v>
      </c>
      <c r="F650" s="192"/>
      <c r="G650" s="188"/>
      <c r="H650" s="192"/>
      <c r="I650" s="190"/>
      <c r="J650" s="152"/>
      <c r="K650" s="192"/>
      <c r="L650" s="156"/>
      <c r="M650" s="156"/>
      <c r="N650" s="156"/>
      <c r="O650" s="156"/>
      <c r="P650" s="156"/>
      <c r="Q650" s="192" t="s">
        <v>1096</v>
      </c>
      <c r="R650" s="156"/>
      <c r="S650" s="156"/>
      <c r="T650" s="191"/>
      <c r="U650" s="191"/>
      <c r="V650" s="191"/>
      <c r="W650" s="191"/>
      <c r="X650" s="191"/>
      <c r="Y650" s="191"/>
    </row>
    <row r="651" spans="1:25" ht="27.6" x14ac:dyDescent="0.3">
      <c r="A651" s="40">
        <v>619</v>
      </c>
      <c r="B651" s="149" t="s">
        <v>1281</v>
      </c>
      <c r="C651" s="149" t="s">
        <v>1303</v>
      </c>
      <c r="D651" s="192"/>
      <c r="E651" s="192" t="s">
        <v>1238</v>
      </c>
      <c r="F651" s="192"/>
      <c r="G651" s="188"/>
      <c r="H651" s="192"/>
      <c r="I651" s="190"/>
      <c r="J651" s="152"/>
      <c r="K651" s="192"/>
      <c r="L651" s="156"/>
      <c r="M651" s="156"/>
      <c r="N651" s="156"/>
      <c r="O651" s="156"/>
      <c r="P651" s="156"/>
      <c r="Q651" s="192" t="s">
        <v>1096</v>
      </c>
      <c r="R651" s="156"/>
      <c r="S651" s="156"/>
      <c r="T651" s="191"/>
      <c r="U651" s="191"/>
      <c r="V651" s="191"/>
      <c r="W651" s="191"/>
      <c r="X651" s="191"/>
      <c r="Y651" s="191"/>
    </row>
    <row r="652" spans="1:25" ht="55.2" x14ac:dyDescent="0.3">
      <c r="A652" s="40">
        <v>619</v>
      </c>
      <c r="B652" s="149" t="s">
        <v>1282</v>
      </c>
      <c r="C652" s="149" t="s">
        <v>1222</v>
      </c>
      <c r="D652" s="192"/>
      <c r="E652" s="192" t="s">
        <v>1239</v>
      </c>
      <c r="F652" s="192"/>
      <c r="G652" s="188"/>
      <c r="H652" s="192"/>
      <c r="I652" s="190"/>
      <c r="J652" s="152"/>
      <c r="K652" s="192"/>
      <c r="L652" s="156"/>
      <c r="M652" s="156"/>
      <c r="N652" s="156"/>
      <c r="O652" s="156"/>
      <c r="P652" s="156"/>
      <c r="Q652" s="192" t="s">
        <v>1096</v>
      </c>
      <c r="R652" s="156"/>
      <c r="S652" s="156"/>
      <c r="T652" s="191"/>
      <c r="U652" s="191"/>
      <c r="V652" s="191"/>
      <c r="W652" s="191"/>
      <c r="X652" s="191"/>
      <c r="Y652" s="191"/>
    </row>
    <row r="653" spans="1:25" ht="96.6" x14ac:dyDescent="0.3">
      <c r="A653" s="40">
        <v>619</v>
      </c>
      <c r="B653" s="149" t="s">
        <v>1283</v>
      </c>
      <c r="C653" s="149" t="s">
        <v>1222</v>
      </c>
      <c r="D653" s="192"/>
      <c r="E653" s="192" t="s">
        <v>1239</v>
      </c>
      <c r="F653" s="192"/>
      <c r="G653" s="188"/>
      <c r="H653" s="192"/>
      <c r="I653" s="190"/>
      <c r="J653" s="152"/>
      <c r="K653" s="192"/>
      <c r="L653" s="156"/>
      <c r="M653" s="156"/>
      <c r="N653" s="156"/>
      <c r="O653" s="156"/>
      <c r="P653" s="156"/>
      <c r="Q653" s="192" t="s">
        <v>1096</v>
      </c>
      <c r="R653" s="156"/>
      <c r="S653" s="156"/>
      <c r="T653" s="191"/>
      <c r="U653" s="191"/>
      <c r="V653" s="191"/>
      <c r="W653" s="191"/>
      <c r="X653" s="191"/>
      <c r="Y653" s="191"/>
    </row>
    <row r="654" spans="1:25" ht="27.6" x14ac:dyDescent="0.3">
      <c r="A654" s="40">
        <v>619</v>
      </c>
      <c r="B654" s="149" t="s">
        <v>1284</v>
      </c>
      <c r="C654" s="149" t="s">
        <v>1223</v>
      </c>
      <c r="D654" s="192"/>
      <c r="E654" s="192" t="s">
        <v>1223</v>
      </c>
      <c r="F654" s="192"/>
      <c r="G654" s="188"/>
      <c r="H654" s="192"/>
      <c r="I654" s="190"/>
      <c r="J654" s="152"/>
      <c r="K654" s="192"/>
      <c r="L654" s="156"/>
      <c r="M654" s="156"/>
      <c r="N654" s="156"/>
      <c r="O654" s="156"/>
      <c r="P654" s="156"/>
      <c r="Q654" s="192" t="s">
        <v>1096</v>
      </c>
      <c r="R654" s="156"/>
      <c r="S654" s="156"/>
      <c r="T654" s="191"/>
      <c r="U654" s="191"/>
      <c r="V654" s="191"/>
      <c r="W654" s="191"/>
      <c r="X654" s="191"/>
      <c r="Y654" s="191"/>
    </row>
    <row r="655" spans="1:25" ht="69" x14ac:dyDescent="0.3">
      <c r="A655" s="40">
        <v>619</v>
      </c>
      <c r="B655" s="149" t="s">
        <v>1285</v>
      </c>
      <c r="C655" s="149" t="s">
        <v>1224</v>
      </c>
      <c r="D655" s="192"/>
      <c r="E655" s="192" t="s">
        <v>1240</v>
      </c>
      <c r="F655" s="192"/>
      <c r="G655" s="188"/>
      <c r="H655" s="192"/>
      <c r="I655" s="190"/>
      <c r="J655" s="152"/>
      <c r="K655" s="192"/>
      <c r="L655" s="156"/>
      <c r="M655" s="156"/>
      <c r="N655" s="156"/>
      <c r="O655" s="156"/>
      <c r="P655" s="156"/>
      <c r="Q655" s="192" t="s">
        <v>1096</v>
      </c>
      <c r="R655" s="156"/>
      <c r="S655" s="156"/>
      <c r="T655" s="191"/>
      <c r="U655" s="191"/>
      <c r="V655" s="191"/>
      <c r="W655" s="191"/>
      <c r="X655" s="191"/>
      <c r="Y655" s="191"/>
    </row>
    <row r="656" spans="1:25" ht="96.6" x14ac:dyDescent="0.3">
      <c r="A656" s="40">
        <v>619</v>
      </c>
      <c r="B656" s="149" t="s">
        <v>1286</v>
      </c>
      <c r="C656" s="149" t="s">
        <v>1303</v>
      </c>
      <c r="D656" s="192"/>
      <c r="E656" s="192" t="s">
        <v>1241</v>
      </c>
      <c r="F656" s="192"/>
      <c r="G656" s="188"/>
      <c r="H656" s="192"/>
      <c r="I656" s="190"/>
      <c r="J656" s="152"/>
      <c r="K656" s="192"/>
      <c r="L656" s="156"/>
      <c r="M656" s="156"/>
      <c r="N656" s="156"/>
      <c r="O656" s="156"/>
      <c r="P656" s="156"/>
      <c r="Q656" s="192" t="s">
        <v>1096</v>
      </c>
      <c r="R656" s="156"/>
      <c r="S656" s="156"/>
      <c r="T656" s="191"/>
      <c r="U656" s="191"/>
      <c r="V656" s="191"/>
      <c r="W656" s="191"/>
      <c r="X656" s="191"/>
      <c r="Y656" s="191"/>
    </row>
    <row r="657" spans="1:25" ht="124.2" x14ac:dyDescent="0.3">
      <c r="A657" s="40">
        <v>619</v>
      </c>
      <c r="B657" s="149" t="s">
        <v>1287</v>
      </c>
      <c r="C657" s="149" t="s">
        <v>1303</v>
      </c>
      <c r="D657" s="192"/>
      <c r="E657" s="192" t="s">
        <v>1214</v>
      </c>
      <c r="F657" s="192"/>
      <c r="G657" s="188"/>
      <c r="H657" s="192"/>
      <c r="I657" s="190"/>
      <c r="J657" s="152"/>
      <c r="K657" s="192"/>
      <c r="L657" s="156"/>
      <c r="M657" s="156"/>
      <c r="N657" s="156"/>
      <c r="O657" s="156"/>
      <c r="P657" s="156"/>
      <c r="Q657" s="192" t="s">
        <v>1096</v>
      </c>
      <c r="R657" s="156"/>
      <c r="S657" s="156"/>
      <c r="T657" s="191"/>
      <c r="U657" s="191"/>
      <c r="V657" s="191"/>
      <c r="W657" s="191"/>
      <c r="X657" s="191"/>
      <c r="Y657" s="191"/>
    </row>
    <row r="658" spans="1:25" ht="96.6" x14ac:dyDescent="0.3">
      <c r="A658" s="40">
        <v>619</v>
      </c>
      <c r="B658" s="149" t="s">
        <v>1288</v>
      </c>
      <c r="C658" s="149" t="s">
        <v>1214</v>
      </c>
      <c r="D658" s="192"/>
      <c r="E658" s="192" t="s">
        <v>1242</v>
      </c>
      <c r="F658" s="192"/>
      <c r="G658" s="188"/>
      <c r="H658" s="192"/>
      <c r="I658" s="190"/>
      <c r="J658" s="152"/>
      <c r="K658" s="192"/>
      <c r="L658" s="156"/>
      <c r="M658" s="156"/>
      <c r="N658" s="156"/>
      <c r="O658" s="156"/>
      <c r="P658" s="156"/>
      <c r="Q658" s="192" t="s">
        <v>1096</v>
      </c>
      <c r="R658" s="156"/>
      <c r="S658" s="156"/>
      <c r="T658" s="191"/>
      <c r="U658" s="191"/>
      <c r="V658" s="191"/>
      <c r="W658" s="191"/>
      <c r="X658" s="191"/>
      <c r="Y658" s="191"/>
    </row>
    <row r="659" spans="1:25" ht="79.95" customHeight="1" x14ac:dyDescent="0.3">
      <c r="A659" s="40">
        <v>619</v>
      </c>
      <c r="B659" s="149" t="s">
        <v>1289</v>
      </c>
      <c r="C659" s="149" t="s">
        <v>1252</v>
      </c>
      <c r="D659" s="192"/>
      <c r="E659" s="192" t="s">
        <v>1297</v>
      </c>
      <c r="F659" s="192"/>
      <c r="G659" s="188"/>
      <c r="H659" s="192"/>
      <c r="I659" s="190"/>
      <c r="J659" s="152"/>
      <c r="K659" s="192"/>
      <c r="L659" s="156"/>
      <c r="M659" s="156"/>
      <c r="N659" s="156"/>
      <c r="O659" s="156"/>
      <c r="P659" s="156"/>
      <c r="Q659" s="192" t="s">
        <v>1096</v>
      </c>
      <c r="R659" s="156"/>
      <c r="S659" s="156"/>
      <c r="T659" s="191"/>
      <c r="U659" s="191"/>
      <c r="V659" s="191"/>
      <c r="W659" s="191"/>
      <c r="X659" s="191"/>
      <c r="Y659" s="191"/>
    </row>
    <row r="660" spans="1:25" ht="79.95" customHeight="1" x14ac:dyDescent="0.3">
      <c r="A660" s="40">
        <v>619</v>
      </c>
      <c r="B660" s="149" t="s">
        <v>1290</v>
      </c>
      <c r="C660" s="149" t="s">
        <v>1253</v>
      </c>
      <c r="D660" s="192"/>
      <c r="E660" s="192" t="s">
        <v>1266</v>
      </c>
      <c r="F660" s="192"/>
      <c r="G660" s="188"/>
      <c r="H660" s="192"/>
      <c r="I660" s="190"/>
      <c r="J660" s="152"/>
      <c r="K660" s="192"/>
      <c r="L660" s="156"/>
      <c r="M660" s="156"/>
      <c r="N660" s="156"/>
      <c r="O660" s="156"/>
      <c r="P660" s="156"/>
      <c r="Q660" s="192" t="s">
        <v>1096</v>
      </c>
      <c r="R660" s="156"/>
      <c r="S660" s="156"/>
      <c r="T660" s="191"/>
      <c r="U660" s="191"/>
      <c r="V660" s="191"/>
      <c r="W660" s="191"/>
      <c r="X660" s="191"/>
      <c r="Y660" s="191"/>
    </row>
    <row r="661" spans="1:25" ht="27.6" x14ac:dyDescent="0.3">
      <c r="A661" s="40">
        <v>619</v>
      </c>
      <c r="B661" s="149" t="s">
        <v>1291</v>
      </c>
      <c r="C661" s="149" t="s">
        <v>1303</v>
      </c>
      <c r="D661" s="192"/>
      <c r="E661" s="192" t="s">
        <v>1214</v>
      </c>
      <c r="F661" s="192"/>
      <c r="G661" s="188"/>
      <c r="H661" s="192"/>
      <c r="I661" s="190"/>
      <c r="J661" s="152"/>
      <c r="K661" s="192"/>
      <c r="L661" s="156"/>
      <c r="M661" s="156"/>
      <c r="N661" s="156"/>
      <c r="O661" s="156"/>
      <c r="P661" s="156"/>
      <c r="Q661" s="192" t="s">
        <v>1096</v>
      </c>
      <c r="R661" s="156"/>
      <c r="S661" s="156"/>
      <c r="T661" s="191"/>
      <c r="U661" s="191"/>
      <c r="V661" s="191"/>
      <c r="W661" s="191"/>
      <c r="X661" s="191"/>
      <c r="Y661" s="191"/>
    </row>
    <row r="662" spans="1:25" ht="79.95" customHeight="1" x14ac:dyDescent="0.3">
      <c r="A662" s="40">
        <v>619</v>
      </c>
      <c r="B662" s="149" t="s">
        <v>1292</v>
      </c>
      <c r="C662" s="149" t="s">
        <v>1225</v>
      </c>
      <c r="D662" s="192"/>
      <c r="E662" s="192" t="s">
        <v>1267</v>
      </c>
      <c r="F662" s="192"/>
      <c r="G662" s="188"/>
      <c r="H662" s="192"/>
      <c r="I662" s="190"/>
      <c r="J662" s="152"/>
      <c r="K662" s="192"/>
      <c r="L662" s="156"/>
      <c r="M662" s="156"/>
      <c r="N662" s="156"/>
      <c r="O662" s="156"/>
      <c r="P662" s="156"/>
      <c r="Q662" s="192" t="s">
        <v>1096</v>
      </c>
      <c r="R662" s="156"/>
      <c r="S662" s="156"/>
      <c r="T662" s="191"/>
      <c r="U662" s="191"/>
      <c r="V662" s="191"/>
      <c r="W662" s="191"/>
      <c r="X662" s="191"/>
      <c r="Y662" s="191"/>
    </row>
    <row r="663" spans="1:25" ht="82.8" x14ac:dyDescent="0.3">
      <c r="A663" s="40">
        <v>619</v>
      </c>
      <c r="B663" s="149" t="s">
        <v>1293</v>
      </c>
      <c r="C663" s="149" t="s">
        <v>1225</v>
      </c>
      <c r="D663" s="192"/>
      <c r="E663" s="192" t="s">
        <v>1267</v>
      </c>
      <c r="F663" s="192"/>
      <c r="G663" s="188"/>
      <c r="H663" s="192"/>
      <c r="I663" s="190"/>
      <c r="J663" s="152"/>
      <c r="K663" s="192"/>
      <c r="L663" s="156"/>
      <c r="M663" s="156"/>
      <c r="N663" s="156"/>
      <c r="O663" s="156"/>
      <c r="P663" s="156"/>
      <c r="Q663" s="192" t="s">
        <v>1096</v>
      </c>
      <c r="R663" s="156"/>
      <c r="S663" s="156"/>
      <c r="T663" s="191"/>
      <c r="U663" s="191"/>
      <c r="V663" s="191"/>
      <c r="W663" s="191"/>
      <c r="X663" s="191"/>
      <c r="Y663" s="191"/>
    </row>
    <row r="664" spans="1:25" ht="55.2" x14ac:dyDescent="0.3">
      <c r="A664" s="40">
        <v>619</v>
      </c>
      <c r="B664" s="149" t="s">
        <v>1294</v>
      </c>
      <c r="C664" s="149" t="s">
        <v>1226</v>
      </c>
      <c r="D664" s="192"/>
      <c r="E664" s="192"/>
      <c r="F664" s="192"/>
      <c r="G664" s="188"/>
      <c r="H664" s="192"/>
      <c r="I664" s="190"/>
      <c r="J664" s="152"/>
      <c r="K664" s="192"/>
      <c r="L664" s="156"/>
      <c r="M664" s="156"/>
      <c r="N664" s="156"/>
      <c r="O664" s="156"/>
      <c r="P664" s="156"/>
      <c r="Q664" s="192" t="s">
        <v>1096</v>
      </c>
      <c r="R664" s="156"/>
      <c r="S664" s="156"/>
      <c r="T664" s="191"/>
      <c r="U664" s="191"/>
      <c r="V664" s="191"/>
      <c r="W664" s="191"/>
      <c r="X664" s="191"/>
      <c r="Y664" s="191"/>
    </row>
    <row r="665" spans="1:25" ht="41.4" x14ac:dyDescent="0.3">
      <c r="A665" s="40">
        <v>619</v>
      </c>
      <c r="B665" s="149" t="s">
        <v>667</v>
      </c>
      <c r="C665" s="149" t="s">
        <v>1264</v>
      </c>
      <c r="D665" s="192"/>
      <c r="E665" s="192" t="s">
        <v>1263</v>
      </c>
      <c r="F665" s="192"/>
      <c r="G665" s="188"/>
      <c r="H665" s="192"/>
      <c r="I665" s="190"/>
      <c r="J665" s="152"/>
      <c r="K665" s="192"/>
      <c r="L665" s="156"/>
      <c r="M665" s="156"/>
      <c r="N665" s="156"/>
      <c r="O665" s="156"/>
      <c r="P665" s="156"/>
      <c r="Q665" s="192" t="s">
        <v>1096</v>
      </c>
      <c r="R665" s="156"/>
      <c r="S665" s="156"/>
      <c r="T665" s="191"/>
      <c r="U665" s="191"/>
      <c r="V665" s="191"/>
      <c r="W665" s="191"/>
      <c r="X665" s="191"/>
      <c r="Y665" s="191"/>
    </row>
    <row r="666" spans="1:25" ht="69" x14ac:dyDescent="0.3">
      <c r="A666" s="40">
        <v>619</v>
      </c>
      <c r="B666" s="149" t="s">
        <v>638</v>
      </c>
      <c r="C666" s="149" t="s">
        <v>561</v>
      </c>
      <c r="D666" s="192" t="s">
        <v>1254</v>
      </c>
      <c r="E666" s="192" t="s">
        <v>1265</v>
      </c>
      <c r="F666" s="192"/>
      <c r="G666" s="188"/>
      <c r="H666" s="192"/>
      <c r="I666" s="190"/>
      <c r="J666" s="152"/>
      <c r="K666" s="192"/>
      <c r="L666" s="156"/>
      <c r="M666" s="156"/>
      <c r="N666" s="156"/>
      <c r="O666" s="156"/>
      <c r="P666" s="156"/>
      <c r="Q666" s="192" t="s">
        <v>1096</v>
      </c>
      <c r="R666" s="156"/>
      <c r="S666" s="156"/>
      <c r="T666" s="191"/>
      <c r="U666" s="191"/>
      <c r="V666" s="191"/>
      <c r="W666" s="191"/>
      <c r="X666" s="191"/>
      <c r="Y666" s="191"/>
    </row>
    <row r="667" spans="1:25" ht="55.2" x14ac:dyDescent="0.3">
      <c r="A667" s="40">
        <v>619</v>
      </c>
      <c r="B667" s="149" t="s">
        <v>642</v>
      </c>
      <c r="C667" s="149" t="s">
        <v>561</v>
      </c>
      <c r="D667" s="192" t="s">
        <v>1254</v>
      </c>
      <c r="E667" s="192" t="s">
        <v>1265</v>
      </c>
      <c r="F667" s="192"/>
      <c r="G667" s="188"/>
      <c r="H667" s="192"/>
      <c r="I667" s="190"/>
      <c r="J667" s="152"/>
      <c r="K667" s="192"/>
      <c r="L667" s="156"/>
      <c r="M667" s="156"/>
      <c r="N667" s="156"/>
      <c r="O667" s="156"/>
      <c r="P667" s="156"/>
      <c r="Q667" s="192" t="s">
        <v>1096</v>
      </c>
      <c r="R667" s="156"/>
      <c r="S667" s="156"/>
      <c r="T667" s="191"/>
      <c r="U667" s="191"/>
      <c r="V667" s="191"/>
      <c r="W667" s="191"/>
      <c r="X667" s="191"/>
      <c r="Y667" s="191"/>
    </row>
    <row r="668" spans="1:25" ht="82.8" x14ac:dyDescent="0.3">
      <c r="A668" s="40">
        <v>619</v>
      </c>
      <c r="B668" s="149" t="s">
        <v>645</v>
      </c>
      <c r="C668" s="149" t="s">
        <v>561</v>
      </c>
      <c r="D668" s="192" t="s">
        <v>1254</v>
      </c>
      <c r="E668" s="192" t="s">
        <v>1265</v>
      </c>
      <c r="F668" s="192"/>
      <c r="G668" s="188"/>
      <c r="H668" s="192"/>
      <c r="I668" s="190"/>
      <c r="J668" s="152"/>
      <c r="K668" s="192"/>
      <c r="L668" s="156"/>
      <c r="M668" s="156"/>
      <c r="N668" s="156"/>
      <c r="O668" s="156"/>
      <c r="P668" s="156"/>
      <c r="Q668" s="192" t="s">
        <v>1096</v>
      </c>
      <c r="R668" s="156"/>
      <c r="S668" s="156"/>
      <c r="T668" s="191"/>
      <c r="U668" s="191"/>
      <c r="V668" s="191"/>
      <c r="W668" s="191"/>
      <c r="X668" s="191"/>
      <c r="Y668" s="191"/>
    </row>
    <row r="669" spans="1:25" ht="27.6" x14ac:dyDescent="0.3">
      <c r="A669" s="40">
        <v>619</v>
      </c>
      <c r="B669" s="149" t="s">
        <v>555</v>
      </c>
      <c r="C669" s="149" t="s">
        <v>561</v>
      </c>
      <c r="D669" s="192" t="s">
        <v>1256</v>
      </c>
      <c r="E669" s="192" t="s">
        <v>1255</v>
      </c>
      <c r="F669" s="192"/>
      <c r="G669" s="188"/>
      <c r="H669" s="192"/>
      <c r="I669" s="190"/>
      <c r="J669" s="152"/>
      <c r="K669" s="192"/>
      <c r="L669" s="156"/>
      <c r="M669" s="156"/>
      <c r="N669" s="156"/>
      <c r="O669" s="156"/>
      <c r="P669" s="156"/>
      <c r="Q669" s="192" t="s">
        <v>1096</v>
      </c>
      <c r="R669" s="156"/>
      <c r="S669" s="156"/>
      <c r="T669" s="191"/>
      <c r="U669" s="191"/>
      <c r="V669" s="191"/>
      <c r="W669" s="191"/>
      <c r="X669" s="191"/>
      <c r="Y669" s="191"/>
    </row>
    <row r="670" spans="1:25" ht="82.8" x14ac:dyDescent="0.3">
      <c r="A670" s="40">
        <v>619</v>
      </c>
      <c r="B670" s="149" t="s">
        <v>547</v>
      </c>
      <c r="C670" s="149" t="s">
        <v>561</v>
      </c>
      <c r="D670" s="192" t="s">
        <v>1256</v>
      </c>
      <c r="E670" s="192" t="s">
        <v>546</v>
      </c>
      <c r="F670" s="192"/>
      <c r="G670" s="188"/>
      <c r="H670" s="192"/>
      <c r="I670" s="190"/>
      <c r="J670" s="152"/>
      <c r="K670" s="192"/>
      <c r="L670" s="156"/>
      <c r="M670" s="156"/>
      <c r="N670" s="156"/>
      <c r="O670" s="156"/>
      <c r="P670" s="156"/>
      <c r="Q670" s="192" t="s">
        <v>1096</v>
      </c>
      <c r="R670" s="156"/>
      <c r="S670" s="156"/>
      <c r="T670" s="191"/>
      <c r="U670" s="191"/>
      <c r="V670" s="191"/>
      <c r="W670" s="191"/>
      <c r="X670" s="191"/>
      <c r="Y670" s="191"/>
    </row>
    <row r="671" spans="1:25" ht="82.8" x14ac:dyDescent="0.3">
      <c r="A671" s="40">
        <v>619</v>
      </c>
      <c r="B671" s="149" t="s">
        <v>527</v>
      </c>
      <c r="C671" s="149" t="s">
        <v>519</v>
      </c>
      <c r="D671" s="192" t="s">
        <v>995</v>
      </c>
      <c r="E671" s="192" t="s">
        <v>520</v>
      </c>
      <c r="F671" s="192"/>
      <c r="G671" s="188"/>
      <c r="H671" s="192"/>
      <c r="I671" s="190"/>
      <c r="J671" s="152"/>
      <c r="K671" s="192"/>
      <c r="L671" s="156"/>
      <c r="M671" s="156"/>
      <c r="N671" s="156"/>
      <c r="O671" s="156"/>
      <c r="P671" s="156"/>
      <c r="Q671" s="192" t="s">
        <v>1096</v>
      </c>
      <c r="R671" s="156"/>
      <c r="S671" s="156"/>
      <c r="T671" s="191"/>
      <c r="U671" s="191"/>
      <c r="V671" s="191"/>
      <c r="W671" s="191"/>
      <c r="X671" s="191"/>
      <c r="Y671" s="191"/>
    </row>
    <row r="672" spans="1:25" ht="41.4" x14ac:dyDescent="0.3">
      <c r="A672" s="40">
        <v>619</v>
      </c>
      <c r="B672" s="149" t="s">
        <v>521</v>
      </c>
      <c r="C672" s="149" t="s">
        <v>519</v>
      </c>
      <c r="D672" s="192" t="s">
        <v>1257</v>
      </c>
      <c r="E672" s="192" t="s">
        <v>520</v>
      </c>
      <c r="F672" s="192"/>
      <c r="G672" s="188"/>
      <c r="H672" s="192"/>
      <c r="I672" s="190"/>
      <c r="J672" s="152"/>
      <c r="K672" s="192"/>
      <c r="L672" s="156"/>
      <c r="M672" s="156"/>
      <c r="N672" s="156"/>
      <c r="O672" s="156"/>
      <c r="P672" s="156"/>
      <c r="Q672" s="192" t="s">
        <v>1096</v>
      </c>
      <c r="R672" s="156"/>
      <c r="S672" s="156"/>
      <c r="T672" s="191"/>
      <c r="U672" s="191"/>
      <c r="V672" s="191"/>
      <c r="W672" s="191"/>
      <c r="X672" s="191"/>
      <c r="Y672" s="191"/>
    </row>
    <row r="673" spans="1:25" ht="41.4" x14ac:dyDescent="0.3">
      <c r="A673" s="40">
        <v>619</v>
      </c>
      <c r="B673" s="149" t="s">
        <v>648</v>
      </c>
      <c r="C673" s="149" t="s">
        <v>1259</v>
      </c>
      <c r="D673" s="192"/>
      <c r="E673" s="192" t="s">
        <v>1258</v>
      </c>
      <c r="F673" s="192"/>
      <c r="G673" s="188"/>
      <c r="H673" s="192"/>
      <c r="I673" s="190"/>
      <c r="J673" s="152"/>
      <c r="K673" s="192"/>
      <c r="L673" s="156"/>
      <c r="M673" s="156"/>
      <c r="N673" s="156"/>
      <c r="O673" s="156"/>
      <c r="P673" s="156"/>
      <c r="Q673" s="192" t="s">
        <v>1096</v>
      </c>
      <c r="R673" s="156"/>
      <c r="S673" s="156"/>
      <c r="T673" s="191"/>
      <c r="U673" s="191"/>
      <c r="V673" s="191"/>
      <c r="W673" s="191"/>
      <c r="X673" s="191"/>
      <c r="Y673" s="191"/>
    </row>
    <row r="674" spans="1:25" ht="41.4" x14ac:dyDescent="0.3">
      <c r="A674" s="40">
        <v>619</v>
      </c>
      <c r="B674" s="149" t="s">
        <v>659</v>
      </c>
      <c r="C674" s="149" t="s">
        <v>650</v>
      </c>
      <c r="D674" s="192" t="s">
        <v>1260</v>
      </c>
      <c r="E674" s="192" t="s">
        <v>1261</v>
      </c>
      <c r="F674" s="192"/>
      <c r="G674" s="188"/>
      <c r="H674" s="192"/>
      <c r="I674" s="190"/>
      <c r="J674" s="152"/>
      <c r="K674" s="192"/>
      <c r="L674" s="156"/>
      <c r="M674" s="156"/>
      <c r="N674" s="156"/>
      <c r="O674" s="156"/>
      <c r="P674" s="156"/>
      <c r="Q674" s="192" t="s">
        <v>1096</v>
      </c>
      <c r="R674" s="156"/>
      <c r="S674" s="156"/>
      <c r="T674" s="191"/>
      <c r="U674" s="191"/>
      <c r="V674" s="191"/>
      <c r="W674" s="191"/>
      <c r="X674" s="191"/>
      <c r="Y674" s="191"/>
    </row>
    <row r="675" spans="1:25" ht="55.2" x14ac:dyDescent="0.3">
      <c r="A675" s="40">
        <v>619</v>
      </c>
      <c r="B675" s="149" t="s">
        <v>663</v>
      </c>
      <c r="C675" s="149" t="s">
        <v>650</v>
      </c>
      <c r="D675" s="192" t="s">
        <v>1260</v>
      </c>
      <c r="E675" s="192" t="s">
        <v>1262</v>
      </c>
      <c r="F675" s="192"/>
      <c r="G675" s="188"/>
      <c r="H675" s="192"/>
      <c r="I675" s="190"/>
      <c r="J675" s="152"/>
      <c r="K675" s="192"/>
      <c r="L675" s="156"/>
      <c r="M675" s="156"/>
      <c r="N675" s="156"/>
      <c r="O675" s="156"/>
      <c r="P675" s="156"/>
      <c r="Q675" s="192" t="s">
        <v>1096</v>
      </c>
      <c r="R675" s="156"/>
      <c r="S675" s="156"/>
      <c r="T675" s="191"/>
      <c r="U675" s="191"/>
      <c r="V675" s="191"/>
      <c r="W675" s="191"/>
      <c r="X675" s="191"/>
      <c r="Y675" s="191"/>
    </row>
    <row r="676" spans="1:25" ht="55.2" x14ac:dyDescent="0.3">
      <c r="A676" s="40">
        <v>619</v>
      </c>
      <c r="B676" s="149" t="s">
        <v>1295</v>
      </c>
      <c r="C676" s="149" t="s">
        <v>1303</v>
      </c>
      <c r="D676" s="192"/>
      <c r="E676" s="192" t="s">
        <v>1214</v>
      </c>
      <c r="F676" s="192"/>
      <c r="G676" s="188"/>
      <c r="H676" s="192"/>
      <c r="I676" s="190"/>
      <c r="J676" s="152"/>
      <c r="K676" s="192"/>
      <c r="L676" s="156"/>
      <c r="M676" s="156"/>
      <c r="N676" s="156"/>
      <c r="O676" s="156"/>
      <c r="P676" s="156"/>
      <c r="Q676" s="192" t="s">
        <v>1096</v>
      </c>
      <c r="R676" s="156"/>
      <c r="S676" s="156"/>
      <c r="T676" s="191"/>
      <c r="U676" s="191"/>
      <c r="V676" s="191"/>
      <c r="W676" s="191"/>
      <c r="X676" s="191"/>
      <c r="Y676" s="191"/>
    </row>
    <row r="677" spans="1:25" ht="55.2" x14ac:dyDescent="0.3">
      <c r="A677" s="40">
        <v>619</v>
      </c>
      <c r="B677" s="149" t="s">
        <v>1296</v>
      </c>
      <c r="C677" s="149" t="s">
        <v>1303</v>
      </c>
      <c r="D677" s="192"/>
      <c r="E677" s="192" t="s">
        <v>1214</v>
      </c>
      <c r="F677" s="192"/>
      <c r="G677" s="188"/>
      <c r="H677" s="192"/>
      <c r="I677" s="190"/>
      <c r="J677" s="152"/>
      <c r="K677" s="192"/>
      <c r="L677" s="156"/>
      <c r="M677" s="156"/>
      <c r="N677" s="156"/>
      <c r="O677" s="156"/>
      <c r="P677" s="156"/>
      <c r="Q677" s="192" t="s">
        <v>1096</v>
      </c>
      <c r="R677" s="156"/>
      <c r="S677" s="156"/>
      <c r="T677" s="191"/>
      <c r="U677" s="191"/>
      <c r="V677" s="191"/>
      <c r="W677" s="191"/>
      <c r="X677" s="191"/>
      <c r="Y677" s="191"/>
    </row>
    <row r="678" spans="1:25" ht="41.4" x14ac:dyDescent="0.3">
      <c r="A678" s="40">
        <v>619</v>
      </c>
      <c r="B678" s="149" t="s">
        <v>537</v>
      </c>
      <c r="C678" s="149" t="s">
        <v>1269</v>
      </c>
      <c r="D678" s="192"/>
      <c r="E678" s="192" t="s">
        <v>1268</v>
      </c>
      <c r="F678" s="192"/>
      <c r="G678" s="188"/>
      <c r="H678" s="192"/>
      <c r="I678" s="190"/>
      <c r="J678" s="152"/>
      <c r="K678" s="192"/>
      <c r="L678" s="156"/>
      <c r="M678" s="156"/>
      <c r="N678" s="156"/>
      <c r="O678" s="156"/>
      <c r="P678" s="156"/>
      <c r="Q678" s="192" t="s">
        <v>1096</v>
      </c>
      <c r="R678" s="156"/>
      <c r="S678" s="156"/>
      <c r="T678" s="191"/>
      <c r="U678" s="191"/>
      <c r="V678" s="191"/>
      <c r="W678" s="191"/>
      <c r="X678" s="191"/>
      <c r="Y678" s="191"/>
    </row>
    <row r="679" spans="1:25" ht="10.199999999999999" x14ac:dyDescent="0.2"/>
    <row r="680" spans="1:25" ht="10.199999999999999" x14ac:dyDescent="0.2"/>
    <row r="681" spans="1:25" ht="10.199999999999999" x14ac:dyDescent="0.2"/>
    <row r="682" spans="1:25" ht="10.199999999999999" x14ac:dyDescent="0.2"/>
  </sheetData>
  <autoFilter ref="A4:AZ626"/>
  <mergeCells count="20">
    <mergeCell ref="S239:S256"/>
    <mergeCell ref="S501:S518"/>
    <mergeCell ref="I402:I410"/>
    <mergeCell ref="I413:I414"/>
    <mergeCell ref="I436:I439"/>
    <mergeCell ref="I440:I442"/>
    <mergeCell ref="I174:I177"/>
    <mergeCell ref="I178:I180"/>
    <mergeCell ref="E3:F3"/>
    <mergeCell ref="D501:D518"/>
    <mergeCell ref="E501:E518"/>
    <mergeCell ref="D239:D256"/>
    <mergeCell ref="E239:E256"/>
    <mergeCell ref="AM2:AR2"/>
    <mergeCell ref="AS2:AY2"/>
    <mergeCell ref="T3:W3"/>
    <mergeCell ref="I140:I148"/>
    <mergeCell ref="I151:I152"/>
    <mergeCell ref="Z2:AF2"/>
    <mergeCell ref="AG2:AL2"/>
  </mergeCells>
  <conditionalFormatting sqref="H141">
    <cfRule type="duplicateValues" dxfId="37" priority="38"/>
  </conditionalFormatting>
  <conditionalFormatting sqref="H149">
    <cfRule type="duplicateValues" dxfId="36" priority="37"/>
  </conditionalFormatting>
  <conditionalFormatting sqref="H155">
    <cfRule type="duplicateValues" dxfId="35" priority="36"/>
  </conditionalFormatting>
  <conditionalFormatting sqref="H168:H169">
    <cfRule type="duplicateValues" dxfId="34" priority="35"/>
  </conditionalFormatting>
  <conditionalFormatting sqref="H166">
    <cfRule type="duplicateValues" dxfId="33" priority="34"/>
  </conditionalFormatting>
  <conditionalFormatting sqref="H154">
    <cfRule type="duplicateValues" dxfId="32" priority="33"/>
  </conditionalFormatting>
  <conditionalFormatting sqref="H156">
    <cfRule type="duplicateValues" dxfId="31" priority="32"/>
  </conditionalFormatting>
  <conditionalFormatting sqref="H157">
    <cfRule type="duplicateValues" dxfId="30" priority="31"/>
  </conditionalFormatting>
  <conditionalFormatting sqref="H158">
    <cfRule type="duplicateValues" dxfId="29" priority="30"/>
  </conditionalFormatting>
  <conditionalFormatting sqref="H159">
    <cfRule type="duplicateValues" dxfId="28" priority="29"/>
  </conditionalFormatting>
  <conditionalFormatting sqref="H160">
    <cfRule type="duplicateValues" dxfId="27" priority="28"/>
  </conditionalFormatting>
  <conditionalFormatting sqref="H161">
    <cfRule type="duplicateValues" dxfId="26" priority="27"/>
  </conditionalFormatting>
  <conditionalFormatting sqref="H162">
    <cfRule type="duplicateValues" dxfId="25" priority="26"/>
  </conditionalFormatting>
  <conditionalFormatting sqref="H163">
    <cfRule type="duplicateValues" dxfId="24" priority="25"/>
  </conditionalFormatting>
  <conditionalFormatting sqref="H164">
    <cfRule type="duplicateValues" dxfId="23" priority="24"/>
  </conditionalFormatting>
  <conditionalFormatting sqref="H165">
    <cfRule type="duplicateValues" dxfId="22" priority="23"/>
  </conditionalFormatting>
  <conditionalFormatting sqref="H167">
    <cfRule type="duplicateValues" dxfId="21" priority="22"/>
  </conditionalFormatting>
  <conditionalFormatting sqref="H173">
    <cfRule type="duplicateValues" dxfId="20" priority="21"/>
  </conditionalFormatting>
  <conditionalFormatting sqref="H172">
    <cfRule type="duplicateValues" dxfId="19" priority="20"/>
  </conditionalFormatting>
  <conditionalFormatting sqref="H403">
    <cfRule type="duplicateValues" dxfId="18" priority="19"/>
  </conditionalFormatting>
  <conditionalFormatting sqref="H411">
    <cfRule type="duplicateValues" dxfId="17" priority="18"/>
  </conditionalFormatting>
  <conditionalFormatting sqref="H417">
    <cfRule type="duplicateValues" dxfId="16" priority="17"/>
  </conditionalFormatting>
  <conditionalFormatting sqref="H430:H431">
    <cfRule type="duplicateValues" dxfId="15" priority="16"/>
  </conditionalFormatting>
  <conditionalFormatting sqref="H428">
    <cfRule type="duplicateValues" dxfId="14" priority="15"/>
  </conditionalFormatting>
  <conditionalFormatting sqref="H416">
    <cfRule type="duplicateValues" dxfId="13" priority="14"/>
  </conditionalFormatting>
  <conditionalFormatting sqref="H418">
    <cfRule type="duplicateValues" dxfId="12" priority="13"/>
  </conditionalFormatting>
  <conditionalFormatting sqref="H419">
    <cfRule type="duplicateValues" dxfId="11" priority="12"/>
  </conditionalFormatting>
  <conditionalFormatting sqref="H420">
    <cfRule type="duplicateValues" dxfId="10" priority="11"/>
  </conditionalFormatting>
  <conditionalFormatting sqref="H421">
    <cfRule type="duplicateValues" dxfId="9" priority="10"/>
  </conditionalFormatting>
  <conditionalFormatting sqref="H422">
    <cfRule type="duplicateValues" dxfId="8" priority="9"/>
  </conditionalFormatting>
  <conditionalFormatting sqref="H423">
    <cfRule type="duplicateValues" dxfId="7" priority="8"/>
  </conditionalFormatting>
  <conditionalFormatting sqref="H424">
    <cfRule type="duplicateValues" dxfId="6" priority="7"/>
  </conditionalFormatting>
  <conditionalFormatting sqref="H425">
    <cfRule type="duplicateValues" dxfId="5" priority="6"/>
  </conditionalFormatting>
  <conditionalFormatting sqref="H426">
    <cfRule type="duplicateValues" dxfId="4" priority="5"/>
  </conditionalFormatting>
  <conditionalFormatting sqref="H427">
    <cfRule type="duplicateValues" dxfId="3" priority="4"/>
  </conditionalFormatting>
  <conditionalFormatting sqref="H429">
    <cfRule type="duplicateValues" dxfId="2" priority="3"/>
  </conditionalFormatting>
  <conditionalFormatting sqref="H435">
    <cfRule type="duplicateValues" dxfId="1" priority="2"/>
  </conditionalFormatting>
  <conditionalFormatting sqref="H434">
    <cfRule type="duplicateValues" dxfId="0" priority="1"/>
  </conditionalFormatting>
  <dataValidations count="4">
    <dataValidation type="whole" allowBlank="1" showInputMessage="1" showErrorMessage="1" sqref="K5:K235 K267:K497">
      <formula1>1</formula1>
      <formula2>20</formula2>
    </dataValidation>
    <dataValidation type="list" allowBlank="1" showInputMessage="1" showErrorMessage="1" sqref="O235 L89:Q190 J89:J190 O497 L351:Q452 J351:J452">
      <formula1>#REF!</formula1>
    </dataValidation>
    <dataValidation type="list" allowBlank="1" showInputMessage="1" showErrorMessage="1" sqref="S89:S190 S351:S452">
      <formula1>OFFSET(#REF!, 0, MATCH(Q89, #REF!, 0)-1, , COUNTIF(#REF!, Q89))</formula1>
    </dataValidation>
    <dataValidation type="whole" allowBlank="1" showInputMessage="1" showErrorMessage="1" sqref="G5:G235 G267:G497">
      <formula1>1</formula1>
      <formula2>50</formula2>
    </dataValidation>
  </dataValidations>
  <hyperlinks>
    <hyperlink ref="H555" r:id="rId1" display="\\p0-nm02-vdil-29.region.vtb.ru\fr29\UserFolders\vtb211019\Desktop\Задачи\2027\Оценки\Операционные риски"/>
  </hyperlinks>
  <pageMargins left="0.70000004768371582" right="0.70000004768371582" top="0.75" bottom="0.75" header="0.30000001192092896" footer="0.30000001192092896"/>
  <pageSetup paperSize="9" fitToWidth="0" fitToHeight="0" orientation="portrait" r:id="rId2"/>
  <legacyDrawing r:id="rId3"/>
  <extLst>
    <ext xmlns:x14="http://schemas.microsoft.com/office/spreadsheetml/2009/9/main" uri="{CCE6A557-97BC-4b89-ADB6-D9C93CAAB3DF}">
      <x14:dataValidations xmlns:xm="http://schemas.microsoft.com/office/excel/2006/main" count="21">
        <x14:dataValidation type="list" allowBlank="1" showInputMessage="1" showErrorMessage="1">
          <x14:formula1>
            <xm:f>'C:\Users\vtb70238793\AppData\Roaming\Microsoft\Excel\[Задачи. Состоятельные клиенты 22.07 (version 1).xlsb]Тип задач'!#REF!</xm:f>
          </x14:formula1>
          <xm:sqref>J58:J67 J320:J329</xm:sqref>
        </x14:dataValidation>
        <x14:dataValidation type="list" allowBlank="1" showInputMessage="1" showErrorMessage="1">
          <x14:formula1>
            <xm:f>Стримы!$B$2:$K$2</xm:f>
          </x14:formula1>
          <xm:sqref>Q49:Q57 Q191:Q201</xm:sqref>
        </x14:dataValidation>
        <x14:dataValidation type="list" allowBlank="1" showInputMessage="1" showErrorMessage="1">
          <x14:formula1>
            <xm:f>OFFSET(Стримы!$A$7, 0, MATCH(Q5, Стримы!$6:$6, 0)-1, , COUNTIF(Стримы!$6:$6, Q5))</xm:f>
          </x14:formula1>
          <xm:sqref>S5:S57 S191:S201</xm:sqref>
        </x14:dataValidation>
        <x14:dataValidation type="list" allowBlank="1" showInputMessage="1" showErrorMessage="1">
          <x14:formula1>
            <xm:f>Опросник!$B$2:$B$3</xm:f>
          </x14:formula1>
          <xm:sqref>L5:L57 L191:L235</xm:sqref>
        </x14:dataValidation>
        <x14:dataValidation type="list" allowBlank="1" showInputMessage="1" showErrorMessage="1">
          <x14:formula1>
            <xm:f>'C:\Users\vtb70238793\AppData\Roaming\Microsoft\Excel\[Задачи. Состоятельные клиенты 22.07 (version 1).xlsb]Стримы'!#REF!</xm:f>
          </x14:formula1>
          <xm:sqref>Q58:Q67 Q320:Q329</xm:sqref>
        </x14:dataValidation>
        <x14:dataValidation type="list" allowBlank="1" showInputMessage="1" showErrorMessage="1">
          <x14:formula1>
            <xm:f>'C:\Users\vtb70238793\AppData\Roaming\Microsoft\Excel\[Задачи. Состоятельные клиенты 22.07 (version 1).xlsb]Опросник'!#REF!</xm:f>
          </x14:formula1>
          <xm:sqref>L58:P67 L320:P329</xm:sqref>
        </x14:dataValidation>
        <x14:dataValidation type="list" allowBlank="1" showInputMessage="1" showErrorMessage="1">
          <x14:formula1>
            <xm:f>'\\p0-nm02-vdil-13.region.vtb.ru\fr13\UserFolders\VTB70238793\Desktop\Main\БК 2027\[БК 2027 Collection задачи.xlsx]Стримы'!#REF!</xm:f>
          </x14:formula1>
          <xm:sqref>Q68:Q88 Q330:Q350</xm:sqref>
        </x14:dataValidation>
        <x14:dataValidation type="list" allowBlank="1" showInputMessage="1" showErrorMessage="1">
          <x14:formula1>
            <xm:f>'Тип задач'!$A$2:$A$4</xm:f>
          </x14:formula1>
          <xm:sqref>J5</xm:sqref>
        </x14:dataValidation>
        <x14:dataValidation type="list" allowBlank="1" showInputMessage="1" showErrorMessage="1">
          <x14:formula1>
            <xm:f>Опросник!$C$2:$C$3</xm:f>
          </x14:formula1>
          <xm:sqref>M5:M57 M191:M235</xm:sqref>
        </x14:dataValidation>
        <x14:dataValidation type="list" allowBlank="1" showInputMessage="1" showErrorMessage="1">
          <x14:formula1>
            <xm:f>Опросник!$F$2:$F$3</xm:f>
          </x14:formula1>
          <xm:sqref>P5:P57 P191:P235</xm:sqref>
        </x14:dataValidation>
        <x14:dataValidation type="list" allowBlank="1" showInputMessage="1" showErrorMessage="1">
          <x14:formula1>
            <xm:f>'\\p0-nm02-vdil-13.region.vtb.ru\fr13\UserFolders\VTB70238793\Desktop\Main\БК 2027\[БК 2027 Collection задачи.xlsx]Тип задач'!#REF!</xm:f>
          </x14:formula1>
          <xm:sqref>J68:J88 J330:J350</xm:sqref>
        </x14:dataValidation>
        <x14:dataValidation type="list" allowBlank="1" showInputMessage="1" showErrorMessage="1">
          <x14:formula1>
            <xm:f>OFFSET('\\p0-nm02-vdil-13.region.vtb.ru\fr13\UserFolders\VTB70238793\Desktop\Main\БК 2027\[БК 2027 Collection задачи.xlsx]Стримы'!#REF!,0,MATCH(Q68,'\\p0-nm02-vdil-13.region.vtb.ru\fr13\UserFolders\VTB70238793\Desktop\Main\БК 2027\[БК 2027 Collection задачи.xlsx]Стримы'!#REF!,0)-1,,COUNTIF('\\p0-nm02-vdil-13.region.vtb.ru\fr13\UserFolders\VTB70238793\Desktop\Main\БК 2027\[БК 2027 Collection задачи.xlsx]Стримы'!#REF!,Q68))</xm:f>
          </x14:formula1>
          <xm:sqref>S68:S88 S330:S350</xm:sqref>
        </x14:dataValidation>
        <x14:dataValidation type="list" allowBlank="1" showInputMessage="1" showErrorMessage="1">
          <x14:formula1>
            <xm:f>Опросник!$D$2:$D$3</xm:f>
          </x14:formula1>
          <xm:sqref>N5:N57 N191:N235</xm:sqref>
        </x14:dataValidation>
        <x14:dataValidation type="list" allowBlank="1" showInputMessage="1" showErrorMessage="1">
          <x14:formula1>
            <xm:f>Стримы!$B$2:$L$2</xm:f>
          </x14:formula1>
          <xm:sqref>Q5:Q48</xm:sqref>
        </x14:dataValidation>
        <x14:dataValidation type="list" allowBlank="1" showInputMessage="1" showErrorMessage="1">
          <x14:formula1>
            <xm:f>'Тип задач'!$A$2:$A$3</xm:f>
          </x14:formula1>
          <xm:sqref>J191:J235 J6:J57</xm:sqref>
        </x14:dataValidation>
        <x14:dataValidation type="list" allowBlank="1" showInputMessage="1" showErrorMessage="1">
          <x14:formula1>
            <xm:f>'\\p0-nm02-vdil-13.region.vtb.ru\fr13\UserFolders\VTB70238793\Desktop\Main\БК 2027\[БК 2027 Collection задачи.xlsx]Опросник'!#REF!</xm:f>
          </x14:formula1>
          <xm:sqref>L68:P88 L330:P350</xm:sqref>
        </x14:dataValidation>
        <x14:dataValidation type="list" allowBlank="1" showInputMessage="1" showErrorMessage="1">
          <x14:formula1>
            <xm:f>Опросник!$E$2:$E$3</xm:f>
          </x14:formula1>
          <xm:sqref>O5:O57 O191:O234</xm:sqref>
        </x14:dataValidation>
        <x14:dataValidation type="list" allowBlank="1" showInputMessage="1" showErrorMessage="1">
          <x14:formula1>
            <xm:f>'[Мастер версия_03.08.26_RnD.xlsx]Опросник'!#REF!</xm:f>
          </x14:formula1>
          <xm:sqref>O453:O496 P453:P497 L267:P319 L453:N497</xm:sqref>
        </x14:dataValidation>
        <x14:dataValidation type="list" allowBlank="1" showInputMessage="1" showErrorMessage="1">
          <x14:formula1>
            <xm:f>'[Мастер версия_03.08.26_RnD.xlsx]Тип задач'!#REF!</xm:f>
          </x14:formula1>
          <xm:sqref>J453:J497 J267:J319 J529:J556</xm:sqref>
        </x14:dataValidation>
        <x14:dataValidation type="list" allowBlank="1" showInputMessage="1" showErrorMessage="1">
          <x14:formula1>
            <xm:f>'[Мастер версия_03.08.26_RnD.xlsx]Стримы'!#REF!</xm:f>
          </x14:formula1>
          <xm:sqref>Q267:Q319 Q453:Q463</xm:sqref>
        </x14:dataValidation>
        <x14:dataValidation type="list" allowBlank="1" showInputMessage="1" showErrorMessage="1">
          <x14:formula1>
            <xm:f>OFFSET('[Мастер версия_03.08.26_RnD.xlsx]Стримы'!#REF!, 0, MATCH(Q267, '[Мастер версия_03.08.26_RnD.xlsx]Стримы'!#REF!, 0)-1, , COUNTIF('[Мастер версия_03.08.26_RnD.xlsx]Стримы'!#REF!, Q267))</xm:f>
          </x14:formula1>
          <xm:sqref>S267:S319 S453:S463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heetViews>
  <sheetFormatPr defaultColWidth="9.109375" defaultRowHeight="13.8" x14ac:dyDescent="0.3"/>
  <cols>
    <col min="1" max="1" width="13.44140625" style="16" customWidth="1"/>
    <col min="2" max="2" width="10.88671875" style="16" customWidth="1"/>
    <col min="3" max="3" width="15.33203125" style="16" customWidth="1"/>
    <col min="4" max="4" width="15.6640625" style="16" customWidth="1"/>
    <col min="5" max="5" width="15.44140625" style="16" customWidth="1"/>
    <col min="6" max="6" width="12.5546875" style="16" customWidth="1"/>
    <col min="7" max="8" width="9.109375" style="16" bestFit="1" customWidth="1"/>
    <col min="9" max="9" width="14.109375" style="16" customWidth="1"/>
    <col min="10" max="10" width="9.109375" style="16" bestFit="1" customWidth="1"/>
    <col min="11" max="16384" width="9.109375" style="16"/>
  </cols>
  <sheetData>
    <row r="1" spans="1:6" ht="66" x14ac:dyDescent="0.3">
      <c r="A1" s="71" t="s">
        <v>673</v>
      </c>
      <c r="B1" s="71" t="s">
        <v>67</v>
      </c>
      <c r="C1" s="71" t="s">
        <v>68</v>
      </c>
      <c r="D1" s="71" t="s">
        <v>674</v>
      </c>
      <c r="E1" s="74" t="s">
        <v>70</v>
      </c>
      <c r="F1" s="74" t="s">
        <v>71</v>
      </c>
    </row>
    <row r="2" spans="1:6" s="72" customFormat="1" x14ac:dyDescent="0.3">
      <c r="A2" s="75" t="s">
        <v>675</v>
      </c>
      <c r="B2" s="72" t="s">
        <v>677</v>
      </c>
      <c r="C2" s="72" t="s">
        <v>294</v>
      </c>
      <c r="D2" s="72" t="s">
        <v>677</v>
      </c>
      <c r="E2" s="72" t="s">
        <v>677</v>
      </c>
      <c r="F2" s="72" t="s">
        <v>677</v>
      </c>
    </row>
    <row r="3" spans="1:6" s="72" customFormat="1" x14ac:dyDescent="0.3">
      <c r="A3" s="73"/>
      <c r="B3" s="72" t="s">
        <v>676</v>
      </c>
      <c r="C3" s="72" t="s">
        <v>676</v>
      </c>
      <c r="D3" s="72" t="s">
        <v>676</v>
      </c>
      <c r="E3" s="72" t="s">
        <v>676</v>
      </c>
      <c r="F3" s="72" t="s">
        <v>676</v>
      </c>
    </row>
  </sheetData>
  <pageMargins left="0.70000004768371582" right="0.70000004768371582" top="0.75" bottom="0.75" header="0.30000001192092896" footer="0.30000001192092896"/>
  <pageSetup paperSize="9" fitToWidth="0"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defaultColWidth="9.109375" defaultRowHeight="13.8" x14ac:dyDescent="0.3"/>
  <cols>
    <col min="1" max="1" width="20" style="16" customWidth="1"/>
    <col min="2" max="2" width="9.109375" style="16" bestFit="1" customWidth="1"/>
    <col min="3" max="16384" width="9.109375" style="16"/>
  </cols>
  <sheetData>
    <row r="1" spans="1:1" x14ac:dyDescent="0.3">
      <c r="A1" s="76" t="s">
        <v>678</v>
      </c>
    </row>
    <row r="2" spans="1:1" x14ac:dyDescent="0.3">
      <c r="A2" s="77" t="s">
        <v>168</v>
      </c>
    </row>
    <row r="3" spans="1:1" x14ac:dyDescent="0.3">
      <c r="A3" s="77" t="s">
        <v>261</v>
      </c>
    </row>
    <row r="4" spans="1:1" x14ac:dyDescent="0.3">
      <c r="A4" s="16" t="s">
        <v>400</v>
      </c>
    </row>
  </sheetData>
  <pageMargins left="0.70000004768371582" right="0.70000004768371582" top="0.75" bottom="0.75" header="0.30000001192092896" footer="0.3000000119209289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7"/>
  <sheetViews>
    <sheetView workbookViewId="0"/>
  </sheetViews>
  <sheetFormatPr defaultColWidth="10.109375" defaultRowHeight="10.199999999999999" outlineLevelRow="1" x14ac:dyDescent="0.2"/>
  <cols>
    <col min="1" max="1" width="17.5546875" style="78" customWidth="1"/>
    <col min="2" max="3" width="12.88671875" style="78" customWidth="1"/>
    <col min="4" max="4" width="14.109375" style="78" customWidth="1"/>
    <col min="5" max="5" width="15" style="78" customWidth="1"/>
    <col min="6" max="11" width="12.88671875" style="78" customWidth="1"/>
    <col min="12" max="72" width="10.109375" style="78" customWidth="1"/>
    <col min="73" max="75" width="14.109375" style="78" customWidth="1"/>
    <col min="76" max="84" width="10.109375" style="78" customWidth="1"/>
    <col min="85" max="85" width="10.109375" style="78" bestFit="1" customWidth="1"/>
    <col min="86" max="16384" width="10.109375" style="78"/>
  </cols>
  <sheetData>
    <row r="1" spans="1:82" ht="3" customHeight="1" x14ac:dyDescent="0.2"/>
    <row r="2" spans="1:82" ht="59.25" customHeight="1" x14ac:dyDescent="0.3">
      <c r="A2" s="79" t="s">
        <v>679</v>
      </c>
      <c r="B2" s="80" t="s">
        <v>289</v>
      </c>
      <c r="C2" s="80" t="s">
        <v>680</v>
      </c>
      <c r="D2" s="80" t="s">
        <v>681</v>
      </c>
      <c r="E2" s="80" t="s">
        <v>202</v>
      </c>
      <c r="F2" s="80" t="s">
        <v>262</v>
      </c>
      <c r="G2" s="80" t="s">
        <v>682</v>
      </c>
      <c r="H2" s="80" t="s">
        <v>683</v>
      </c>
      <c r="I2" s="80" t="s">
        <v>684</v>
      </c>
      <c r="J2" s="80" t="s">
        <v>685</v>
      </c>
      <c r="K2" s="80" t="s">
        <v>446</v>
      </c>
      <c r="L2" s="80" t="s">
        <v>686</v>
      </c>
      <c r="M2" s="81"/>
      <c r="N2" s="81"/>
      <c r="O2" s="81"/>
      <c r="P2" s="81"/>
      <c r="Q2" s="81"/>
      <c r="R2" s="81"/>
    </row>
    <row r="3" spans="1:82" ht="10.5" hidden="1" customHeight="1" outlineLevel="1" x14ac:dyDescent="0.2"/>
    <row r="4" spans="1:82" ht="12" hidden="1" customHeight="1" outlineLevel="1" x14ac:dyDescent="0.2">
      <c r="A4" s="82" t="s">
        <v>687</v>
      </c>
      <c r="B4" s="83" t="str">
        <f t="shared" ref="B4:AG4" si="0">CONCATENATE(B6, "_", B7)</f>
        <v>Источники данных_Облако данных ETL</v>
      </c>
      <c r="C4" s="83" t="str">
        <f t="shared" si="0"/>
        <v>Источники данных_Облако данных</v>
      </c>
      <c r="D4" s="83" t="str">
        <f t="shared" si="0"/>
        <v>Источники данных_Внешние данные</v>
      </c>
      <c r="E4" s="83" t="str">
        <f t="shared" si="0"/>
        <v>Источники данных_Внутренние данные</v>
      </c>
      <c r="F4" s="83" t="str">
        <f t="shared" si="0"/>
        <v>Источники данных_Мониторинг источников данных</v>
      </c>
      <c r="G4" s="83" t="str">
        <f t="shared" si="0"/>
        <v>Источники данных_Поставка данных для Цифровых помощников</v>
      </c>
      <c r="H4" s="83" t="str">
        <f t="shared" si="0"/>
        <v>Источники данных_Аналитика внутренних данных</v>
      </c>
      <c r="I4" s="83" t="str">
        <f t="shared" si="0"/>
        <v>Контроль качества моделей и модельных данных_Общестримовая команда стрима Контроль качества моделей и модельных данных</v>
      </c>
      <c r="J4" s="83" t="str">
        <f t="shared" si="0"/>
        <v>Контроль качества моделей и модельных данных_Анализ клиентских путей и зависимостей</v>
      </c>
      <c r="K4" s="83" t="str">
        <f t="shared" si="0"/>
        <v>Контроль качества моделей и модельных данных_Аналитика и автоматизация контролей</v>
      </c>
      <c r="L4" s="83" t="str">
        <f t="shared" si="0"/>
        <v>Контроль качества моделей и модельных данных_Компонентный анализ моделей</v>
      </c>
      <c r="M4" s="83" t="str">
        <f t="shared" si="0"/>
        <v>Контроль качества моделей и модельных данных_Бизнес-анализ и оценка влияния моделей</v>
      </c>
      <c r="N4" s="83" t="str">
        <f t="shared" si="0"/>
        <v>Контроль качества моделей и модельных данных_Контроль модельных данных</v>
      </c>
      <c r="O4" s="83" t="str">
        <f t="shared" si="0"/>
        <v>Контроль качества моделей и модельных данных_Оперативная аналитика и технологии развития</v>
      </c>
      <c r="P4" s="83" t="str">
        <f t="shared" si="0"/>
        <v>Моделирование RnD_3 линия поддержки ML моделей</v>
      </c>
      <c r="Q4" s="83" t="str">
        <f t="shared" si="0"/>
        <v>Моделирование RnD_RND и апробация новых технологий</v>
      </c>
      <c r="R4" s="83" t="str">
        <f t="shared" si="0"/>
        <v>Моделирование RnD_Модели Антифрод</v>
      </c>
      <c r="S4" s="83" t="str">
        <f t="shared" si="0"/>
        <v>Моделирование RnD_Общестримовая команда стрима Моделирование RnD</v>
      </c>
      <c r="T4" s="83" t="str">
        <f t="shared" si="0"/>
        <v>Моделирование RnD_Применение моделей RND 1</v>
      </c>
      <c r="U4" s="83" t="str">
        <f t="shared" si="0"/>
        <v>Моделирование RnD_Применение моделей RND 2</v>
      </c>
      <c r="V4" s="83" t="str">
        <f t="shared" si="0"/>
        <v>Моделирование RnD_Продвинутый ML 1</v>
      </c>
      <c r="W4" s="83" t="str">
        <f t="shared" si="0"/>
        <v>Моделирование RnD_Продвинутый ML 2</v>
      </c>
      <c r="X4" s="83" t="str">
        <f t="shared" si="0"/>
        <v>Моделирование RnD_родвинутый ML 4</v>
      </c>
      <c r="Y4" s="83" t="str">
        <f t="shared" si="0"/>
        <v>Моделирование RnD_Эмбеддинги</v>
      </c>
      <c r="Z4" s="83" t="str">
        <f t="shared" si="0"/>
        <v>Моделирование РБ_Общестримовая команда стрима Моделирование РБ</v>
      </c>
      <c r="AA4" s="83" t="str">
        <f t="shared" si="0"/>
        <v>Моделирование РБ_CRM Classic</v>
      </c>
      <c r="AB4" s="83" t="str">
        <f t="shared" si="0"/>
        <v>Моделирование РБ_Регуляторные модели РБ-1</v>
      </c>
      <c r="AC4" s="83" t="str">
        <f t="shared" si="0"/>
        <v>Моделирование РБ_CRM Mix</v>
      </c>
      <c r="AD4" s="83" t="str">
        <f t="shared" si="0"/>
        <v>Моделирование РБ_Collection РБ</v>
      </c>
      <c r="AE4" s="83" t="str">
        <f t="shared" si="0"/>
        <v>Моделирование РБ_Витрины для РКК</v>
      </c>
      <c r="AF4" s="83" t="str">
        <f t="shared" si="0"/>
        <v>Моделирование РБ_Регуляторные модели РБ-2</v>
      </c>
      <c r="AG4" s="83" t="str">
        <f t="shared" si="0"/>
        <v>Моделирование РБ_Витрины ДАДМ</v>
      </c>
      <c r="AH4" s="83" t="str">
        <f t="shared" ref="AH4:BM4" si="1">CONCATENATE(AH6, "_", AH7)</f>
        <v>Моделирование РБ_Бизнес РБ (незалоговые)</v>
      </c>
      <c r="AI4" s="83" t="str">
        <f t="shared" si="1"/>
        <v>Моделирование РБ_Применение моделей</v>
      </c>
      <c r="AJ4" s="83" t="str">
        <f t="shared" si="1"/>
        <v>Моделирование РБ_CRM Advice</v>
      </c>
      <c r="AK4" s="83" t="str">
        <f t="shared" si="1"/>
        <v>Моделирование РБ_Бизнес РБ (доход)</v>
      </c>
      <c r="AL4" s="83" t="str">
        <f t="shared" si="1"/>
        <v>Моделирование РБ_Бизнес РБ (залоговые)</v>
      </c>
      <c r="AM4" s="83" t="str">
        <f t="shared" si="1"/>
        <v>Моделирование РБ_Модели оптимизации РБ</v>
      </c>
      <c r="AN4" s="83" t="str">
        <f t="shared" si="1"/>
        <v>Потоковые данные_Финмониторинг</v>
      </c>
      <c r="AO4" s="83" t="str">
        <f t="shared" si="1"/>
        <v>Потоковые данные_Стрим "Потоковые данные"</v>
      </c>
      <c r="AP4" s="83" t="str">
        <f t="shared" si="1"/>
        <v>Потоковые данные_Потоки данных для RTO</v>
      </c>
      <c r="AQ4" s="83" t="str">
        <f t="shared" si="1"/>
        <v>Потоковые данные_Цифровой финансовый советник</v>
      </c>
      <c r="AR4" s="83" t="str">
        <f t="shared" si="1"/>
        <v>Потоковые данные_Виртуальные информационные потоки</v>
      </c>
      <c r="AS4" s="83" t="str">
        <f t="shared" si="1"/>
        <v>Потоковые данные_Проверка по спискам физ.лиц</v>
      </c>
      <c r="AT4" s="83" t="str">
        <f t="shared" si="1"/>
        <v>Потоковые данные_Уникальные потоковые сервисы</v>
      </c>
      <c r="AU4" s="83" t="str">
        <f t="shared" si="1"/>
        <v>Потоковые данные_Потоки данных для регуляторных моделей</v>
      </c>
      <c r="AV4" s="83" t="str">
        <f t="shared" si="1"/>
        <v>Потоковые данные_Потоки данных для СПМ</v>
      </c>
      <c r="AW4" s="83" t="str">
        <f t="shared" si="1"/>
        <v>Разработка моделей для КМБ и КСБ сегмента_Общестримовая команда стрима Разработка моделей для КМБ и КСБ сегмента</v>
      </c>
      <c r="AX4" s="83" t="str">
        <f t="shared" si="1"/>
        <v>Разработка моделей для КМБ и КСБ сегмента_Риск модели МБ</v>
      </c>
      <c r="AY4" s="83" t="str">
        <f t="shared" si="1"/>
        <v>Разработка моделей для КМБ и КСБ сегмента_Продуктивизация моделей бизнеспроцессов</v>
      </c>
      <c r="AZ4" s="83" t="str">
        <f t="shared" si="1"/>
        <v>Разработка моделей для КМБ и КСБ сегмента_Модели ЖЦК</v>
      </c>
      <c r="BA4" s="83" t="str">
        <f t="shared" si="1"/>
        <v>Разработка моделей для КМБ и КСБ сегмента_Модели распознавания изображений и анализа текста</v>
      </c>
      <c r="BB4" s="83" t="str">
        <f t="shared" si="1"/>
        <v>Разработка моделей для КМБ и КСБ сегмента_Продуктивизация моделей оценки кредитного риска</v>
      </c>
      <c r="BC4" s="83" t="str">
        <f t="shared" si="1"/>
        <v>Разработка моделей для КМБ и КСБ сегмента_Риск модели КБ</v>
      </c>
      <c r="BD4" s="83" t="str">
        <f t="shared" si="1"/>
        <v>Разработка моделей для КМБ и КСБ сегмента_Модели взыскания и комплайенса</v>
      </c>
      <c r="BE4" s="83" t="str">
        <f t="shared" si="1"/>
        <v>Разработка моделей для КМБ и КСБ сегмента_Развитие инфраструктуры моделей и витрин</v>
      </c>
      <c r="BF4" s="83" t="str">
        <f t="shared" si="1"/>
        <v>Разработка моделей для КМБ и КСБ сегмента_Портфельные модели</v>
      </c>
      <c r="BG4" s="83" t="str">
        <f t="shared" si="1"/>
        <v>Решения для моделирования_Управление ЖЦ моделей</v>
      </c>
      <c r="BH4" s="83" t="str">
        <f t="shared" si="1"/>
        <v>Решения для моделирования_Стрим Решения для моделирования</v>
      </c>
      <c r="BI4" s="83" t="str">
        <f t="shared" si="1"/>
        <v>Решения для моделирования_Модельный оптимизатор</v>
      </c>
      <c r="BJ4" s="83" t="str">
        <f t="shared" si="1"/>
        <v>Решения для моделирования_Оркестрация моделей</v>
      </c>
      <c r="BK4" s="83" t="str">
        <f t="shared" si="1"/>
        <v>Решения для моделирования_Платформа AutoML</v>
      </c>
      <c r="BL4" s="83" t="str">
        <f t="shared" si="1"/>
        <v>Решения для моделирования_Batch ETL</v>
      </c>
      <c r="BM4" s="83" t="str">
        <f t="shared" si="1"/>
        <v>Решения для моделирования_Реестр Моделей</v>
      </c>
      <c r="BN4" s="83" t="str">
        <f t="shared" ref="BN4:CD4" si="2">CONCATENATE(BN6, "_", BN7)</f>
        <v>Решения для моделирования_Технологические сервисы</v>
      </c>
      <c r="BO4" s="83" t="str">
        <f t="shared" si="2"/>
        <v>Решения для моделирования_Сервисы ПИМ</v>
      </c>
      <c r="BP4" s="83" t="str">
        <f t="shared" si="2"/>
        <v>Сервисы для работы с большими данными_Стрим Сервисы для работы с большими данными</v>
      </c>
      <c r="BQ4" s="83" t="str">
        <f t="shared" si="2"/>
        <v>Сервисы для работы с большими данными_Развитие репликации данных “E-Synk”</v>
      </c>
      <c r="BR4" s="83" t="str">
        <f t="shared" si="2"/>
        <v>Сервисы для работы с большими данными_Развитие SSDP</v>
      </c>
      <c r="BS4" s="83" t="str">
        <f t="shared" si="2"/>
        <v>Сервисы для работы с большими данными_SELF-SERVICE</v>
      </c>
      <c r="BT4" s="83" t="str">
        <f t="shared" si="2"/>
        <v>Сервисы для работы с большими данными_Прикладные сервисы BIG DATA</v>
      </c>
      <c r="BU4" s="86" t="str">
        <f t="shared" si="2"/>
        <v>Стрим ДАДМ_Консультационное сопровождение</v>
      </c>
      <c r="BV4" s="86" t="str">
        <f t="shared" si="2"/>
        <v>Стрим ДАДМ_Проектная деятельность</v>
      </c>
      <c r="BW4" s="83" t="str">
        <f t="shared" si="2"/>
        <v>Стрим ДАДМ_Координация бюджета и закупок</v>
      </c>
      <c r="BX4" s="83" t="str">
        <f t="shared" si="2"/>
        <v>Финансовое моделирование_Общестримовая команда стрима Финансовое моделирование</v>
      </c>
      <c r="BY4" s="83" t="str">
        <f t="shared" si="2"/>
        <v>Финансовое моделирование_Финансовый инжиниринг</v>
      </c>
      <c r="BZ4" s="83" t="str">
        <f t="shared" si="2"/>
        <v>Финансовое моделирование_Финансовый инжиниринг 2</v>
      </c>
      <c r="CA4" s="83" t="str">
        <f t="shared" si="2"/>
        <v>Финансовое моделирование_Количественные финансы</v>
      </c>
      <c r="CB4" s="83" t="str">
        <f t="shared" si="2"/>
        <v>Финансовое моделирование_Модели ALM</v>
      </c>
      <c r="CC4" s="83" t="str">
        <f t="shared" si="2"/>
        <v>Финансовое моделирование_Управление жизненным циклом финансовых моделей</v>
      </c>
      <c r="CD4" s="83" t="str">
        <f t="shared" si="2"/>
        <v>Финансовое моделирование_ALM 2</v>
      </c>
    </row>
    <row r="5" spans="1:82" ht="12" hidden="1" customHeight="1" outlineLevel="1" x14ac:dyDescent="0.2">
      <c r="A5" s="82" t="s">
        <v>688</v>
      </c>
      <c r="B5" s="83" t="str">
        <f t="shared" ref="B5:AG5" si="3">CONCATENATE(B6, "_", B7)</f>
        <v>Источники данных_Облако данных ETL</v>
      </c>
      <c r="C5" s="83" t="str">
        <f t="shared" si="3"/>
        <v>Источники данных_Облако данных</v>
      </c>
      <c r="D5" s="83" t="str">
        <f t="shared" si="3"/>
        <v>Источники данных_Внешние данные</v>
      </c>
      <c r="E5" s="83" t="str">
        <f t="shared" si="3"/>
        <v>Источники данных_Внутренние данные</v>
      </c>
      <c r="F5" s="83" t="str">
        <f t="shared" si="3"/>
        <v>Источники данных_Мониторинг источников данных</v>
      </c>
      <c r="G5" s="83" t="str">
        <f t="shared" si="3"/>
        <v>Источники данных_Поставка данных для Цифровых помощников</v>
      </c>
      <c r="H5" s="83" t="str">
        <f t="shared" si="3"/>
        <v>Источники данных_Аналитика внутренних данных</v>
      </c>
      <c r="I5" s="83" t="str">
        <f t="shared" si="3"/>
        <v>Контроль качества моделей и модельных данных_Общестримовая команда стрима Контроль качества моделей и модельных данных</v>
      </c>
      <c r="J5" s="83" t="str">
        <f t="shared" si="3"/>
        <v>Контроль качества моделей и модельных данных_Анализ клиентских путей и зависимостей</v>
      </c>
      <c r="K5" s="83" t="str">
        <f t="shared" si="3"/>
        <v>Контроль качества моделей и модельных данных_Аналитика и автоматизация контролей</v>
      </c>
      <c r="L5" s="83" t="str">
        <f t="shared" si="3"/>
        <v>Контроль качества моделей и модельных данных_Компонентный анализ моделей</v>
      </c>
      <c r="M5" s="83" t="str">
        <f t="shared" si="3"/>
        <v>Контроль качества моделей и модельных данных_Бизнес-анализ и оценка влияния моделей</v>
      </c>
      <c r="N5" s="83" t="str">
        <f t="shared" si="3"/>
        <v>Контроль качества моделей и модельных данных_Контроль модельных данных</v>
      </c>
      <c r="O5" s="83" t="str">
        <f t="shared" si="3"/>
        <v>Контроль качества моделей и модельных данных_Оперативная аналитика и технологии развития</v>
      </c>
      <c r="P5" s="83" t="str">
        <f t="shared" si="3"/>
        <v>Моделирование RnD_3 линия поддержки ML моделей</v>
      </c>
      <c r="Q5" s="83" t="str">
        <f t="shared" si="3"/>
        <v>Моделирование RnD_RND и апробация новых технологий</v>
      </c>
      <c r="R5" s="83" t="str">
        <f t="shared" si="3"/>
        <v>Моделирование RnD_Модели Антифрод</v>
      </c>
      <c r="S5" s="83" t="str">
        <f t="shared" si="3"/>
        <v>Моделирование RnD_Общестримовая команда стрима Моделирование RnD</v>
      </c>
      <c r="T5" s="83" t="str">
        <f t="shared" si="3"/>
        <v>Моделирование RnD_Применение моделей RND 1</v>
      </c>
      <c r="U5" s="83" t="str">
        <f t="shared" si="3"/>
        <v>Моделирование RnD_Применение моделей RND 2</v>
      </c>
      <c r="V5" s="83" t="str">
        <f t="shared" si="3"/>
        <v>Моделирование RnD_Продвинутый ML 1</v>
      </c>
      <c r="W5" s="83" t="str">
        <f t="shared" si="3"/>
        <v>Моделирование RnD_Продвинутый ML 2</v>
      </c>
      <c r="X5" s="83" t="str">
        <f t="shared" si="3"/>
        <v>Моделирование RnD_родвинутый ML 4</v>
      </c>
      <c r="Y5" s="83" t="str">
        <f t="shared" si="3"/>
        <v>Моделирование RnD_Эмбеддинги</v>
      </c>
      <c r="Z5" s="83" t="str">
        <f t="shared" si="3"/>
        <v>Моделирование РБ_Общестримовая команда стрима Моделирование РБ</v>
      </c>
      <c r="AA5" s="83" t="str">
        <f t="shared" si="3"/>
        <v>Моделирование РБ_CRM Classic</v>
      </c>
      <c r="AB5" s="83" t="str">
        <f t="shared" si="3"/>
        <v>Моделирование РБ_Регуляторные модели РБ-1</v>
      </c>
      <c r="AC5" s="83" t="str">
        <f t="shared" si="3"/>
        <v>Моделирование РБ_CRM Mix</v>
      </c>
      <c r="AD5" s="83" t="str">
        <f t="shared" si="3"/>
        <v>Моделирование РБ_Collection РБ</v>
      </c>
      <c r="AE5" s="83" t="str">
        <f t="shared" si="3"/>
        <v>Моделирование РБ_Витрины для РКК</v>
      </c>
      <c r="AF5" s="83" t="str">
        <f t="shared" si="3"/>
        <v>Моделирование РБ_Регуляторные модели РБ-2</v>
      </c>
      <c r="AG5" s="83" t="str">
        <f t="shared" si="3"/>
        <v>Моделирование РБ_Витрины ДАДМ</v>
      </c>
      <c r="AH5" s="83" t="str">
        <f t="shared" ref="AH5:BM5" si="4">CONCATENATE(AH6, "_", AH7)</f>
        <v>Моделирование РБ_Бизнес РБ (незалоговые)</v>
      </c>
      <c r="AI5" s="83" t="str">
        <f t="shared" si="4"/>
        <v>Моделирование РБ_Применение моделей</v>
      </c>
      <c r="AJ5" s="83" t="str">
        <f t="shared" si="4"/>
        <v>Моделирование РБ_CRM Advice</v>
      </c>
      <c r="AK5" s="83" t="str">
        <f t="shared" si="4"/>
        <v>Моделирование РБ_Бизнес РБ (доход)</v>
      </c>
      <c r="AL5" s="83" t="str">
        <f t="shared" si="4"/>
        <v>Моделирование РБ_Бизнес РБ (залоговые)</v>
      </c>
      <c r="AM5" s="83" t="str">
        <f t="shared" si="4"/>
        <v>Моделирование РБ_Модели оптимизации РБ</v>
      </c>
      <c r="AN5" s="83" t="str">
        <f t="shared" si="4"/>
        <v>Потоковые данные_Финмониторинг</v>
      </c>
      <c r="AO5" s="83" t="str">
        <f t="shared" si="4"/>
        <v>Потоковые данные_Стрим "Потоковые данные"</v>
      </c>
      <c r="AP5" s="83" t="str">
        <f t="shared" si="4"/>
        <v>Потоковые данные_Потоки данных для RTO</v>
      </c>
      <c r="AQ5" s="83" t="str">
        <f t="shared" si="4"/>
        <v>Потоковые данные_Цифровой финансовый советник</v>
      </c>
      <c r="AR5" s="83" t="str">
        <f t="shared" si="4"/>
        <v>Потоковые данные_Виртуальные информационные потоки</v>
      </c>
      <c r="AS5" s="83" t="str">
        <f t="shared" si="4"/>
        <v>Потоковые данные_Проверка по спискам физ.лиц</v>
      </c>
      <c r="AT5" s="83" t="str">
        <f t="shared" si="4"/>
        <v>Потоковые данные_Уникальные потоковые сервисы</v>
      </c>
      <c r="AU5" s="83" t="str">
        <f t="shared" si="4"/>
        <v>Потоковые данные_Потоки данных для регуляторных моделей</v>
      </c>
      <c r="AV5" s="83" t="str">
        <f t="shared" si="4"/>
        <v>Потоковые данные_Потоки данных для СПМ</v>
      </c>
      <c r="AW5" s="83" t="str">
        <f t="shared" si="4"/>
        <v>Разработка моделей для КМБ и КСБ сегмента_Общестримовая команда стрима Разработка моделей для КМБ и КСБ сегмента</v>
      </c>
      <c r="AX5" s="83" t="str">
        <f t="shared" si="4"/>
        <v>Разработка моделей для КМБ и КСБ сегмента_Риск модели МБ</v>
      </c>
      <c r="AY5" s="83" t="str">
        <f t="shared" si="4"/>
        <v>Разработка моделей для КМБ и КСБ сегмента_Продуктивизация моделей бизнеспроцессов</v>
      </c>
      <c r="AZ5" s="83" t="str">
        <f t="shared" si="4"/>
        <v>Разработка моделей для КМБ и КСБ сегмента_Модели ЖЦК</v>
      </c>
      <c r="BA5" s="83" t="str">
        <f t="shared" si="4"/>
        <v>Разработка моделей для КМБ и КСБ сегмента_Модели распознавания изображений и анализа текста</v>
      </c>
      <c r="BB5" s="83" t="str">
        <f t="shared" si="4"/>
        <v>Разработка моделей для КМБ и КСБ сегмента_Продуктивизация моделей оценки кредитного риска</v>
      </c>
      <c r="BC5" s="83" t="str">
        <f t="shared" si="4"/>
        <v>Разработка моделей для КМБ и КСБ сегмента_Риск модели КБ</v>
      </c>
      <c r="BD5" s="83" t="str">
        <f t="shared" si="4"/>
        <v>Разработка моделей для КМБ и КСБ сегмента_Модели взыскания и комплайенса</v>
      </c>
      <c r="BE5" s="83" t="str">
        <f t="shared" si="4"/>
        <v>Разработка моделей для КМБ и КСБ сегмента_Развитие инфраструктуры моделей и витрин</v>
      </c>
      <c r="BF5" s="83" t="str">
        <f t="shared" si="4"/>
        <v>Разработка моделей для КМБ и КСБ сегмента_Портфельные модели</v>
      </c>
      <c r="BG5" s="83" t="str">
        <f t="shared" si="4"/>
        <v>Решения для моделирования_Управление ЖЦ моделей</v>
      </c>
      <c r="BH5" s="83" t="str">
        <f t="shared" si="4"/>
        <v>Решения для моделирования_Стрим Решения для моделирования</v>
      </c>
      <c r="BI5" s="83" t="str">
        <f t="shared" si="4"/>
        <v>Решения для моделирования_Модельный оптимизатор</v>
      </c>
      <c r="BJ5" s="83" t="str">
        <f t="shared" si="4"/>
        <v>Решения для моделирования_Оркестрация моделей</v>
      </c>
      <c r="BK5" s="83" t="str">
        <f t="shared" si="4"/>
        <v>Решения для моделирования_Платформа AutoML</v>
      </c>
      <c r="BL5" s="83" t="str">
        <f t="shared" si="4"/>
        <v>Решения для моделирования_Batch ETL</v>
      </c>
      <c r="BM5" s="83" t="str">
        <f t="shared" si="4"/>
        <v>Решения для моделирования_Реестр Моделей</v>
      </c>
      <c r="BN5" s="83" t="str">
        <f t="shared" ref="BN5:CD5" si="5">CONCATENATE(BN6, "_", BN7)</f>
        <v>Решения для моделирования_Технологические сервисы</v>
      </c>
      <c r="BO5" s="83" t="str">
        <f t="shared" si="5"/>
        <v>Решения для моделирования_Сервисы ПИМ</v>
      </c>
      <c r="BP5" s="83" t="str">
        <f t="shared" si="5"/>
        <v>Сервисы для работы с большими данными_Стрим Сервисы для работы с большими данными</v>
      </c>
      <c r="BQ5" s="83" t="str">
        <f t="shared" si="5"/>
        <v>Сервисы для работы с большими данными_Развитие репликации данных “E-Synk”</v>
      </c>
      <c r="BR5" s="83" t="str">
        <f t="shared" si="5"/>
        <v>Сервисы для работы с большими данными_Развитие SSDP</v>
      </c>
      <c r="BS5" s="83" t="str">
        <f t="shared" si="5"/>
        <v>Сервисы для работы с большими данными_SELF-SERVICE</v>
      </c>
      <c r="BT5" s="83" t="str">
        <f t="shared" si="5"/>
        <v>Сервисы для работы с большими данными_Прикладные сервисы BIG DATA</v>
      </c>
      <c r="BU5" s="86" t="str">
        <f t="shared" si="5"/>
        <v>Стрим ДАДМ_Консультационное сопровождение</v>
      </c>
      <c r="BV5" s="86" t="str">
        <f t="shared" si="5"/>
        <v>Стрим ДАДМ_Проектная деятельность</v>
      </c>
      <c r="BW5" s="83" t="str">
        <f t="shared" si="5"/>
        <v>Стрим ДАДМ_Координация бюджета и закупок</v>
      </c>
      <c r="BX5" s="83" t="str">
        <f t="shared" si="5"/>
        <v>Финансовое моделирование_Общестримовая команда стрима Финансовое моделирование</v>
      </c>
      <c r="BY5" s="83" t="str">
        <f t="shared" si="5"/>
        <v>Финансовое моделирование_Финансовый инжиниринг</v>
      </c>
      <c r="BZ5" s="83" t="str">
        <f t="shared" si="5"/>
        <v>Финансовое моделирование_Финансовый инжиниринг 2</v>
      </c>
      <c r="CA5" s="83" t="str">
        <f t="shared" si="5"/>
        <v>Финансовое моделирование_Количественные финансы</v>
      </c>
      <c r="CB5" s="83" t="str">
        <f t="shared" si="5"/>
        <v>Финансовое моделирование_Модели ALM</v>
      </c>
      <c r="CC5" s="83" t="str">
        <f t="shared" si="5"/>
        <v>Финансовое моделирование_Управление жизненным циклом финансовых моделей</v>
      </c>
      <c r="CD5" s="83" t="str">
        <f t="shared" si="5"/>
        <v>Финансовое моделирование_ALM 2</v>
      </c>
    </row>
    <row r="6" spans="1:82" ht="21.75" hidden="1" customHeight="1" outlineLevel="1" x14ac:dyDescent="0.2">
      <c r="A6" s="84" t="s">
        <v>72</v>
      </c>
      <c r="B6" s="85" t="s">
        <v>289</v>
      </c>
      <c r="C6" s="85" t="s">
        <v>289</v>
      </c>
      <c r="D6" s="85" t="s">
        <v>289</v>
      </c>
      <c r="E6" s="85" t="s">
        <v>289</v>
      </c>
      <c r="F6" s="85" t="s">
        <v>289</v>
      </c>
      <c r="G6" s="85" t="s">
        <v>289</v>
      </c>
      <c r="H6" s="85" t="s">
        <v>289</v>
      </c>
      <c r="I6" s="85" t="s">
        <v>680</v>
      </c>
      <c r="J6" s="85" t="s">
        <v>680</v>
      </c>
      <c r="K6" s="85" t="s">
        <v>680</v>
      </c>
      <c r="L6" s="85" t="s">
        <v>680</v>
      </c>
      <c r="M6" s="85" t="s">
        <v>680</v>
      </c>
      <c r="N6" s="85" t="s">
        <v>680</v>
      </c>
      <c r="O6" s="85" t="s">
        <v>680</v>
      </c>
      <c r="P6" s="85" t="s">
        <v>681</v>
      </c>
      <c r="Q6" s="85" t="s">
        <v>681</v>
      </c>
      <c r="R6" s="85" t="s">
        <v>681</v>
      </c>
      <c r="S6" s="85" t="s">
        <v>681</v>
      </c>
      <c r="T6" s="85" t="s">
        <v>681</v>
      </c>
      <c r="U6" s="85" t="s">
        <v>681</v>
      </c>
      <c r="V6" s="85" t="s">
        <v>681</v>
      </c>
      <c r="W6" s="85" t="s">
        <v>681</v>
      </c>
      <c r="X6" s="85" t="s">
        <v>681</v>
      </c>
      <c r="Y6" s="85" t="s">
        <v>681</v>
      </c>
      <c r="Z6" s="85" t="s">
        <v>202</v>
      </c>
      <c r="AA6" s="85" t="s">
        <v>202</v>
      </c>
      <c r="AB6" s="85" t="s">
        <v>202</v>
      </c>
      <c r="AC6" s="85" t="s">
        <v>202</v>
      </c>
      <c r="AD6" s="85" t="s">
        <v>202</v>
      </c>
      <c r="AE6" s="85" t="s">
        <v>202</v>
      </c>
      <c r="AF6" s="85" t="s">
        <v>202</v>
      </c>
      <c r="AG6" s="85" t="s">
        <v>202</v>
      </c>
      <c r="AH6" s="85" t="s">
        <v>202</v>
      </c>
      <c r="AI6" s="85" t="s">
        <v>202</v>
      </c>
      <c r="AJ6" s="85" t="s">
        <v>202</v>
      </c>
      <c r="AK6" s="85" t="s">
        <v>202</v>
      </c>
      <c r="AL6" s="85" t="s">
        <v>202</v>
      </c>
      <c r="AM6" s="85" t="s">
        <v>202</v>
      </c>
      <c r="AN6" s="86" t="s">
        <v>262</v>
      </c>
      <c r="AO6" s="86" t="s">
        <v>262</v>
      </c>
      <c r="AP6" s="86" t="s">
        <v>262</v>
      </c>
      <c r="AQ6" s="86" t="s">
        <v>262</v>
      </c>
      <c r="AR6" s="86" t="s">
        <v>262</v>
      </c>
      <c r="AS6" s="85" t="s">
        <v>262</v>
      </c>
      <c r="AT6" s="85" t="s">
        <v>262</v>
      </c>
      <c r="AU6" s="85" t="s">
        <v>262</v>
      </c>
      <c r="AV6" s="85" t="s">
        <v>262</v>
      </c>
      <c r="AW6" s="85" t="s">
        <v>682</v>
      </c>
      <c r="AX6" s="85" t="s">
        <v>682</v>
      </c>
      <c r="AY6" s="85" t="s">
        <v>682</v>
      </c>
      <c r="AZ6" s="85" t="s">
        <v>682</v>
      </c>
      <c r="BA6" s="85" t="s">
        <v>682</v>
      </c>
      <c r="BB6" s="85" t="s">
        <v>682</v>
      </c>
      <c r="BC6" s="85" t="s">
        <v>682</v>
      </c>
      <c r="BD6" s="85" t="s">
        <v>682</v>
      </c>
      <c r="BE6" s="85" t="s">
        <v>682</v>
      </c>
      <c r="BF6" s="85" t="s">
        <v>682</v>
      </c>
      <c r="BG6" s="85" t="s">
        <v>758</v>
      </c>
      <c r="BH6" s="85" t="s">
        <v>758</v>
      </c>
      <c r="BI6" s="85" t="s">
        <v>758</v>
      </c>
      <c r="BJ6" s="85" t="s">
        <v>758</v>
      </c>
      <c r="BK6" s="85" t="s">
        <v>758</v>
      </c>
      <c r="BL6" s="85" t="s">
        <v>758</v>
      </c>
      <c r="BM6" s="85" t="s">
        <v>758</v>
      </c>
      <c r="BN6" s="85" t="s">
        <v>758</v>
      </c>
      <c r="BO6" s="85" t="s">
        <v>758</v>
      </c>
      <c r="BP6" s="85" t="s">
        <v>759</v>
      </c>
      <c r="BQ6" s="85" t="s">
        <v>759</v>
      </c>
      <c r="BR6" s="85" t="s">
        <v>759</v>
      </c>
      <c r="BS6" s="85" t="s">
        <v>759</v>
      </c>
      <c r="BT6" s="85" t="s">
        <v>759</v>
      </c>
      <c r="BU6" s="85" t="s">
        <v>685</v>
      </c>
      <c r="BV6" s="85" t="s">
        <v>685</v>
      </c>
      <c r="BW6" s="85" t="s">
        <v>685</v>
      </c>
      <c r="BX6" s="85" t="s">
        <v>446</v>
      </c>
      <c r="BY6" s="85" t="s">
        <v>446</v>
      </c>
      <c r="BZ6" s="85" t="s">
        <v>446</v>
      </c>
      <c r="CA6" s="85" t="s">
        <v>446</v>
      </c>
      <c r="CB6" s="85" t="s">
        <v>446</v>
      </c>
      <c r="CC6" s="85" t="s">
        <v>446</v>
      </c>
      <c r="CD6" s="85" t="s">
        <v>446</v>
      </c>
    </row>
    <row r="7" spans="1:82" ht="24" hidden="1" customHeight="1" outlineLevel="1" x14ac:dyDescent="0.2">
      <c r="A7" s="84" t="s">
        <v>74</v>
      </c>
      <c r="B7" s="85" t="s">
        <v>689</v>
      </c>
      <c r="C7" s="85" t="s">
        <v>690</v>
      </c>
      <c r="D7" s="85" t="s">
        <v>691</v>
      </c>
      <c r="E7" s="85" t="s">
        <v>692</v>
      </c>
      <c r="F7" s="85" t="s">
        <v>693</v>
      </c>
      <c r="G7" s="85" t="s">
        <v>694</v>
      </c>
      <c r="H7" s="85" t="s">
        <v>695</v>
      </c>
      <c r="I7" s="85" t="s">
        <v>696</v>
      </c>
      <c r="J7" s="85" t="s">
        <v>697</v>
      </c>
      <c r="K7" s="85" t="s">
        <v>698</v>
      </c>
      <c r="L7" s="85" t="s">
        <v>699</v>
      </c>
      <c r="M7" s="85" t="s">
        <v>700</v>
      </c>
      <c r="N7" s="85" t="s">
        <v>701</v>
      </c>
      <c r="O7" s="85" t="s">
        <v>702</v>
      </c>
      <c r="P7" s="85" t="s">
        <v>703</v>
      </c>
      <c r="Q7" s="85" t="s">
        <v>704</v>
      </c>
      <c r="R7" s="85" t="s">
        <v>705</v>
      </c>
      <c r="S7" s="85" t="s">
        <v>706</v>
      </c>
      <c r="T7" s="85" t="s">
        <v>707</v>
      </c>
      <c r="U7" s="85" t="s">
        <v>708</v>
      </c>
      <c r="V7" s="85" t="s">
        <v>709</v>
      </c>
      <c r="W7" s="85" t="s">
        <v>710</v>
      </c>
      <c r="X7" s="85" t="s">
        <v>711</v>
      </c>
      <c r="Y7" s="85" t="s">
        <v>712</v>
      </c>
      <c r="Z7" s="85" t="s">
        <v>713</v>
      </c>
      <c r="AA7" s="85" t="s">
        <v>714</v>
      </c>
      <c r="AB7" s="85" t="s">
        <v>204</v>
      </c>
      <c r="AC7" s="85" t="s">
        <v>715</v>
      </c>
      <c r="AD7" s="85" t="s">
        <v>349</v>
      </c>
      <c r="AE7" s="85" t="s">
        <v>436</v>
      </c>
      <c r="AF7" s="85" t="s">
        <v>208</v>
      </c>
      <c r="AG7" s="85" t="s">
        <v>443</v>
      </c>
      <c r="AH7" s="85" t="s">
        <v>231</v>
      </c>
      <c r="AI7" s="85" t="s">
        <v>716</v>
      </c>
      <c r="AJ7" s="85" t="s">
        <v>717</v>
      </c>
      <c r="AK7" s="85" t="s">
        <v>321</v>
      </c>
      <c r="AL7" s="85" t="s">
        <v>249</v>
      </c>
      <c r="AM7" s="85" t="s">
        <v>718</v>
      </c>
      <c r="AN7" s="85" t="s">
        <v>281</v>
      </c>
      <c r="AO7" s="85" t="s">
        <v>719</v>
      </c>
      <c r="AP7" s="85" t="s">
        <v>263</v>
      </c>
      <c r="AQ7" s="85" t="s">
        <v>271</v>
      </c>
      <c r="AR7" s="85" t="s">
        <v>720</v>
      </c>
      <c r="AS7" s="85" t="s">
        <v>721</v>
      </c>
      <c r="AT7" s="85" t="s">
        <v>278</v>
      </c>
      <c r="AU7" s="85" t="s">
        <v>722</v>
      </c>
      <c r="AV7" s="85" t="s">
        <v>723</v>
      </c>
      <c r="AW7" s="85" t="s">
        <v>724</v>
      </c>
      <c r="AX7" s="85" t="s">
        <v>725</v>
      </c>
      <c r="AY7" s="85" t="s">
        <v>726</v>
      </c>
      <c r="AZ7" s="85" t="s">
        <v>727</v>
      </c>
      <c r="BA7" s="85" t="s">
        <v>728</v>
      </c>
      <c r="BB7" s="85" t="s">
        <v>729</v>
      </c>
      <c r="BC7" s="85" t="s">
        <v>730</v>
      </c>
      <c r="BD7" s="85" t="s">
        <v>731</v>
      </c>
      <c r="BE7" s="85" t="s">
        <v>732</v>
      </c>
      <c r="BF7" s="85" t="s">
        <v>733</v>
      </c>
      <c r="BG7" s="85" t="s">
        <v>734</v>
      </c>
      <c r="BH7" s="85" t="s">
        <v>735</v>
      </c>
      <c r="BI7" s="85" t="s">
        <v>736</v>
      </c>
      <c r="BJ7" s="85" t="s">
        <v>737</v>
      </c>
      <c r="BK7" s="85" t="s">
        <v>738</v>
      </c>
      <c r="BL7" s="85" t="s">
        <v>739</v>
      </c>
      <c r="BM7" s="85" t="s">
        <v>740</v>
      </c>
      <c r="BN7" s="85" t="s">
        <v>741</v>
      </c>
      <c r="BO7" s="85" t="s">
        <v>742</v>
      </c>
      <c r="BP7" s="85" t="s">
        <v>743</v>
      </c>
      <c r="BQ7" s="85" t="s">
        <v>744</v>
      </c>
      <c r="BR7" s="85" t="s">
        <v>745</v>
      </c>
      <c r="BS7" s="85" t="s">
        <v>746</v>
      </c>
      <c r="BT7" s="85" t="s">
        <v>747</v>
      </c>
      <c r="BU7" s="85" t="s">
        <v>748</v>
      </c>
      <c r="BV7" s="85" t="s">
        <v>749</v>
      </c>
      <c r="BW7" s="85" t="s">
        <v>750</v>
      </c>
      <c r="BX7" s="85" t="s">
        <v>751</v>
      </c>
      <c r="BY7" s="85" t="s">
        <v>752</v>
      </c>
      <c r="BZ7" s="85" t="s">
        <v>753</v>
      </c>
      <c r="CA7" s="85" t="s">
        <v>754</v>
      </c>
      <c r="CB7" s="85" t="s">
        <v>755</v>
      </c>
      <c r="CC7" s="85" t="s">
        <v>756</v>
      </c>
      <c r="CD7" s="85" t="s">
        <v>757</v>
      </c>
    </row>
  </sheetData>
  <pageMargins left="0.70000004768371582" right="0.70000004768371582" top="0.75" bottom="0.75" header="0.30000001192092896" footer="0.30000001192092896"/>
  <pageSetup paperSize="9" fitToWidth="0"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pageMargins left="0.70000004768371582" right="0.70000004768371582" top="0.75" bottom="0.75" header="0.30000001192092896" footer="0.3000000119209289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2"/>
  <sheetViews>
    <sheetView topLeftCell="A40" workbookViewId="0">
      <selection activeCell="B3" sqref="B3"/>
    </sheetView>
  </sheetViews>
  <sheetFormatPr defaultColWidth="105" defaultRowHeight="11.4" x14ac:dyDescent="0.2"/>
  <cols>
    <col min="1" max="1" width="46.33203125" style="87" customWidth="1"/>
    <col min="2" max="2" width="73.109375" style="88" customWidth="1"/>
    <col min="3" max="8" width="10.6640625" style="88" customWidth="1"/>
    <col min="9" max="61" width="18.33203125" style="88" customWidth="1"/>
    <col min="62" max="62" width="105" style="88" bestFit="1" customWidth="1"/>
    <col min="63" max="16384" width="105" style="88"/>
  </cols>
  <sheetData>
    <row r="1" spans="1:2" s="89" customFormat="1" ht="13.2" x14ac:dyDescent="0.25">
      <c r="A1" s="90" t="s">
        <v>760</v>
      </c>
      <c r="B1" s="91" t="s">
        <v>761</v>
      </c>
    </row>
    <row r="2" spans="1:2" s="89" customFormat="1" ht="14.4" customHeight="1" x14ac:dyDescent="0.25">
      <c r="A2" s="357" t="s">
        <v>765</v>
      </c>
      <c r="B2" s="92" t="s">
        <v>766</v>
      </c>
    </row>
    <row r="3" spans="1:2" s="89" customFormat="1" ht="13.2" x14ac:dyDescent="0.25">
      <c r="A3" s="358"/>
      <c r="B3" s="92" t="s">
        <v>770</v>
      </c>
    </row>
    <row r="4" spans="1:2" ht="12" customHeight="1" x14ac:dyDescent="0.25">
      <c r="A4" s="359"/>
      <c r="B4" s="92" t="s">
        <v>775</v>
      </c>
    </row>
    <row r="5" spans="1:2" ht="12" customHeight="1" x14ac:dyDescent="0.25">
      <c r="A5" s="360"/>
      <c r="B5" s="92" t="s">
        <v>780</v>
      </c>
    </row>
    <row r="6" spans="1:2" ht="12" customHeight="1" x14ac:dyDescent="0.25">
      <c r="A6" s="361"/>
      <c r="B6" s="92" t="s">
        <v>785</v>
      </c>
    </row>
    <row r="7" spans="1:2" ht="12" customHeight="1" x14ac:dyDescent="0.25">
      <c r="A7" s="362"/>
      <c r="B7" s="92" t="s">
        <v>790</v>
      </c>
    </row>
    <row r="8" spans="1:2" ht="12" customHeight="1" x14ac:dyDescent="0.25">
      <c r="A8" s="363"/>
      <c r="B8" s="92" t="s">
        <v>794</v>
      </c>
    </row>
    <row r="9" spans="1:2" ht="12" customHeight="1" x14ac:dyDescent="0.25">
      <c r="A9" s="364"/>
      <c r="B9" s="92" t="s">
        <v>798</v>
      </c>
    </row>
    <row r="10" spans="1:2" ht="13.5" customHeight="1" x14ac:dyDescent="0.25">
      <c r="A10" s="365"/>
      <c r="B10" s="92" t="s">
        <v>802</v>
      </c>
    </row>
    <row r="11" spans="1:2" ht="12" customHeight="1" x14ac:dyDescent="0.25">
      <c r="A11" s="366"/>
      <c r="B11" s="92" t="s">
        <v>801</v>
      </c>
    </row>
    <row r="12" spans="1:2" ht="12" customHeight="1" x14ac:dyDescent="0.25">
      <c r="A12" s="367"/>
      <c r="B12" s="92" t="s">
        <v>807</v>
      </c>
    </row>
    <row r="13" spans="1:2" ht="12" customHeight="1" x14ac:dyDescent="0.25">
      <c r="A13" s="368"/>
      <c r="B13" s="92" t="s">
        <v>812</v>
      </c>
    </row>
    <row r="14" spans="1:2" ht="12" customHeight="1" x14ac:dyDescent="0.25">
      <c r="A14" s="369"/>
      <c r="B14" s="92" t="s">
        <v>818</v>
      </c>
    </row>
    <row r="15" spans="1:2" ht="12" customHeight="1" x14ac:dyDescent="0.25">
      <c r="A15" s="370"/>
      <c r="B15" s="93" t="s">
        <v>824</v>
      </c>
    </row>
    <row r="16" spans="1:2" ht="12" x14ac:dyDescent="0.25">
      <c r="A16" s="306" t="s">
        <v>806</v>
      </c>
      <c r="B16" s="97" t="s">
        <v>808</v>
      </c>
    </row>
    <row r="17" spans="1:2" ht="12" x14ac:dyDescent="0.25">
      <c r="A17" s="307"/>
      <c r="B17" s="92" t="s">
        <v>814</v>
      </c>
    </row>
    <row r="18" spans="1:2" ht="12" x14ac:dyDescent="0.25">
      <c r="A18" s="308"/>
      <c r="B18" s="92" t="s">
        <v>820</v>
      </c>
    </row>
    <row r="19" spans="1:2" ht="12" x14ac:dyDescent="0.25">
      <c r="A19" s="309"/>
      <c r="B19" s="92" t="s">
        <v>825</v>
      </c>
    </row>
    <row r="20" spans="1:2" ht="12" x14ac:dyDescent="0.25">
      <c r="A20" s="310"/>
      <c r="B20" s="92" t="s">
        <v>830</v>
      </c>
    </row>
    <row r="21" spans="1:2" ht="12" x14ac:dyDescent="0.25">
      <c r="A21" s="311"/>
      <c r="B21" s="92" t="s">
        <v>763</v>
      </c>
    </row>
    <row r="22" spans="1:2" ht="12" x14ac:dyDescent="0.25">
      <c r="A22" s="312"/>
      <c r="B22" s="93" t="s">
        <v>767</v>
      </c>
    </row>
    <row r="23" spans="1:2" ht="14.4" customHeight="1" x14ac:dyDescent="0.25">
      <c r="A23" s="313" t="s">
        <v>771</v>
      </c>
      <c r="B23" s="92" t="s">
        <v>773</v>
      </c>
    </row>
    <row r="24" spans="1:2" ht="13.2" customHeight="1" x14ac:dyDescent="0.25">
      <c r="A24" s="371"/>
      <c r="B24" s="92" t="s">
        <v>778</v>
      </c>
    </row>
    <row r="25" spans="1:2" ht="13.2" customHeight="1" x14ac:dyDescent="0.25">
      <c r="A25" s="372"/>
      <c r="B25" s="92" t="s">
        <v>782</v>
      </c>
    </row>
    <row r="26" spans="1:2" ht="13.2" customHeight="1" x14ac:dyDescent="0.25">
      <c r="A26" s="373"/>
      <c r="B26" s="92" t="s">
        <v>788</v>
      </c>
    </row>
    <row r="27" spans="1:2" ht="12" customHeight="1" x14ac:dyDescent="0.25">
      <c r="A27" s="374"/>
      <c r="B27" s="92" t="s">
        <v>791</v>
      </c>
    </row>
    <row r="28" spans="1:2" ht="12" customHeight="1" x14ac:dyDescent="0.25">
      <c r="A28" s="375"/>
      <c r="B28" s="92" t="s">
        <v>795</v>
      </c>
    </row>
    <row r="29" spans="1:2" ht="12" customHeight="1" x14ac:dyDescent="0.25">
      <c r="A29" s="376"/>
      <c r="B29" s="92" t="s">
        <v>561</v>
      </c>
    </row>
    <row r="30" spans="1:2" ht="12" customHeight="1" x14ac:dyDescent="0.25">
      <c r="A30" s="377"/>
      <c r="B30" s="92" t="s">
        <v>804</v>
      </c>
    </row>
    <row r="31" spans="1:2" ht="12" customHeight="1" x14ac:dyDescent="0.25">
      <c r="A31" s="378"/>
      <c r="B31" s="92" t="s">
        <v>810</v>
      </c>
    </row>
    <row r="32" spans="1:2" ht="12" x14ac:dyDescent="0.25">
      <c r="A32" s="313" t="s">
        <v>813</v>
      </c>
      <c r="B32" s="97" t="s">
        <v>816</v>
      </c>
    </row>
    <row r="33" spans="1:2" ht="12" x14ac:dyDescent="0.25">
      <c r="A33" s="314"/>
      <c r="B33" s="92" t="s">
        <v>822</v>
      </c>
    </row>
    <row r="34" spans="1:2" ht="12" x14ac:dyDescent="0.25">
      <c r="A34" s="315"/>
      <c r="B34" s="92" t="s">
        <v>827</v>
      </c>
    </row>
    <row r="35" spans="1:2" ht="12" x14ac:dyDescent="0.25">
      <c r="A35" s="316"/>
      <c r="B35" s="92" t="s">
        <v>483</v>
      </c>
    </row>
    <row r="36" spans="1:2" ht="12" x14ac:dyDescent="0.25">
      <c r="A36" s="317"/>
      <c r="B36" s="92" t="s">
        <v>811</v>
      </c>
    </row>
    <row r="37" spans="1:2" ht="12" x14ac:dyDescent="0.25">
      <c r="A37" s="318"/>
      <c r="B37" s="92" t="s">
        <v>817</v>
      </c>
    </row>
    <row r="38" spans="1:2" ht="12" x14ac:dyDescent="0.25">
      <c r="A38" s="319"/>
      <c r="B38" s="92" t="s">
        <v>823</v>
      </c>
    </row>
    <row r="39" spans="1:2" ht="12" x14ac:dyDescent="0.25">
      <c r="A39" s="320"/>
      <c r="B39" s="92" t="s">
        <v>828</v>
      </c>
    </row>
    <row r="40" spans="1:2" ht="12" x14ac:dyDescent="0.25">
      <c r="A40" s="321"/>
      <c r="B40" s="92" t="s">
        <v>829</v>
      </c>
    </row>
    <row r="41" spans="1:2" ht="12" x14ac:dyDescent="0.25">
      <c r="A41" s="322"/>
      <c r="B41" s="92" t="s">
        <v>833</v>
      </c>
    </row>
    <row r="42" spans="1:2" ht="12" x14ac:dyDescent="0.25">
      <c r="A42" s="323"/>
      <c r="B42" s="92" t="s">
        <v>764</v>
      </c>
    </row>
    <row r="43" spans="1:2" ht="12" x14ac:dyDescent="0.25">
      <c r="A43" s="324"/>
      <c r="B43" s="92" t="s">
        <v>769</v>
      </c>
    </row>
    <row r="44" spans="1:2" ht="12" x14ac:dyDescent="0.25">
      <c r="A44" s="325"/>
      <c r="B44" s="92" t="s">
        <v>774</v>
      </c>
    </row>
    <row r="45" spans="1:2" ht="12" x14ac:dyDescent="0.25">
      <c r="A45" s="326"/>
      <c r="B45" s="92" t="s">
        <v>779</v>
      </c>
    </row>
    <row r="46" spans="1:2" ht="12" x14ac:dyDescent="0.25">
      <c r="A46" s="327"/>
      <c r="B46" s="92" t="s">
        <v>784</v>
      </c>
    </row>
    <row r="47" spans="1:2" ht="12" x14ac:dyDescent="0.25">
      <c r="A47" s="328"/>
      <c r="B47" s="92" t="s">
        <v>787</v>
      </c>
    </row>
    <row r="48" spans="1:2" ht="12" x14ac:dyDescent="0.25">
      <c r="A48" s="329"/>
      <c r="B48" s="92" t="s">
        <v>792</v>
      </c>
    </row>
    <row r="49" spans="1:2" ht="12" x14ac:dyDescent="0.25">
      <c r="A49" s="330"/>
      <c r="B49" s="92" t="s">
        <v>796</v>
      </c>
    </row>
    <row r="50" spans="1:2" ht="12" x14ac:dyDescent="0.25">
      <c r="A50" s="331"/>
      <c r="B50" s="92" t="s">
        <v>800</v>
      </c>
    </row>
    <row r="51" spans="1:2" ht="12" x14ac:dyDescent="0.25">
      <c r="A51" s="332"/>
      <c r="B51" s="92" t="s">
        <v>805</v>
      </c>
    </row>
    <row r="52" spans="1:2" ht="12" x14ac:dyDescent="0.25">
      <c r="A52" s="333"/>
      <c r="B52" s="92" t="s">
        <v>809</v>
      </c>
    </row>
    <row r="53" spans="1:2" ht="12" x14ac:dyDescent="0.25">
      <c r="A53" s="334"/>
      <c r="B53" s="93" t="s">
        <v>815</v>
      </c>
    </row>
    <row r="54" spans="1:2" ht="12" x14ac:dyDescent="0.25">
      <c r="A54" s="335" t="s">
        <v>819</v>
      </c>
      <c r="B54" s="92" t="s">
        <v>821</v>
      </c>
    </row>
    <row r="55" spans="1:2" ht="12" x14ac:dyDescent="0.25">
      <c r="A55" s="336"/>
      <c r="B55" s="92" t="s">
        <v>826</v>
      </c>
    </row>
    <row r="56" spans="1:2" ht="12" x14ac:dyDescent="0.25">
      <c r="A56" s="337"/>
      <c r="B56" s="92" t="s">
        <v>831</v>
      </c>
    </row>
    <row r="57" spans="1:2" ht="12" x14ac:dyDescent="0.25">
      <c r="A57" s="338"/>
      <c r="B57" s="92" t="s">
        <v>832</v>
      </c>
    </row>
    <row r="58" spans="1:2" ht="12" x14ac:dyDescent="0.25">
      <c r="A58" s="339"/>
      <c r="B58" s="92" t="s">
        <v>837</v>
      </c>
    </row>
    <row r="59" spans="1:2" ht="12" x14ac:dyDescent="0.25">
      <c r="A59" s="340"/>
      <c r="B59" s="92" t="s">
        <v>834</v>
      </c>
    </row>
    <row r="60" spans="1:2" ht="12" x14ac:dyDescent="0.25">
      <c r="A60" s="341"/>
      <c r="B60" s="92" t="s">
        <v>835</v>
      </c>
    </row>
    <row r="61" spans="1:2" ht="12" x14ac:dyDescent="0.25">
      <c r="A61" s="342"/>
      <c r="B61" s="92" t="s">
        <v>836</v>
      </c>
    </row>
    <row r="62" spans="1:2" ht="12" x14ac:dyDescent="0.25">
      <c r="A62" s="343"/>
      <c r="B62" s="92" t="s">
        <v>762</v>
      </c>
    </row>
    <row r="63" spans="1:2" ht="12" x14ac:dyDescent="0.25">
      <c r="A63" s="344"/>
      <c r="B63" s="92" t="s">
        <v>532</v>
      </c>
    </row>
    <row r="64" spans="1:2" ht="12" x14ac:dyDescent="0.25">
      <c r="A64" s="345"/>
      <c r="B64" s="92" t="s">
        <v>772</v>
      </c>
    </row>
    <row r="65" spans="1:2" ht="12" x14ac:dyDescent="0.25">
      <c r="A65" s="346"/>
      <c r="B65" s="92" t="s">
        <v>777</v>
      </c>
    </row>
    <row r="66" spans="1:2" ht="12" x14ac:dyDescent="0.25">
      <c r="A66" s="347"/>
      <c r="B66" s="92" t="s">
        <v>781</v>
      </c>
    </row>
    <row r="67" spans="1:2" ht="12" x14ac:dyDescent="0.25">
      <c r="A67" s="348"/>
      <c r="B67" s="92" t="s">
        <v>789</v>
      </c>
    </row>
    <row r="68" spans="1:2" ht="12" x14ac:dyDescent="0.25">
      <c r="A68" s="349"/>
      <c r="B68" s="92" t="s">
        <v>793</v>
      </c>
    </row>
    <row r="69" spans="1:2" ht="12" x14ac:dyDescent="0.25">
      <c r="A69" s="350"/>
      <c r="B69" s="92" t="s">
        <v>797</v>
      </c>
    </row>
    <row r="70" spans="1:2" ht="12" x14ac:dyDescent="0.25">
      <c r="A70" s="351"/>
      <c r="B70" s="92" t="s">
        <v>799</v>
      </c>
    </row>
    <row r="71" spans="1:2" ht="12" x14ac:dyDescent="0.25">
      <c r="A71" s="352"/>
      <c r="B71" s="92" t="s">
        <v>803</v>
      </c>
    </row>
    <row r="72" spans="1:2" ht="12" x14ac:dyDescent="0.25">
      <c r="A72" s="353"/>
      <c r="B72" s="92" t="s">
        <v>768</v>
      </c>
    </row>
    <row r="73" spans="1:2" ht="12" x14ac:dyDescent="0.25">
      <c r="A73" s="354"/>
      <c r="B73" s="92" t="s">
        <v>776</v>
      </c>
    </row>
    <row r="74" spans="1:2" ht="12" x14ac:dyDescent="0.25">
      <c r="A74" s="355"/>
      <c r="B74" s="92" t="s">
        <v>783</v>
      </c>
    </row>
    <row r="75" spans="1:2" ht="12" x14ac:dyDescent="0.25">
      <c r="A75" s="356"/>
      <c r="B75" s="94" t="s">
        <v>786</v>
      </c>
    </row>
    <row r="76" spans="1:2" ht="12" x14ac:dyDescent="0.25">
      <c r="A76" s="95"/>
      <c r="B76" s="96">
        <v>0</v>
      </c>
    </row>
    <row r="82" spans="2:2" x14ac:dyDescent="0.2">
      <c r="B82" s="87"/>
    </row>
  </sheetData>
  <mergeCells count="5">
    <mergeCell ref="A16:A22"/>
    <mergeCell ref="A32:A53"/>
    <mergeCell ref="A54:A75"/>
    <mergeCell ref="A2:A15"/>
    <mergeCell ref="A23:A31"/>
  </mergeCells>
  <pageMargins left="0.70000004768371582" right="0.70000004768371582" top="0.75" bottom="0.75" header="0.30000001192092896" footer="0.30000001192092896"/>
  <pageSetup paperSize="9" fitToWidth="0"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workbookViewId="0"/>
  </sheetViews>
  <sheetFormatPr defaultColWidth="9.109375" defaultRowHeight="14.4" x14ac:dyDescent="0.3"/>
  <cols>
    <col min="2" max="2" width="21.109375" customWidth="1"/>
    <col min="3" max="3" width="48" customWidth="1"/>
  </cols>
  <sheetData>
    <row r="1" spans="1:3" s="98" customFormat="1" x14ac:dyDescent="0.3">
      <c r="A1" s="98" t="s">
        <v>838</v>
      </c>
    </row>
    <row r="2" spans="1:3" ht="15.6" x14ac:dyDescent="0.3">
      <c r="A2" s="99" t="s">
        <v>839</v>
      </c>
      <c r="B2" s="99" t="s">
        <v>840</v>
      </c>
      <c r="C2" s="99" t="s">
        <v>841</v>
      </c>
    </row>
    <row r="3" spans="1:3" x14ac:dyDescent="0.3">
      <c r="A3" s="100">
        <v>1195</v>
      </c>
      <c r="B3" s="100" t="s">
        <v>842</v>
      </c>
      <c r="C3" s="100" t="s">
        <v>843</v>
      </c>
    </row>
    <row r="4" spans="1:3" x14ac:dyDescent="0.3">
      <c r="A4" s="100">
        <v>2023</v>
      </c>
      <c r="B4" s="100" t="s">
        <v>842</v>
      </c>
      <c r="C4" s="100" t="s">
        <v>843</v>
      </c>
    </row>
    <row r="5" spans="1:3" x14ac:dyDescent="0.3">
      <c r="A5" s="100">
        <v>1654</v>
      </c>
      <c r="B5" s="100" t="s">
        <v>842</v>
      </c>
      <c r="C5" s="100" t="s">
        <v>848</v>
      </c>
    </row>
    <row r="6" spans="1:3" x14ac:dyDescent="0.3">
      <c r="A6" s="100">
        <v>1505</v>
      </c>
      <c r="B6" s="100" t="s">
        <v>842</v>
      </c>
      <c r="C6" s="100" t="s">
        <v>849</v>
      </c>
    </row>
    <row r="7" spans="1:3" x14ac:dyDescent="0.3">
      <c r="A7" s="100">
        <v>1644</v>
      </c>
      <c r="B7" s="100" t="s">
        <v>842</v>
      </c>
      <c r="C7" s="100" t="s">
        <v>849</v>
      </c>
    </row>
    <row r="8" spans="1:3" x14ac:dyDescent="0.3">
      <c r="A8" s="100">
        <v>1648</v>
      </c>
      <c r="B8" s="100" t="s">
        <v>842</v>
      </c>
      <c r="C8" s="100" t="s">
        <v>849</v>
      </c>
    </row>
    <row r="9" spans="1:3" x14ac:dyDescent="0.3">
      <c r="A9" s="100">
        <v>1653</v>
      </c>
      <c r="B9" s="100" t="s">
        <v>842</v>
      </c>
      <c r="C9" s="100" t="s">
        <v>849</v>
      </c>
    </row>
    <row r="10" spans="1:3" x14ac:dyDescent="0.3">
      <c r="A10" s="100">
        <v>1655</v>
      </c>
      <c r="B10" s="100" t="s">
        <v>842</v>
      </c>
      <c r="C10" s="100" t="s">
        <v>849</v>
      </c>
    </row>
    <row r="11" spans="1:3" x14ac:dyDescent="0.3">
      <c r="A11" s="100">
        <v>1660</v>
      </c>
      <c r="B11" s="100" t="s">
        <v>842</v>
      </c>
      <c r="C11" s="100" t="s">
        <v>849</v>
      </c>
    </row>
    <row r="12" spans="1:3" x14ac:dyDescent="0.3">
      <c r="A12" s="100">
        <v>1661</v>
      </c>
      <c r="B12" s="100" t="s">
        <v>842</v>
      </c>
      <c r="C12" s="100" t="s">
        <v>849</v>
      </c>
    </row>
    <row r="13" spans="1:3" x14ac:dyDescent="0.3">
      <c r="A13" s="100">
        <v>1740</v>
      </c>
      <c r="B13" s="100" t="s">
        <v>842</v>
      </c>
      <c r="C13" s="100" t="s">
        <v>849</v>
      </c>
    </row>
    <row r="14" spans="1:3" x14ac:dyDescent="0.3">
      <c r="A14" s="100">
        <v>1817</v>
      </c>
      <c r="B14" s="100" t="s">
        <v>842</v>
      </c>
      <c r="C14" s="100" t="s">
        <v>849</v>
      </c>
    </row>
    <row r="15" spans="1:3" x14ac:dyDescent="0.3">
      <c r="A15" s="100">
        <v>2152</v>
      </c>
      <c r="B15" s="100" t="s">
        <v>842</v>
      </c>
      <c r="C15" s="100" t="s">
        <v>849</v>
      </c>
    </row>
    <row r="16" spans="1:3" x14ac:dyDescent="0.3">
      <c r="A16" s="100">
        <v>3798</v>
      </c>
      <c r="B16" s="100" t="s">
        <v>842</v>
      </c>
      <c r="C16" s="100" t="s">
        <v>849</v>
      </c>
    </row>
    <row r="17" spans="1:3" x14ac:dyDescent="0.3">
      <c r="A17" s="100">
        <v>3803</v>
      </c>
      <c r="B17" s="100" t="s">
        <v>842</v>
      </c>
      <c r="C17" s="100" t="s">
        <v>849</v>
      </c>
    </row>
    <row r="18" spans="1:3" x14ac:dyDescent="0.3">
      <c r="A18" s="100">
        <v>3812</v>
      </c>
      <c r="B18" s="100" t="s">
        <v>842</v>
      </c>
      <c r="C18" s="100" t="s">
        <v>849</v>
      </c>
    </row>
    <row r="19" spans="1:3" x14ac:dyDescent="0.3">
      <c r="A19" s="100">
        <v>3813</v>
      </c>
      <c r="B19" s="100" t="s">
        <v>842</v>
      </c>
      <c r="C19" s="100" t="s">
        <v>849</v>
      </c>
    </row>
    <row r="20" spans="1:3" x14ac:dyDescent="0.3">
      <c r="A20" s="100">
        <v>3814</v>
      </c>
      <c r="B20" s="100" t="s">
        <v>842</v>
      </c>
      <c r="C20" s="100" t="s">
        <v>849</v>
      </c>
    </row>
    <row r="21" spans="1:3" x14ac:dyDescent="0.3">
      <c r="A21" s="100">
        <v>1246</v>
      </c>
      <c r="B21" s="100" t="s">
        <v>842</v>
      </c>
      <c r="C21" s="100" t="s">
        <v>856</v>
      </c>
    </row>
    <row r="22" spans="1:3" x14ac:dyDescent="0.3">
      <c r="A22" s="100">
        <v>1341</v>
      </c>
      <c r="B22" s="100" t="s">
        <v>842</v>
      </c>
      <c r="C22" s="100" t="s">
        <v>856</v>
      </c>
    </row>
    <row r="23" spans="1:3" x14ac:dyDescent="0.3">
      <c r="A23" s="100">
        <v>1394</v>
      </c>
      <c r="B23" s="100" t="s">
        <v>842</v>
      </c>
      <c r="C23" s="100" t="s">
        <v>856</v>
      </c>
    </row>
    <row r="24" spans="1:3" x14ac:dyDescent="0.3">
      <c r="A24" s="100">
        <v>1452</v>
      </c>
      <c r="B24" s="100" t="s">
        <v>842</v>
      </c>
      <c r="C24" s="100" t="s">
        <v>856</v>
      </c>
    </row>
    <row r="25" spans="1:3" x14ac:dyDescent="0.3">
      <c r="A25" s="100">
        <v>1564</v>
      </c>
      <c r="B25" s="100" t="s">
        <v>842</v>
      </c>
      <c r="C25" s="100" t="s">
        <v>856</v>
      </c>
    </row>
    <row r="26" spans="1:3" x14ac:dyDescent="0.3">
      <c r="A26" s="100">
        <v>1567</v>
      </c>
      <c r="B26" s="100" t="s">
        <v>842</v>
      </c>
      <c r="C26" s="100" t="s">
        <v>856</v>
      </c>
    </row>
    <row r="27" spans="1:3" x14ac:dyDescent="0.3">
      <c r="A27" s="100">
        <v>1580</v>
      </c>
      <c r="B27" s="100" t="s">
        <v>842</v>
      </c>
      <c r="C27" s="100" t="s">
        <v>856</v>
      </c>
    </row>
    <row r="28" spans="1:3" x14ac:dyDescent="0.3">
      <c r="A28" s="100">
        <v>1592</v>
      </c>
      <c r="B28" s="100" t="s">
        <v>842</v>
      </c>
      <c r="C28" s="100" t="s">
        <v>856</v>
      </c>
    </row>
    <row r="29" spans="1:3" x14ac:dyDescent="0.3">
      <c r="A29" s="100">
        <v>1593</v>
      </c>
      <c r="B29" s="100" t="s">
        <v>842</v>
      </c>
      <c r="C29" s="100" t="s">
        <v>856</v>
      </c>
    </row>
    <row r="30" spans="1:3" x14ac:dyDescent="0.3">
      <c r="A30" s="100">
        <v>1594</v>
      </c>
      <c r="B30" s="100" t="s">
        <v>842</v>
      </c>
      <c r="C30" s="100" t="s">
        <v>856</v>
      </c>
    </row>
    <row r="31" spans="1:3" x14ac:dyDescent="0.3">
      <c r="A31" s="100">
        <v>1864</v>
      </c>
      <c r="B31" s="100" t="s">
        <v>842</v>
      </c>
      <c r="C31" s="100" t="s">
        <v>856</v>
      </c>
    </row>
    <row r="32" spans="1:3" x14ac:dyDescent="0.3">
      <c r="A32" s="100">
        <v>1551</v>
      </c>
      <c r="B32" s="100" t="s">
        <v>842</v>
      </c>
      <c r="C32" s="100" t="s">
        <v>859</v>
      </c>
    </row>
    <row r="33" spans="1:3" x14ac:dyDescent="0.3">
      <c r="A33" s="100">
        <v>1777</v>
      </c>
      <c r="B33" s="100" t="s">
        <v>842</v>
      </c>
      <c r="C33" s="100" t="s">
        <v>859</v>
      </c>
    </row>
    <row r="34" spans="1:3" x14ac:dyDescent="0.3">
      <c r="A34" s="100">
        <v>1874</v>
      </c>
      <c r="B34" s="100" t="s">
        <v>842</v>
      </c>
      <c r="C34" s="100" t="s">
        <v>859</v>
      </c>
    </row>
    <row r="35" spans="1:3" x14ac:dyDescent="0.3">
      <c r="A35" s="100">
        <v>1881</v>
      </c>
      <c r="B35" s="100" t="s">
        <v>842</v>
      </c>
      <c r="C35" s="100" t="s">
        <v>859</v>
      </c>
    </row>
    <row r="36" spans="1:3" x14ac:dyDescent="0.3">
      <c r="A36" s="100">
        <v>1882</v>
      </c>
      <c r="B36" s="100" t="s">
        <v>842</v>
      </c>
      <c r="C36" s="100" t="s">
        <v>859</v>
      </c>
    </row>
    <row r="37" spans="1:3" x14ac:dyDescent="0.3">
      <c r="A37" s="100">
        <v>2020</v>
      </c>
      <c r="B37" s="100" t="s">
        <v>842</v>
      </c>
      <c r="C37" s="100" t="s">
        <v>859</v>
      </c>
    </row>
    <row r="38" spans="1:3" x14ac:dyDescent="0.3">
      <c r="A38" s="100">
        <v>2021</v>
      </c>
      <c r="B38" s="100" t="s">
        <v>842</v>
      </c>
      <c r="C38" s="100" t="s">
        <v>859</v>
      </c>
    </row>
    <row r="39" spans="1:3" x14ac:dyDescent="0.3">
      <c r="A39" s="100">
        <v>2050</v>
      </c>
      <c r="B39" s="100" t="s">
        <v>842</v>
      </c>
      <c r="C39" s="100" t="s">
        <v>859</v>
      </c>
    </row>
    <row r="40" spans="1:3" x14ac:dyDescent="0.3">
      <c r="A40" s="100">
        <v>3596</v>
      </c>
      <c r="B40" s="100" t="s">
        <v>842</v>
      </c>
      <c r="C40" s="100" t="s">
        <v>859</v>
      </c>
    </row>
    <row r="41" spans="1:3" x14ac:dyDescent="0.3">
      <c r="A41" s="100">
        <v>1738</v>
      </c>
      <c r="B41" s="100" t="s">
        <v>842</v>
      </c>
      <c r="C41" s="100" t="s">
        <v>861</v>
      </c>
    </row>
    <row r="42" spans="1:3" x14ac:dyDescent="0.3">
      <c r="A42" s="100">
        <v>385</v>
      </c>
      <c r="B42" s="100" t="s">
        <v>842</v>
      </c>
      <c r="C42" s="100" t="s">
        <v>862</v>
      </c>
    </row>
    <row r="43" spans="1:3" x14ac:dyDescent="0.3">
      <c r="A43" s="100">
        <v>668</v>
      </c>
      <c r="B43" s="100" t="s">
        <v>842</v>
      </c>
      <c r="C43" s="100" t="s">
        <v>862</v>
      </c>
    </row>
    <row r="44" spans="1:3" x14ac:dyDescent="0.3">
      <c r="A44" s="100">
        <v>1454</v>
      </c>
      <c r="B44" s="100" t="s">
        <v>842</v>
      </c>
      <c r="C44" s="100" t="s">
        <v>862</v>
      </c>
    </row>
    <row r="45" spans="1:3" x14ac:dyDescent="0.3">
      <c r="A45" s="100">
        <v>1679</v>
      </c>
      <c r="B45" s="100" t="s">
        <v>842</v>
      </c>
      <c r="C45" s="100" t="s">
        <v>862</v>
      </c>
    </row>
    <row r="46" spans="1:3" x14ac:dyDescent="0.3">
      <c r="A46" s="100">
        <v>1960</v>
      </c>
      <c r="B46" s="100" t="s">
        <v>842</v>
      </c>
      <c r="C46" s="100" t="s">
        <v>862</v>
      </c>
    </row>
    <row r="47" spans="1:3" x14ac:dyDescent="0.3">
      <c r="A47" s="100">
        <v>2044</v>
      </c>
      <c r="B47" s="100" t="s">
        <v>842</v>
      </c>
      <c r="C47" s="100" t="s">
        <v>862</v>
      </c>
    </row>
    <row r="48" spans="1:3" x14ac:dyDescent="0.3">
      <c r="A48" s="100">
        <v>2224</v>
      </c>
      <c r="B48" s="100" t="s">
        <v>842</v>
      </c>
      <c r="C48" s="100" t="s">
        <v>862</v>
      </c>
    </row>
    <row r="49" spans="1:3" x14ac:dyDescent="0.3">
      <c r="A49" s="100">
        <v>2231</v>
      </c>
      <c r="B49" s="100" t="s">
        <v>842</v>
      </c>
      <c r="C49" s="100" t="s">
        <v>862</v>
      </c>
    </row>
    <row r="50" spans="1:3" x14ac:dyDescent="0.3">
      <c r="A50" s="100">
        <v>2238</v>
      </c>
      <c r="B50" s="100" t="s">
        <v>842</v>
      </c>
      <c r="C50" s="100" t="s">
        <v>862</v>
      </c>
    </row>
    <row r="51" spans="1:3" x14ac:dyDescent="0.3">
      <c r="A51" s="100">
        <v>2240</v>
      </c>
      <c r="B51" s="100" t="s">
        <v>842</v>
      </c>
      <c r="C51" s="100" t="s">
        <v>862</v>
      </c>
    </row>
    <row r="52" spans="1:3" x14ac:dyDescent="0.3">
      <c r="A52" s="100">
        <v>2719</v>
      </c>
      <c r="B52" s="100" t="s">
        <v>842</v>
      </c>
      <c r="C52" s="100" t="s">
        <v>862</v>
      </c>
    </row>
    <row r="53" spans="1:3" x14ac:dyDescent="0.3">
      <c r="A53" s="100">
        <v>861</v>
      </c>
      <c r="B53" s="100" t="s">
        <v>842</v>
      </c>
      <c r="C53" s="100" t="s">
        <v>864</v>
      </c>
    </row>
    <row r="54" spans="1:3" x14ac:dyDescent="0.3">
      <c r="A54" s="100">
        <v>1356</v>
      </c>
      <c r="B54" s="100" t="s">
        <v>842</v>
      </c>
      <c r="C54" s="100" t="s">
        <v>864</v>
      </c>
    </row>
    <row r="55" spans="1:3" x14ac:dyDescent="0.3">
      <c r="A55" s="100">
        <v>2077</v>
      </c>
      <c r="B55" s="100" t="s">
        <v>842</v>
      </c>
      <c r="C55" s="100" t="s">
        <v>864</v>
      </c>
    </row>
    <row r="56" spans="1:3" x14ac:dyDescent="0.3">
      <c r="A56" s="100">
        <v>1853</v>
      </c>
      <c r="B56" s="100" t="s">
        <v>842</v>
      </c>
      <c r="C56" s="100" t="s">
        <v>866</v>
      </c>
    </row>
    <row r="57" spans="1:3" x14ac:dyDescent="0.3">
      <c r="A57" s="100">
        <v>3285</v>
      </c>
      <c r="B57" s="100" t="s">
        <v>842</v>
      </c>
      <c r="C57" s="100" t="s">
        <v>868</v>
      </c>
    </row>
    <row r="58" spans="1:3" x14ac:dyDescent="0.3">
      <c r="A58" s="100">
        <v>1888</v>
      </c>
      <c r="B58" s="100" t="s">
        <v>842</v>
      </c>
      <c r="C58" s="100" t="s">
        <v>869</v>
      </c>
    </row>
    <row r="59" spans="1:3" x14ac:dyDescent="0.3">
      <c r="A59" s="100">
        <v>2158</v>
      </c>
      <c r="B59" s="100" t="s">
        <v>842</v>
      </c>
      <c r="C59" s="100" t="s">
        <v>870</v>
      </c>
    </row>
    <row r="60" spans="1:3" x14ac:dyDescent="0.3">
      <c r="A60" s="100">
        <v>1460</v>
      </c>
      <c r="B60" s="100" t="s">
        <v>842</v>
      </c>
      <c r="C60" s="100" t="s">
        <v>871</v>
      </c>
    </row>
    <row r="61" spans="1:3" x14ac:dyDescent="0.3">
      <c r="A61" s="100">
        <v>1461</v>
      </c>
      <c r="B61" s="100" t="s">
        <v>842</v>
      </c>
      <c r="C61" s="100" t="s">
        <v>871</v>
      </c>
    </row>
    <row r="62" spans="1:3" x14ac:dyDescent="0.3">
      <c r="A62" s="100">
        <v>1462</v>
      </c>
      <c r="B62" s="100" t="s">
        <v>842</v>
      </c>
      <c r="C62" s="100" t="s">
        <v>871</v>
      </c>
    </row>
    <row r="63" spans="1:3" x14ac:dyDescent="0.3">
      <c r="A63" s="100">
        <v>1465</v>
      </c>
      <c r="B63" s="100" t="s">
        <v>842</v>
      </c>
      <c r="C63" s="100" t="s">
        <v>871</v>
      </c>
    </row>
    <row r="64" spans="1:3" x14ac:dyDescent="0.3">
      <c r="A64" s="100">
        <v>1466</v>
      </c>
      <c r="B64" s="100" t="s">
        <v>842</v>
      </c>
      <c r="C64" s="100" t="s">
        <v>871</v>
      </c>
    </row>
    <row r="65" spans="1:3" x14ac:dyDescent="0.3">
      <c r="A65" s="100">
        <v>3836</v>
      </c>
      <c r="B65" s="100" t="s">
        <v>842</v>
      </c>
      <c r="C65" s="100" t="s">
        <v>871</v>
      </c>
    </row>
    <row r="66" spans="1:3" x14ac:dyDescent="0.3">
      <c r="A66" s="100">
        <v>1420</v>
      </c>
      <c r="B66" s="100" t="s">
        <v>842</v>
      </c>
      <c r="C66" s="100" t="s">
        <v>874</v>
      </c>
    </row>
    <row r="67" spans="1:3" x14ac:dyDescent="0.3">
      <c r="A67" s="100">
        <v>1446</v>
      </c>
      <c r="B67" s="100" t="s">
        <v>842</v>
      </c>
      <c r="C67" s="100" t="s">
        <v>874</v>
      </c>
    </row>
    <row r="68" spans="1:3" x14ac:dyDescent="0.3">
      <c r="A68" s="100">
        <v>1782</v>
      </c>
      <c r="B68" s="100" t="s">
        <v>842</v>
      </c>
      <c r="C68" s="100" t="s">
        <v>874</v>
      </c>
    </row>
    <row r="69" spans="1:3" x14ac:dyDescent="0.3">
      <c r="A69" s="100">
        <v>1800</v>
      </c>
      <c r="B69" s="100" t="s">
        <v>842</v>
      </c>
      <c r="C69" s="100" t="s">
        <v>874</v>
      </c>
    </row>
    <row r="70" spans="1:3" x14ac:dyDescent="0.3">
      <c r="A70" s="100">
        <v>1814</v>
      </c>
      <c r="B70" s="100" t="s">
        <v>842</v>
      </c>
      <c r="C70" s="100" t="s">
        <v>874</v>
      </c>
    </row>
    <row r="71" spans="1:3" x14ac:dyDescent="0.3">
      <c r="A71" s="100">
        <v>1815</v>
      </c>
      <c r="B71" s="100" t="s">
        <v>842</v>
      </c>
      <c r="C71" s="100" t="s">
        <v>874</v>
      </c>
    </row>
    <row r="72" spans="1:3" x14ac:dyDescent="0.3">
      <c r="A72" s="100">
        <v>2942</v>
      </c>
      <c r="B72" s="100" t="s">
        <v>842</v>
      </c>
      <c r="C72" s="100" t="s">
        <v>874</v>
      </c>
    </row>
    <row r="73" spans="1:3" x14ac:dyDescent="0.3">
      <c r="A73" s="100">
        <v>3298</v>
      </c>
      <c r="B73" s="100" t="s">
        <v>842</v>
      </c>
      <c r="C73" s="100" t="s">
        <v>874</v>
      </c>
    </row>
    <row r="74" spans="1:3" x14ac:dyDescent="0.3">
      <c r="A74" s="100">
        <v>730</v>
      </c>
      <c r="B74" s="100" t="s">
        <v>842</v>
      </c>
      <c r="C74" s="100" t="s">
        <v>879</v>
      </c>
    </row>
    <row r="75" spans="1:3" x14ac:dyDescent="0.3">
      <c r="A75" s="100">
        <v>1928</v>
      </c>
      <c r="B75" s="100" t="s">
        <v>842</v>
      </c>
      <c r="C75" s="100" t="s">
        <v>879</v>
      </c>
    </row>
    <row r="76" spans="1:3" x14ac:dyDescent="0.3">
      <c r="A76" s="100">
        <v>490</v>
      </c>
      <c r="B76" s="100" t="s">
        <v>842</v>
      </c>
      <c r="C76" s="100" t="s">
        <v>882</v>
      </c>
    </row>
    <row r="77" spans="1:3" x14ac:dyDescent="0.3">
      <c r="A77" s="100">
        <v>1638</v>
      </c>
      <c r="B77" s="100" t="s">
        <v>842</v>
      </c>
      <c r="C77" s="100" t="s">
        <v>882</v>
      </c>
    </row>
    <row r="78" spans="1:3" x14ac:dyDescent="0.3">
      <c r="A78" s="100">
        <v>1855</v>
      </c>
      <c r="B78" s="100" t="s">
        <v>842</v>
      </c>
      <c r="C78" s="100" t="s">
        <v>882</v>
      </c>
    </row>
    <row r="79" spans="1:3" x14ac:dyDescent="0.3">
      <c r="A79" s="100">
        <v>2114</v>
      </c>
      <c r="B79" s="100" t="s">
        <v>842</v>
      </c>
      <c r="C79" s="100" t="s">
        <v>882</v>
      </c>
    </row>
    <row r="80" spans="1:3" x14ac:dyDescent="0.3">
      <c r="A80" s="100">
        <v>2236</v>
      </c>
      <c r="B80" s="100" t="s">
        <v>842</v>
      </c>
      <c r="C80" s="100" t="s">
        <v>882</v>
      </c>
    </row>
    <row r="81" spans="1:3" x14ac:dyDescent="0.3">
      <c r="A81" s="100">
        <v>2237</v>
      </c>
      <c r="B81" s="100" t="s">
        <v>842</v>
      </c>
      <c r="C81" s="100" t="s">
        <v>882</v>
      </c>
    </row>
    <row r="82" spans="1:3" x14ac:dyDescent="0.3">
      <c r="A82" s="100">
        <v>1359</v>
      </c>
      <c r="B82" s="100" t="s">
        <v>842</v>
      </c>
      <c r="C82" s="100" t="s">
        <v>886</v>
      </c>
    </row>
    <row r="83" spans="1:3" x14ac:dyDescent="0.3">
      <c r="A83" s="100">
        <v>1360</v>
      </c>
      <c r="B83" s="100" t="s">
        <v>842</v>
      </c>
      <c r="C83" s="100" t="s">
        <v>886</v>
      </c>
    </row>
    <row r="84" spans="1:3" x14ac:dyDescent="0.3">
      <c r="A84" s="100">
        <v>1372</v>
      </c>
      <c r="B84" s="100" t="s">
        <v>842</v>
      </c>
      <c r="C84" s="100" t="s">
        <v>886</v>
      </c>
    </row>
    <row r="85" spans="1:3" x14ac:dyDescent="0.3">
      <c r="A85" s="100">
        <v>1542</v>
      </c>
      <c r="B85" s="100" t="s">
        <v>842</v>
      </c>
      <c r="C85" s="100" t="s">
        <v>886</v>
      </c>
    </row>
    <row r="86" spans="1:3" x14ac:dyDescent="0.3">
      <c r="A86" s="100">
        <v>1544</v>
      </c>
      <c r="B86" s="100" t="s">
        <v>842</v>
      </c>
      <c r="C86" s="100" t="s">
        <v>886</v>
      </c>
    </row>
    <row r="87" spans="1:3" x14ac:dyDescent="0.3">
      <c r="A87" s="100">
        <v>2704</v>
      </c>
      <c r="B87" s="100" t="s">
        <v>842</v>
      </c>
      <c r="C87" s="100" t="s">
        <v>886</v>
      </c>
    </row>
    <row r="88" spans="1:3" x14ac:dyDescent="0.3">
      <c r="A88" s="100">
        <v>3301</v>
      </c>
      <c r="B88" s="100" t="s">
        <v>842</v>
      </c>
      <c r="C88" s="100" t="s">
        <v>886</v>
      </c>
    </row>
    <row r="89" spans="1:3" x14ac:dyDescent="0.3">
      <c r="A89" s="100">
        <v>573</v>
      </c>
      <c r="B89" s="100" t="s">
        <v>842</v>
      </c>
      <c r="C89" s="100" t="s">
        <v>876</v>
      </c>
    </row>
    <row r="90" spans="1:3" x14ac:dyDescent="0.3">
      <c r="A90" s="100">
        <v>616</v>
      </c>
      <c r="B90" s="100" t="s">
        <v>842</v>
      </c>
      <c r="C90" s="100" t="s">
        <v>876</v>
      </c>
    </row>
    <row r="91" spans="1:3" x14ac:dyDescent="0.3">
      <c r="A91" s="100">
        <v>1378</v>
      </c>
      <c r="B91" s="100" t="s">
        <v>842</v>
      </c>
      <c r="C91" s="100" t="s">
        <v>876</v>
      </c>
    </row>
    <row r="92" spans="1:3" x14ac:dyDescent="0.3">
      <c r="A92" s="100">
        <v>1424</v>
      </c>
      <c r="B92" s="100" t="s">
        <v>842</v>
      </c>
      <c r="C92" s="100" t="s">
        <v>876</v>
      </c>
    </row>
    <row r="93" spans="1:3" x14ac:dyDescent="0.3">
      <c r="A93" s="100">
        <v>1488</v>
      </c>
      <c r="B93" s="100" t="s">
        <v>842</v>
      </c>
      <c r="C93" s="100" t="s">
        <v>876</v>
      </c>
    </row>
    <row r="94" spans="1:3" x14ac:dyDescent="0.3">
      <c r="A94" s="100">
        <v>1572</v>
      </c>
      <c r="B94" s="100" t="s">
        <v>842</v>
      </c>
      <c r="C94" s="100" t="s">
        <v>876</v>
      </c>
    </row>
    <row r="95" spans="1:3" x14ac:dyDescent="0.3">
      <c r="A95" s="100">
        <v>1602</v>
      </c>
      <c r="B95" s="100" t="s">
        <v>842</v>
      </c>
      <c r="C95" s="100" t="s">
        <v>876</v>
      </c>
    </row>
    <row r="96" spans="1:3" x14ac:dyDescent="0.3">
      <c r="A96" s="100">
        <v>1611</v>
      </c>
      <c r="B96" s="100" t="s">
        <v>842</v>
      </c>
      <c r="C96" s="100" t="s">
        <v>876</v>
      </c>
    </row>
    <row r="97" spans="1:3" x14ac:dyDescent="0.3">
      <c r="A97" s="100">
        <v>1670</v>
      </c>
      <c r="B97" s="100" t="s">
        <v>842</v>
      </c>
      <c r="C97" s="100" t="s">
        <v>876</v>
      </c>
    </row>
    <row r="98" spans="1:3" x14ac:dyDescent="0.3">
      <c r="A98" s="100">
        <v>1672</v>
      </c>
      <c r="B98" s="100" t="s">
        <v>842</v>
      </c>
      <c r="C98" s="100" t="s">
        <v>876</v>
      </c>
    </row>
    <row r="99" spans="1:3" x14ac:dyDescent="0.3">
      <c r="A99" s="100">
        <v>1673</v>
      </c>
      <c r="B99" s="100" t="s">
        <v>842</v>
      </c>
      <c r="C99" s="100" t="s">
        <v>876</v>
      </c>
    </row>
    <row r="100" spans="1:3" x14ac:dyDescent="0.3">
      <c r="A100" s="100">
        <v>1704</v>
      </c>
      <c r="B100" s="100" t="s">
        <v>842</v>
      </c>
      <c r="C100" s="100" t="s">
        <v>876</v>
      </c>
    </row>
    <row r="101" spans="1:3" x14ac:dyDescent="0.3">
      <c r="A101" s="100">
        <v>1726</v>
      </c>
      <c r="B101" s="100" t="s">
        <v>842</v>
      </c>
      <c r="C101" s="100" t="s">
        <v>876</v>
      </c>
    </row>
    <row r="102" spans="1:3" x14ac:dyDescent="0.3">
      <c r="A102" s="100">
        <v>1748</v>
      </c>
      <c r="B102" s="100" t="s">
        <v>842</v>
      </c>
      <c r="C102" s="100" t="s">
        <v>876</v>
      </c>
    </row>
    <row r="103" spans="1:3" x14ac:dyDescent="0.3">
      <c r="A103" s="100">
        <v>1865</v>
      </c>
      <c r="B103" s="100" t="s">
        <v>842</v>
      </c>
      <c r="C103" s="100" t="s">
        <v>876</v>
      </c>
    </row>
    <row r="104" spans="1:3" x14ac:dyDescent="0.3">
      <c r="A104" s="100">
        <v>2937</v>
      </c>
      <c r="B104" s="100" t="s">
        <v>842</v>
      </c>
      <c r="C104" s="100" t="s">
        <v>876</v>
      </c>
    </row>
    <row r="105" spans="1:3" x14ac:dyDescent="0.3">
      <c r="A105" s="100">
        <v>3850</v>
      </c>
      <c r="B105" s="100" t="s">
        <v>842</v>
      </c>
      <c r="C105" s="100" t="s">
        <v>876</v>
      </c>
    </row>
    <row r="106" spans="1:3" x14ac:dyDescent="0.3">
      <c r="A106" s="100">
        <v>1427</v>
      </c>
      <c r="B106" s="100" t="s">
        <v>842</v>
      </c>
      <c r="C106" s="100" t="s">
        <v>885</v>
      </c>
    </row>
    <row r="107" spans="1:3" x14ac:dyDescent="0.3">
      <c r="A107" s="100">
        <v>1428</v>
      </c>
      <c r="B107" s="100" t="s">
        <v>842</v>
      </c>
      <c r="C107" s="100" t="s">
        <v>885</v>
      </c>
    </row>
    <row r="108" spans="1:3" x14ac:dyDescent="0.3">
      <c r="A108" s="100">
        <v>1633</v>
      </c>
      <c r="B108" s="100" t="s">
        <v>842</v>
      </c>
      <c r="C108" s="100" t="s">
        <v>885</v>
      </c>
    </row>
    <row r="109" spans="1:3" x14ac:dyDescent="0.3">
      <c r="A109" s="100">
        <v>1920</v>
      </c>
      <c r="B109" s="100" t="s">
        <v>842</v>
      </c>
      <c r="C109" s="100" t="s">
        <v>885</v>
      </c>
    </row>
    <row r="110" spans="1:3" x14ac:dyDescent="0.3">
      <c r="A110" s="100">
        <v>400</v>
      </c>
      <c r="B110" s="100" t="s">
        <v>842</v>
      </c>
      <c r="C110" s="100" t="s">
        <v>889</v>
      </c>
    </row>
    <row r="111" spans="1:3" x14ac:dyDescent="0.3">
      <c r="A111" s="100">
        <v>1385</v>
      </c>
      <c r="B111" s="100" t="s">
        <v>842</v>
      </c>
      <c r="C111" s="100" t="s">
        <v>889</v>
      </c>
    </row>
    <row r="112" spans="1:3" x14ac:dyDescent="0.3">
      <c r="A112" s="100">
        <v>1498</v>
      </c>
      <c r="B112" s="100" t="s">
        <v>842</v>
      </c>
      <c r="C112" s="100" t="s">
        <v>889</v>
      </c>
    </row>
    <row r="113" spans="1:3" x14ac:dyDescent="0.3">
      <c r="A113" s="100">
        <v>1511</v>
      </c>
      <c r="B113" s="100" t="s">
        <v>842</v>
      </c>
      <c r="C113" s="100" t="s">
        <v>889</v>
      </c>
    </row>
    <row r="114" spans="1:3" x14ac:dyDescent="0.3">
      <c r="A114" s="100">
        <v>1512</v>
      </c>
      <c r="B114" s="100" t="s">
        <v>842</v>
      </c>
      <c r="C114" s="100" t="s">
        <v>889</v>
      </c>
    </row>
    <row r="115" spans="1:3" x14ac:dyDescent="0.3">
      <c r="A115" s="100">
        <v>1536</v>
      </c>
      <c r="B115" s="100" t="s">
        <v>842</v>
      </c>
      <c r="C115" s="100" t="s">
        <v>889</v>
      </c>
    </row>
    <row r="116" spans="1:3" x14ac:dyDescent="0.3">
      <c r="A116" s="100">
        <v>1550</v>
      </c>
      <c r="B116" s="100" t="s">
        <v>842</v>
      </c>
      <c r="C116" s="100" t="s">
        <v>889</v>
      </c>
    </row>
    <row r="117" spans="1:3" x14ac:dyDescent="0.3">
      <c r="A117" s="100">
        <v>1591</v>
      </c>
      <c r="B117" s="100" t="s">
        <v>842</v>
      </c>
      <c r="C117" s="100" t="s">
        <v>889</v>
      </c>
    </row>
    <row r="118" spans="1:3" x14ac:dyDescent="0.3">
      <c r="A118" s="100">
        <v>1616</v>
      </c>
      <c r="B118" s="100" t="s">
        <v>842</v>
      </c>
      <c r="C118" s="100" t="s">
        <v>889</v>
      </c>
    </row>
    <row r="119" spans="1:3" x14ac:dyDescent="0.3">
      <c r="A119" s="100">
        <v>1630</v>
      </c>
      <c r="B119" s="100" t="s">
        <v>842</v>
      </c>
      <c r="C119" s="100" t="s">
        <v>889</v>
      </c>
    </row>
    <row r="120" spans="1:3" x14ac:dyDescent="0.3">
      <c r="A120" s="100">
        <v>1745</v>
      </c>
      <c r="B120" s="100" t="s">
        <v>842</v>
      </c>
      <c r="C120" s="100" t="s">
        <v>889</v>
      </c>
    </row>
    <row r="121" spans="1:3" x14ac:dyDescent="0.3">
      <c r="A121" s="100">
        <v>2138</v>
      </c>
      <c r="B121" s="100" t="s">
        <v>842</v>
      </c>
      <c r="C121" s="100" t="s">
        <v>889</v>
      </c>
    </row>
    <row r="122" spans="1:3" x14ac:dyDescent="0.3">
      <c r="A122" s="100">
        <v>3669</v>
      </c>
      <c r="B122" s="100" t="s">
        <v>842</v>
      </c>
      <c r="C122" s="100" t="s">
        <v>889</v>
      </c>
    </row>
    <row r="123" spans="1:3" x14ac:dyDescent="0.3">
      <c r="A123" s="100">
        <v>3762</v>
      </c>
      <c r="B123" s="100" t="s">
        <v>842</v>
      </c>
      <c r="C123" s="100" t="s">
        <v>889</v>
      </c>
    </row>
    <row r="124" spans="1:3" x14ac:dyDescent="0.3">
      <c r="A124" s="100">
        <v>1397</v>
      </c>
      <c r="B124" s="100" t="s">
        <v>842</v>
      </c>
      <c r="C124" s="100" t="s">
        <v>845</v>
      </c>
    </row>
    <row r="125" spans="1:3" x14ac:dyDescent="0.3">
      <c r="A125" s="100">
        <v>1430</v>
      </c>
      <c r="B125" s="100" t="s">
        <v>842</v>
      </c>
      <c r="C125" s="100" t="s">
        <v>845</v>
      </c>
    </row>
    <row r="126" spans="1:3" x14ac:dyDescent="0.3">
      <c r="A126" s="100">
        <v>1442</v>
      </c>
      <c r="B126" s="100" t="s">
        <v>842</v>
      </c>
      <c r="C126" s="100" t="s">
        <v>845</v>
      </c>
    </row>
    <row r="127" spans="1:3" x14ac:dyDescent="0.3">
      <c r="A127" s="100">
        <v>1503</v>
      </c>
      <c r="B127" s="100" t="s">
        <v>842</v>
      </c>
      <c r="C127" s="100" t="s">
        <v>845</v>
      </c>
    </row>
    <row r="128" spans="1:3" x14ac:dyDescent="0.3">
      <c r="A128" s="100">
        <v>1522</v>
      </c>
      <c r="B128" s="100" t="s">
        <v>842</v>
      </c>
      <c r="C128" s="100" t="s">
        <v>845</v>
      </c>
    </row>
    <row r="129" spans="1:3" x14ac:dyDescent="0.3">
      <c r="A129" s="100">
        <v>1553</v>
      </c>
      <c r="B129" s="100" t="s">
        <v>842</v>
      </c>
      <c r="C129" s="100" t="s">
        <v>845</v>
      </c>
    </row>
    <row r="130" spans="1:3" x14ac:dyDescent="0.3">
      <c r="A130" s="100">
        <v>1643</v>
      </c>
      <c r="B130" s="100" t="s">
        <v>842</v>
      </c>
      <c r="C130" s="100" t="s">
        <v>845</v>
      </c>
    </row>
    <row r="131" spans="1:3" x14ac:dyDescent="0.3">
      <c r="A131" s="100">
        <v>1646</v>
      </c>
      <c r="B131" s="100" t="s">
        <v>842</v>
      </c>
      <c r="C131" s="100" t="s">
        <v>845</v>
      </c>
    </row>
    <row r="132" spans="1:3" x14ac:dyDescent="0.3">
      <c r="A132" s="100">
        <v>1693</v>
      </c>
      <c r="B132" s="100" t="s">
        <v>842</v>
      </c>
      <c r="C132" s="100" t="s">
        <v>845</v>
      </c>
    </row>
    <row r="133" spans="1:3" x14ac:dyDescent="0.3">
      <c r="A133" s="100">
        <v>1816</v>
      </c>
      <c r="B133" s="100" t="s">
        <v>842</v>
      </c>
      <c r="C133" s="100" t="s">
        <v>845</v>
      </c>
    </row>
    <row r="134" spans="1:3" x14ac:dyDescent="0.3">
      <c r="A134" s="100">
        <v>2105</v>
      </c>
      <c r="B134" s="100" t="s">
        <v>842</v>
      </c>
      <c r="C134" s="100" t="s">
        <v>845</v>
      </c>
    </row>
    <row r="135" spans="1:3" x14ac:dyDescent="0.3">
      <c r="A135" s="100">
        <v>3307</v>
      </c>
      <c r="B135" s="100" t="s">
        <v>842</v>
      </c>
      <c r="C135" s="100" t="s">
        <v>845</v>
      </c>
    </row>
    <row r="136" spans="1:3" x14ac:dyDescent="0.3">
      <c r="A136" s="100">
        <v>3694</v>
      </c>
      <c r="B136" s="100" t="s">
        <v>842</v>
      </c>
      <c r="C136" s="100" t="s">
        <v>845</v>
      </c>
    </row>
    <row r="137" spans="1:3" x14ac:dyDescent="0.3">
      <c r="A137" s="100">
        <v>1375</v>
      </c>
      <c r="B137" s="100" t="s">
        <v>842</v>
      </c>
      <c r="C137" s="100" t="s">
        <v>852</v>
      </c>
    </row>
    <row r="138" spans="1:3" x14ac:dyDescent="0.3">
      <c r="A138" s="100">
        <v>1376</v>
      </c>
      <c r="B138" s="100" t="s">
        <v>842</v>
      </c>
      <c r="C138" s="100" t="s">
        <v>852</v>
      </c>
    </row>
    <row r="139" spans="1:3" x14ac:dyDescent="0.3">
      <c r="A139" s="100">
        <v>1383</v>
      </c>
      <c r="B139" s="100" t="s">
        <v>842</v>
      </c>
      <c r="C139" s="100" t="s">
        <v>852</v>
      </c>
    </row>
    <row r="140" spans="1:3" x14ac:dyDescent="0.3">
      <c r="A140" s="100">
        <v>1388</v>
      </c>
      <c r="B140" s="100" t="s">
        <v>842</v>
      </c>
      <c r="C140" s="100" t="s">
        <v>852</v>
      </c>
    </row>
    <row r="141" spans="1:3" x14ac:dyDescent="0.3">
      <c r="A141" s="100">
        <v>1491</v>
      </c>
      <c r="B141" s="100" t="s">
        <v>842</v>
      </c>
      <c r="C141" s="100" t="s">
        <v>852</v>
      </c>
    </row>
    <row r="142" spans="1:3" x14ac:dyDescent="0.3">
      <c r="A142" s="100">
        <v>1515</v>
      </c>
      <c r="B142" s="100" t="s">
        <v>842</v>
      </c>
      <c r="C142" s="100" t="s">
        <v>852</v>
      </c>
    </row>
    <row r="143" spans="1:3" x14ac:dyDescent="0.3">
      <c r="A143" s="100">
        <v>1830</v>
      </c>
      <c r="B143" s="100" t="s">
        <v>842</v>
      </c>
      <c r="C143" s="100" t="s">
        <v>852</v>
      </c>
    </row>
    <row r="144" spans="1:3" x14ac:dyDescent="0.3">
      <c r="A144" s="100">
        <v>1867</v>
      </c>
      <c r="B144" s="100" t="s">
        <v>842</v>
      </c>
      <c r="C144" s="100" t="s">
        <v>852</v>
      </c>
    </row>
    <row r="145" spans="1:3" x14ac:dyDescent="0.3">
      <c r="A145" s="100">
        <v>1875</v>
      </c>
      <c r="B145" s="100" t="s">
        <v>842</v>
      </c>
      <c r="C145" s="100" t="s">
        <v>852</v>
      </c>
    </row>
    <row r="146" spans="1:3" x14ac:dyDescent="0.3">
      <c r="A146" s="100">
        <v>1876</v>
      </c>
      <c r="B146" s="100" t="s">
        <v>842</v>
      </c>
      <c r="C146" s="100" t="s">
        <v>852</v>
      </c>
    </row>
    <row r="147" spans="1:3" x14ac:dyDescent="0.3">
      <c r="A147" s="100">
        <v>1901</v>
      </c>
      <c r="B147" s="100" t="s">
        <v>842</v>
      </c>
      <c r="C147" s="100" t="s">
        <v>852</v>
      </c>
    </row>
    <row r="148" spans="1:3" x14ac:dyDescent="0.3">
      <c r="A148" s="100">
        <v>1902</v>
      </c>
      <c r="B148" s="100" t="s">
        <v>842</v>
      </c>
      <c r="C148" s="100" t="s">
        <v>852</v>
      </c>
    </row>
    <row r="149" spans="1:3" x14ac:dyDescent="0.3">
      <c r="A149" s="100">
        <v>2153</v>
      </c>
      <c r="B149" s="100" t="s">
        <v>842</v>
      </c>
      <c r="C149" s="100" t="s">
        <v>852</v>
      </c>
    </row>
    <row r="150" spans="1:3" x14ac:dyDescent="0.3">
      <c r="A150" s="100">
        <v>2738</v>
      </c>
      <c r="B150" s="100" t="s">
        <v>842</v>
      </c>
      <c r="C150" s="100" t="s">
        <v>852</v>
      </c>
    </row>
    <row r="151" spans="1:3" x14ac:dyDescent="0.3">
      <c r="A151" s="100">
        <v>2115</v>
      </c>
      <c r="B151" s="100" t="s">
        <v>842</v>
      </c>
      <c r="C151" s="100" t="s">
        <v>852</v>
      </c>
    </row>
    <row r="152" spans="1:3" x14ac:dyDescent="0.3">
      <c r="A152" s="100">
        <v>2198</v>
      </c>
      <c r="B152" s="100" t="s">
        <v>842</v>
      </c>
      <c r="C152" s="100" t="s">
        <v>852</v>
      </c>
    </row>
    <row r="153" spans="1:3" x14ac:dyDescent="0.3">
      <c r="A153" s="100">
        <v>2934</v>
      </c>
      <c r="B153" s="100" t="s">
        <v>842</v>
      </c>
      <c r="C153" s="100" t="s">
        <v>852</v>
      </c>
    </row>
    <row r="154" spans="1:3" x14ac:dyDescent="0.3">
      <c r="A154" s="100">
        <v>3303</v>
      </c>
      <c r="B154" s="100" t="s">
        <v>842</v>
      </c>
      <c r="C154" s="100" t="s">
        <v>852</v>
      </c>
    </row>
    <row r="155" spans="1:3" x14ac:dyDescent="0.3">
      <c r="A155" s="100">
        <v>3620</v>
      </c>
      <c r="B155" s="100" t="s">
        <v>842</v>
      </c>
      <c r="C155" s="100" t="s">
        <v>852</v>
      </c>
    </row>
    <row r="156" spans="1:3" x14ac:dyDescent="0.3">
      <c r="A156" s="100">
        <v>3722</v>
      </c>
      <c r="B156" s="100" t="s">
        <v>842</v>
      </c>
      <c r="C156" s="100" t="s">
        <v>852</v>
      </c>
    </row>
    <row r="157" spans="1:3" x14ac:dyDescent="0.3">
      <c r="A157" s="100">
        <v>3624</v>
      </c>
      <c r="B157" s="100" t="s">
        <v>842</v>
      </c>
      <c r="C157" s="100" t="s">
        <v>852</v>
      </c>
    </row>
    <row r="158" spans="1:3" x14ac:dyDescent="0.3">
      <c r="A158" s="100">
        <v>3843</v>
      </c>
      <c r="B158" s="100" t="s">
        <v>842</v>
      </c>
      <c r="C158" s="100" t="s">
        <v>852</v>
      </c>
    </row>
    <row r="159" spans="1:3" x14ac:dyDescent="0.3">
      <c r="A159" s="100">
        <v>3711</v>
      </c>
      <c r="B159" s="100" t="s">
        <v>842</v>
      </c>
      <c r="C159" s="100" t="s">
        <v>852</v>
      </c>
    </row>
    <row r="160" spans="1:3" x14ac:dyDescent="0.3">
      <c r="A160" s="100">
        <v>3721</v>
      </c>
      <c r="B160" s="100" t="s">
        <v>842</v>
      </c>
      <c r="C160" s="100" t="s">
        <v>852</v>
      </c>
    </row>
    <row r="161" spans="1:3" x14ac:dyDescent="0.3">
      <c r="A161" s="100">
        <v>1357</v>
      </c>
      <c r="B161" s="100" t="s">
        <v>842</v>
      </c>
      <c r="C161" s="100" t="s">
        <v>860</v>
      </c>
    </row>
    <row r="162" spans="1:3" x14ac:dyDescent="0.3">
      <c r="A162" s="100">
        <v>1368</v>
      </c>
      <c r="B162" s="100" t="s">
        <v>842</v>
      </c>
      <c r="C162" s="100" t="s">
        <v>860</v>
      </c>
    </row>
    <row r="163" spans="1:3" x14ac:dyDescent="0.3">
      <c r="A163" s="100">
        <v>1441</v>
      </c>
      <c r="B163" s="100" t="s">
        <v>842</v>
      </c>
      <c r="C163" s="100" t="s">
        <v>860</v>
      </c>
    </row>
    <row r="164" spans="1:3" x14ac:dyDescent="0.3">
      <c r="A164" s="100">
        <v>1478</v>
      </c>
      <c r="B164" s="100" t="s">
        <v>842</v>
      </c>
      <c r="C164" s="100" t="s">
        <v>860</v>
      </c>
    </row>
    <row r="165" spans="1:3" x14ac:dyDescent="0.3">
      <c r="A165" s="100">
        <v>1479</v>
      </c>
      <c r="B165" s="100" t="s">
        <v>842</v>
      </c>
      <c r="C165" s="100" t="s">
        <v>860</v>
      </c>
    </row>
    <row r="166" spans="1:3" x14ac:dyDescent="0.3">
      <c r="A166" s="100">
        <v>1543</v>
      </c>
      <c r="B166" s="100" t="s">
        <v>842</v>
      </c>
      <c r="C166" s="100" t="s">
        <v>860</v>
      </c>
    </row>
    <row r="167" spans="1:3" x14ac:dyDescent="0.3">
      <c r="A167" s="100">
        <v>1595</v>
      </c>
      <c r="B167" s="100" t="s">
        <v>842</v>
      </c>
      <c r="C167" s="100" t="s">
        <v>860</v>
      </c>
    </row>
    <row r="168" spans="1:3" x14ac:dyDescent="0.3">
      <c r="A168" s="100">
        <v>1690</v>
      </c>
      <c r="B168" s="100" t="s">
        <v>842</v>
      </c>
      <c r="C168" s="100" t="s">
        <v>860</v>
      </c>
    </row>
    <row r="169" spans="1:3" x14ac:dyDescent="0.3">
      <c r="A169" s="100">
        <v>1727</v>
      </c>
      <c r="B169" s="100" t="s">
        <v>842</v>
      </c>
      <c r="C169" s="100" t="s">
        <v>860</v>
      </c>
    </row>
    <row r="170" spans="1:3" x14ac:dyDescent="0.3">
      <c r="A170" s="100">
        <v>1739</v>
      </c>
      <c r="B170" s="100" t="s">
        <v>842</v>
      </c>
      <c r="C170" s="100" t="s">
        <v>860</v>
      </c>
    </row>
    <row r="171" spans="1:3" x14ac:dyDescent="0.3">
      <c r="A171" s="100">
        <v>1750</v>
      </c>
      <c r="B171" s="100" t="s">
        <v>842</v>
      </c>
      <c r="C171" s="100" t="s">
        <v>860</v>
      </c>
    </row>
    <row r="172" spans="1:3" x14ac:dyDescent="0.3">
      <c r="A172" s="100">
        <v>1778</v>
      </c>
      <c r="B172" s="100" t="s">
        <v>842</v>
      </c>
      <c r="C172" s="100" t="s">
        <v>860</v>
      </c>
    </row>
    <row r="173" spans="1:3" x14ac:dyDescent="0.3">
      <c r="A173" s="100">
        <v>1779</v>
      </c>
      <c r="B173" s="100" t="s">
        <v>842</v>
      </c>
      <c r="C173" s="100" t="s">
        <v>860</v>
      </c>
    </row>
    <row r="174" spans="1:3" x14ac:dyDescent="0.3">
      <c r="A174" s="100">
        <v>1822</v>
      </c>
      <c r="B174" s="100" t="s">
        <v>842</v>
      </c>
      <c r="C174" s="100" t="s">
        <v>860</v>
      </c>
    </row>
    <row r="175" spans="1:3" x14ac:dyDescent="0.3">
      <c r="A175" s="100">
        <v>1839</v>
      </c>
      <c r="B175" s="100" t="s">
        <v>842</v>
      </c>
      <c r="C175" s="100" t="s">
        <v>860</v>
      </c>
    </row>
    <row r="176" spans="1:3" x14ac:dyDescent="0.3">
      <c r="A176" s="100">
        <v>1962</v>
      </c>
      <c r="B176" s="100" t="s">
        <v>842</v>
      </c>
      <c r="C176" s="100" t="s">
        <v>860</v>
      </c>
    </row>
    <row r="177" spans="1:3" x14ac:dyDescent="0.3">
      <c r="A177" s="100">
        <v>3791</v>
      </c>
      <c r="B177" s="100" t="s">
        <v>842</v>
      </c>
      <c r="C177" s="100" t="s">
        <v>860</v>
      </c>
    </row>
    <row r="178" spans="1:3" x14ac:dyDescent="0.3">
      <c r="A178" s="100">
        <v>1467</v>
      </c>
      <c r="B178" s="100" t="s">
        <v>842</v>
      </c>
      <c r="C178" s="100" t="s">
        <v>865</v>
      </c>
    </row>
    <row r="179" spans="1:3" x14ac:dyDescent="0.3">
      <c r="A179" s="100">
        <v>1496</v>
      </c>
      <c r="B179" s="100" t="s">
        <v>842</v>
      </c>
      <c r="C179" s="100" t="s">
        <v>865</v>
      </c>
    </row>
    <row r="180" spans="1:3" x14ac:dyDescent="0.3">
      <c r="A180" s="100">
        <v>1516</v>
      </c>
      <c r="B180" s="100" t="s">
        <v>842</v>
      </c>
      <c r="C180" s="100" t="s">
        <v>865</v>
      </c>
    </row>
    <row r="181" spans="1:3" x14ac:dyDescent="0.3">
      <c r="A181" s="100">
        <v>1521</v>
      </c>
      <c r="B181" s="100" t="s">
        <v>842</v>
      </c>
      <c r="C181" s="100" t="s">
        <v>865</v>
      </c>
    </row>
    <row r="182" spans="1:3" x14ac:dyDescent="0.3">
      <c r="A182" s="100">
        <v>1523</v>
      </c>
      <c r="B182" s="100" t="s">
        <v>842</v>
      </c>
      <c r="C182" s="100" t="s">
        <v>865</v>
      </c>
    </row>
    <row r="183" spans="1:3" x14ac:dyDescent="0.3">
      <c r="A183" s="100">
        <v>1524</v>
      </c>
      <c r="B183" s="100" t="s">
        <v>842</v>
      </c>
      <c r="C183" s="100" t="s">
        <v>865</v>
      </c>
    </row>
    <row r="184" spans="1:3" x14ac:dyDescent="0.3">
      <c r="A184" s="100">
        <v>1525</v>
      </c>
      <c r="B184" s="100" t="s">
        <v>842</v>
      </c>
      <c r="C184" s="100" t="s">
        <v>865</v>
      </c>
    </row>
    <row r="185" spans="1:3" x14ac:dyDescent="0.3">
      <c r="A185" s="100">
        <v>1601</v>
      </c>
      <c r="B185" s="100" t="s">
        <v>842</v>
      </c>
      <c r="C185" s="100" t="s">
        <v>865</v>
      </c>
    </row>
    <row r="186" spans="1:3" x14ac:dyDescent="0.3">
      <c r="A186" s="100">
        <v>1634</v>
      </c>
      <c r="B186" s="100" t="s">
        <v>842</v>
      </c>
      <c r="C186" s="100" t="s">
        <v>865</v>
      </c>
    </row>
    <row r="187" spans="1:3" x14ac:dyDescent="0.3">
      <c r="A187" s="100">
        <v>1656</v>
      </c>
      <c r="B187" s="100" t="s">
        <v>842</v>
      </c>
      <c r="C187" s="100" t="s">
        <v>865</v>
      </c>
    </row>
    <row r="188" spans="1:3" x14ac:dyDescent="0.3">
      <c r="A188" s="100">
        <v>1678</v>
      </c>
      <c r="B188" s="100" t="s">
        <v>842</v>
      </c>
      <c r="C188" s="100" t="s">
        <v>865</v>
      </c>
    </row>
    <row r="189" spans="1:3" x14ac:dyDescent="0.3">
      <c r="A189" s="100">
        <v>1776</v>
      </c>
      <c r="B189" s="100" t="s">
        <v>842</v>
      </c>
      <c r="C189" s="100" t="s">
        <v>865</v>
      </c>
    </row>
    <row r="190" spans="1:3" x14ac:dyDescent="0.3">
      <c r="A190" s="100">
        <v>1840</v>
      </c>
      <c r="B190" s="100" t="s">
        <v>842</v>
      </c>
      <c r="C190" s="100" t="s">
        <v>865</v>
      </c>
    </row>
    <row r="191" spans="1:3" x14ac:dyDescent="0.3">
      <c r="A191" s="100">
        <v>1883</v>
      </c>
      <c r="B191" s="100" t="s">
        <v>842</v>
      </c>
      <c r="C191" s="100" t="s">
        <v>865</v>
      </c>
    </row>
    <row r="192" spans="1:3" x14ac:dyDescent="0.3">
      <c r="A192" s="100">
        <v>1884</v>
      </c>
      <c r="B192" s="100" t="s">
        <v>842</v>
      </c>
      <c r="C192" s="100" t="s">
        <v>865</v>
      </c>
    </row>
    <row r="193" spans="1:3" x14ac:dyDescent="0.3">
      <c r="A193" s="100">
        <v>1894</v>
      </c>
      <c r="B193" s="100" t="s">
        <v>842</v>
      </c>
      <c r="C193" s="100" t="s">
        <v>865</v>
      </c>
    </row>
    <row r="194" spans="1:3" x14ac:dyDescent="0.3">
      <c r="A194" s="100">
        <v>1900</v>
      </c>
      <c r="B194" s="100" t="s">
        <v>842</v>
      </c>
      <c r="C194" s="100" t="s">
        <v>865</v>
      </c>
    </row>
    <row r="195" spans="1:3" x14ac:dyDescent="0.3">
      <c r="A195" s="100">
        <v>1909</v>
      </c>
      <c r="B195" s="100" t="s">
        <v>842</v>
      </c>
      <c r="C195" s="100" t="s">
        <v>865</v>
      </c>
    </row>
    <row r="196" spans="1:3" x14ac:dyDescent="0.3">
      <c r="A196" s="100">
        <v>2690</v>
      </c>
      <c r="B196" s="100" t="s">
        <v>842</v>
      </c>
      <c r="C196" s="100" t="s">
        <v>865</v>
      </c>
    </row>
    <row r="197" spans="1:3" x14ac:dyDescent="0.3">
      <c r="A197" s="100">
        <v>2732</v>
      </c>
      <c r="B197" s="100" t="s">
        <v>842</v>
      </c>
      <c r="C197" s="100" t="s">
        <v>865</v>
      </c>
    </row>
    <row r="198" spans="1:3" x14ac:dyDescent="0.3">
      <c r="A198" s="100">
        <v>3292</v>
      </c>
      <c r="B198" s="100" t="s">
        <v>842</v>
      </c>
      <c r="C198" s="100" t="s">
        <v>865</v>
      </c>
    </row>
    <row r="199" spans="1:3" x14ac:dyDescent="0.3">
      <c r="A199" s="100">
        <v>3666</v>
      </c>
      <c r="B199" s="100" t="s">
        <v>842</v>
      </c>
      <c r="C199" s="100" t="s">
        <v>865</v>
      </c>
    </row>
    <row r="200" spans="1:3" x14ac:dyDescent="0.3">
      <c r="A200" s="100">
        <v>1387</v>
      </c>
      <c r="B200" s="100" t="s">
        <v>842</v>
      </c>
      <c r="C200" s="100" t="s">
        <v>881</v>
      </c>
    </row>
    <row r="201" spans="1:3" x14ac:dyDescent="0.3">
      <c r="A201" s="100">
        <v>1396</v>
      </c>
      <c r="B201" s="100" t="s">
        <v>842</v>
      </c>
      <c r="C201" s="100" t="s">
        <v>881</v>
      </c>
    </row>
    <row r="202" spans="1:3" x14ac:dyDescent="0.3">
      <c r="A202" s="100">
        <v>1398</v>
      </c>
      <c r="B202" s="100" t="s">
        <v>842</v>
      </c>
      <c r="C202" s="100" t="s">
        <v>881</v>
      </c>
    </row>
    <row r="203" spans="1:3" x14ac:dyDescent="0.3">
      <c r="A203" s="100">
        <v>1415</v>
      </c>
      <c r="B203" s="100" t="s">
        <v>842</v>
      </c>
      <c r="C203" s="100" t="s">
        <v>881</v>
      </c>
    </row>
    <row r="204" spans="1:3" x14ac:dyDescent="0.3">
      <c r="A204" s="100">
        <v>1416</v>
      </c>
      <c r="B204" s="100" t="s">
        <v>842</v>
      </c>
      <c r="C204" s="100" t="s">
        <v>881</v>
      </c>
    </row>
    <row r="205" spans="1:3" x14ac:dyDescent="0.3">
      <c r="A205" s="100">
        <v>1417</v>
      </c>
      <c r="B205" s="100" t="s">
        <v>842</v>
      </c>
      <c r="C205" s="100" t="s">
        <v>881</v>
      </c>
    </row>
    <row r="206" spans="1:3" x14ac:dyDescent="0.3">
      <c r="A206" s="100">
        <v>1691</v>
      </c>
      <c r="B206" s="100" t="s">
        <v>842</v>
      </c>
      <c r="C206" s="100" t="s">
        <v>881</v>
      </c>
    </row>
    <row r="207" spans="1:3" x14ac:dyDescent="0.3">
      <c r="A207" s="100">
        <v>1737</v>
      </c>
      <c r="B207" s="100" t="s">
        <v>842</v>
      </c>
      <c r="C207" s="100" t="s">
        <v>881</v>
      </c>
    </row>
    <row r="208" spans="1:3" x14ac:dyDescent="0.3">
      <c r="A208" s="100">
        <v>1768</v>
      </c>
      <c r="B208" s="100" t="s">
        <v>842</v>
      </c>
      <c r="C208" s="100" t="s">
        <v>881</v>
      </c>
    </row>
    <row r="209" spans="1:3" x14ac:dyDescent="0.3">
      <c r="A209" s="100">
        <v>1773</v>
      </c>
      <c r="B209" s="100" t="s">
        <v>842</v>
      </c>
      <c r="C209" s="100" t="s">
        <v>881</v>
      </c>
    </row>
    <row r="210" spans="1:3" x14ac:dyDescent="0.3">
      <c r="A210" s="100">
        <v>1987</v>
      </c>
      <c r="B210" s="100" t="s">
        <v>842</v>
      </c>
      <c r="C210" s="100" t="s">
        <v>881</v>
      </c>
    </row>
    <row r="211" spans="1:3" x14ac:dyDescent="0.3">
      <c r="A211" s="100">
        <v>2143</v>
      </c>
      <c r="B211" s="100" t="s">
        <v>842</v>
      </c>
      <c r="C211" s="100" t="s">
        <v>881</v>
      </c>
    </row>
    <row r="212" spans="1:3" x14ac:dyDescent="0.3">
      <c r="A212" s="100">
        <v>1481</v>
      </c>
      <c r="B212" s="100" t="s">
        <v>842</v>
      </c>
      <c r="C212" s="100" t="s">
        <v>890</v>
      </c>
    </row>
    <row r="213" spans="1:3" x14ac:dyDescent="0.3">
      <c r="A213" s="100">
        <v>1569</v>
      </c>
      <c r="B213" s="100" t="s">
        <v>842</v>
      </c>
      <c r="C213" s="100" t="s">
        <v>890</v>
      </c>
    </row>
    <row r="214" spans="1:3" x14ac:dyDescent="0.3">
      <c r="A214" s="100">
        <v>1707</v>
      </c>
      <c r="B214" s="100" t="s">
        <v>842</v>
      </c>
      <c r="C214" s="100" t="s">
        <v>890</v>
      </c>
    </row>
    <row r="215" spans="1:3" x14ac:dyDescent="0.3">
      <c r="A215" s="100">
        <v>1829</v>
      </c>
      <c r="B215" s="100" t="s">
        <v>842</v>
      </c>
      <c r="C215" s="100" t="s">
        <v>890</v>
      </c>
    </row>
    <row r="216" spans="1:3" x14ac:dyDescent="0.3">
      <c r="A216" s="100">
        <v>1846</v>
      </c>
      <c r="B216" s="100" t="s">
        <v>842</v>
      </c>
      <c r="C216" s="100" t="s">
        <v>890</v>
      </c>
    </row>
    <row r="217" spans="1:3" x14ac:dyDescent="0.3">
      <c r="A217" s="100">
        <v>1989</v>
      </c>
      <c r="B217" s="100" t="s">
        <v>842</v>
      </c>
      <c r="C217" s="100" t="s">
        <v>890</v>
      </c>
    </row>
    <row r="218" spans="1:3" x14ac:dyDescent="0.3">
      <c r="A218" s="100">
        <v>2093</v>
      </c>
      <c r="B218" s="100" t="s">
        <v>842</v>
      </c>
      <c r="C218" s="100" t="s">
        <v>890</v>
      </c>
    </row>
    <row r="219" spans="1:3" x14ac:dyDescent="0.3">
      <c r="A219" s="100">
        <v>2108</v>
      </c>
      <c r="B219" s="100" t="s">
        <v>842</v>
      </c>
      <c r="C219" s="100" t="s">
        <v>890</v>
      </c>
    </row>
    <row r="220" spans="1:3" x14ac:dyDescent="0.3">
      <c r="A220" s="100">
        <v>2110</v>
      </c>
      <c r="B220" s="100" t="s">
        <v>842</v>
      </c>
      <c r="C220" s="100" t="s">
        <v>890</v>
      </c>
    </row>
    <row r="221" spans="1:3" x14ac:dyDescent="0.3">
      <c r="A221" s="100">
        <v>2142</v>
      </c>
      <c r="B221" s="100" t="s">
        <v>842</v>
      </c>
      <c r="C221" s="100" t="s">
        <v>890</v>
      </c>
    </row>
    <row r="222" spans="1:3" x14ac:dyDescent="0.3">
      <c r="A222" s="100">
        <v>2225</v>
      </c>
      <c r="B222" s="100" t="s">
        <v>842</v>
      </c>
      <c r="C222" s="100" t="s">
        <v>890</v>
      </c>
    </row>
    <row r="223" spans="1:3" x14ac:dyDescent="0.3">
      <c r="A223" s="100">
        <v>2703</v>
      </c>
      <c r="B223" s="100" t="s">
        <v>842</v>
      </c>
      <c r="C223" s="100" t="s">
        <v>890</v>
      </c>
    </row>
    <row r="224" spans="1:3" x14ac:dyDescent="0.3">
      <c r="A224" s="100">
        <v>2716</v>
      </c>
      <c r="B224" s="100" t="s">
        <v>842</v>
      </c>
      <c r="C224" s="100" t="s">
        <v>890</v>
      </c>
    </row>
    <row r="225" spans="1:3" x14ac:dyDescent="0.3">
      <c r="A225" s="100">
        <v>2722</v>
      </c>
      <c r="B225" s="100" t="s">
        <v>842</v>
      </c>
      <c r="C225" s="100" t="s">
        <v>890</v>
      </c>
    </row>
    <row r="226" spans="1:3" x14ac:dyDescent="0.3">
      <c r="A226" s="100">
        <v>3317</v>
      </c>
      <c r="B226" s="100" t="s">
        <v>842</v>
      </c>
      <c r="C226" s="100" t="s">
        <v>890</v>
      </c>
    </row>
    <row r="227" spans="1:3" x14ac:dyDescent="0.3">
      <c r="A227" s="100">
        <v>1447</v>
      </c>
      <c r="B227" s="100" t="s">
        <v>842</v>
      </c>
      <c r="C227" s="100" t="s">
        <v>894</v>
      </c>
    </row>
    <row r="228" spans="1:3" x14ac:dyDescent="0.3">
      <c r="A228" s="100">
        <v>1518</v>
      </c>
      <c r="B228" s="100" t="s">
        <v>842</v>
      </c>
      <c r="C228" s="100" t="s">
        <v>894</v>
      </c>
    </row>
    <row r="229" spans="1:3" x14ac:dyDescent="0.3">
      <c r="A229" s="100">
        <v>1757</v>
      </c>
      <c r="B229" s="100" t="s">
        <v>842</v>
      </c>
      <c r="C229" s="100" t="s">
        <v>894</v>
      </c>
    </row>
    <row r="230" spans="1:3" x14ac:dyDescent="0.3">
      <c r="A230" s="100">
        <v>1785</v>
      </c>
      <c r="B230" s="100" t="s">
        <v>842</v>
      </c>
      <c r="C230" s="100" t="s">
        <v>894</v>
      </c>
    </row>
    <row r="231" spans="1:3" x14ac:dyDescent="0.3">
      <c r="A231" s="100">
        <v>1786</v>
      </c>
      <c r="B231" s="100" t="s">
        <v>842</v>
      </c>
      <c r="C231" s="100" t="s">
        <v>894</v>
      </c>
    </row>
    <row r="232" spans="1:3" x14ac:dyDescent="0.3">
      <c r="A232" s="100">
        <v>2156</v>
      </c>
      <c r="B232" s="100" t="s">
        <v>842</v>
      </c>
      <c r="C232" s="100" t="s">
        <v>894</v>
      </c>
    </row>
    <row r="233" spans="1:3" x14ac:dyDescent="0.3">
      <c r="A233" s="100">
        <v>3295</v>
      </c>
      <c r="B233" s="100" t="s">
        <v>842</v>
      </c>
      <c r="C233" s="100" t="s">
        <v>894</v>
      </c>
    </row>
    <row r="234" spans="1:3" x14ac:dyDescent="0.3">
      <c r="A234" s="100">
        <v>3703</v>
      </c>
      <c r="B234" s="100" t="s">
        <v>842</v>
      </c>
      <c r="C234" s="100" t="s">
        <v>894</v>
      </c>
    </row>
    <row r="235" spans="1:3" x14ac:dyDescent="0.3">
      <c r="A235" s="100">
        <v>3704</v>
      </c>
      <c r="B235" s="100" t="s">
        <v>842</v>
      </c>
      <c r="C235" s="100" t="s">
        <v>894</v>
      </c>
    </row>
    <row r="236" spans="1:3" x14ac:dyDescent="0.3">
      <c r="A236" s="100">
        <v>2112</v>
      </c>
      <c r="B236" s="100" t="s">
        <v>842</v>
      </c>
      <c r="C236" s="100" t="s">
        <v>895</v>
      </c>
    </row>
    <row r="237" spans="1:3" x14ac:dyDescent="0.3">
      <c r="A237" s="100">
        <v>2010</v>
      </c>
      <c r="B237" s="100" t="s">
        <v>842</v>
      </c>
      <c r="C237" s="100" t="s">
        <v>895</v>
      </c>
    </row>
    <row r="238" spans="1:3" x14ac:dyDescent="0.3">
      <c r="A238" s="100">
        <v>2208</v>
      </c>
      <c r="B238" s="100" t="s">
        <v>842</v>
      </c>
      <c r="C238" s="100" t="s">
        <v>895</v>
      </c>
    </row>
    <row r="239" spans="1:3" x14ac:dyDescent="0.3">
      <c r="A239" s="100">
        <v>2210</v>
      </c>
      <c r="B239" s="100" t="s">
        <v>842</v>
      </c>
      <c r="C239" s="100" t="s">
        <v>895</v>
      </c>
    </row>
    <row r="240" spans="1:3" x14ac:dyDescent="0.3">
      <c r="A240" s="100">
        <v>2211</v>
      </c>
      <c r="B240" s="100" t="s">
        <v>842</v>
      </c>
      <c r="C240" s="100" t="s">
        <v>895</v>
      </c>
    </row>
    <row r="241" spans="1:3" x14ac:dyDescent="0.3">
      <c r="A241" s="100">
        <v>2218</v>
      </c>
      <c r="B241" s="100" t="s">
        <v>842</v>
      </c>
      <c r="C241" s="100" t="s">
        <v>895</v>
      </c>
    </row>
    <row r="242" spans="1:3" x14ac:dyDescent="0.3">
      <c r="A242" s="100">
        <v>2229</v>
      </c>
      <c r="B242" s="100" t="s">
        <v>842</v>
      </c>
      <c r="C242" s="100" t="s">
        <v>895</v>
      </c>
    </row>
    <row r="243" spans="1:3" x14ac:dyDescent="0.3">
      <c r="A243" s="100">
        <v>2209</v>
      </c>
      <c r="B243" s="100" t="s">
        <v>842</v>
      </c>
      <c r="C243" s="100" t="s">
        <v>895</v>
      </c>
    </row>
    <row r="244" spans="1:3" x14ac:dyDescent="0.3">
      <c r="A244" s="100">
        <v>2214</v>
      </c>
      <c r="B244" s="100" t="s">
        <v>842</v>
      </c>
      <c r="C244" s="100" t="s">
        <v>895</v>
      </c>
    </row>
    <row r="245" spans="1:3" x14ac:dyDescent="0.3">
      <c r="A245" s="100">
        <v>2215</v>
      </c>
      <c r="B245" s="100" t="s">
        <v>842</v>
      </c>
      <c r="C245" s="100" t="s">
        <v>895</v>
      </c>
    </row>
    <row r="246" spans="1:3" x14ac:dyDescent="0.3">
      <c r="A246" s="100">
        <v>2730</v>
      </c>
      <c r="B246" s="100" t="s">
        <v>842</v>
      </c>
      <c r="C246" s="100" t="s">
        <v>895</v>
      </c>
    </row>
    <row r="247" spans="1:3" x14ac:dyDescent="0.3">
      <c r="A247" s="100">
        <v>3603</v>
      </c>
      <c r="B247" s="100" t="s">
        <v>842</v>
      </c>
      <c r="C247" s="100" t="s">
        <v>895</v>
      </c>
    </row>
    <row r="248" spans="1:3" x14ac:dyDescent="0.3">
      <c r="A248" s="100">
        <v>2193</v>
      </c>
      <c r="B248" s="100" t="s">
        <v>842</v>
      </c>
      <c r="C248" s="100" t="s">
        <v>896</v>
      </c>
    </row>
    <row r="249" spans="1:3" x14ac:dyDescent="0.3">
      <c r="A249" s="100">
        <v>2199</v>
      </c>
      <c r="B249" s="100" t="s">
        <v>842</v>
      </c>
      <c r="C249" s="100" t="s">
        <v>896</v>
      </c>
    </row>
    <row r="250" spans="1:3" x14ac:dyDescent="0.3">
      <c r="A250" s="100">
        <v>2701</v>
      </c>
      <c r="B250" s="100" t="s">
        <v>842</v>
      </c>
      <c r="C250" s="100" t="s">
        <v>896</v>
      </c>
    </row>
    <row r="251" spans="1:3" x14ac:dyDescent="0.3">
      <c r="A251" s="100">
        <v>2702</v>
      </c>
      <c r="B251" s="100" t="s">
        <v>842</v>
      </c>
      <c r="C251" s="100" t="s">
        <v>896</v>
      </c>
    </row>
    <row r="252" spans="1:3" x14ac:dyDescent="0.3">
      <c r="A252" s="100">
        <v>2194</v>
      </c>
      <c r="B252" s="100" t="s">
        <v>842</v>
      </c>
      <c r="C252" s="100" t="s">
        <v>896</v>
      </c>
    </row>
    <row r="253" spans="1:3" x14ac:dyDescent="0.3">
      <c r="A253" s="100">
        <v>2200</v>
      </c>
      <c r="B253" s="100" t="s">
        <v>842</v>
      </c>
      <c r="C253" s="100" t="s">
        <v>896</v>
      </c>
    </row>
    <row r="254" spans="1:3" x14ac:dyDescent="0.3">
      <c r="A254" s="100">
        <v>3757</v>
      </c>
      <c r="B254" s="100" t="s">
        <v>842</v>
      </c>
      <c r="C254" s="100" t="s">
        <v>896</v>
      </c>
    </row>
    <row r="255" spans="1:3" x14ac:dyDescent="0.3">
      <c r="A255" s="100">
        <v>3842</v>
      </c>
      <c r="B255" s="100" t="s">
        <v>842</v>
      </c>
      <c r="C255" s="100" t="s">
        <v>896</v>
      </c>
    </row>
    <row r="256" spans="1:3" x14ac:dyDescent="0.3">
      <c r="A256" s="100">
        <v>837</v>
      </c>
      <c r="B256" s="100" t="s">
        <v>842</v>
      </c>
      <c r="C256" s="100" t="s">
        <v>844</v>
      </c>
    </row>
    <row r="257" spans="1:3" x14ac:dyDescent="0.3">
      <c r="A257" s="100">
        <v>1198</v>
      </c>
      <c r="B257" s="100" t="s">
        <v>842</v>
      </c>
      <c r="C257" s="100" t="s">
        <v>844</v>
      </c>
    </row>
    <row r="258" spans="1:3" x14ac:dyDescent="0.3">
      <c r="A258" s="100">
        <v>1422</v>
      </c>
      <c r="B258" s="100" t="s">
        <v>842</v>
      </c>
      <c r="C258" s="100" t="s">
        <v>844</v>
      </c>
    </row>
    <row r="259" spans="1:3" x14ac:dyDescent="0.3">
      <c r="A259" s="100">
        <v>1632</v>
      </c>
      <c r="B259" s="100" t="s">
        <v>842</v>
      </c>
      <c r="C259" s="100" t="s">
        <v>844</v>
      </c>
    </row>
    <row r="260" spans="1:3" x14ac:dyDescent="0.3">
      <c r="A260" s="100">
        <v>1639</v>
      </c>
      <c r="B260" s="100" t="s">
        <v>842</v>
      </c>
      <c r="C260" s="100" t="s">
        <v>844</v>
      </c>
    </row>
    <row r="261" spans="1:3" x14ac:dyDescent="0.3">
      <c r="A261" s="100">
        <v>1640</v>
      </c>
      <c r="B261" s="100" t="s">
        <v>842</v>
      </c>
      <c r="C261" s="100" t="s">
        <v>844</v>
      </c>
    </row>
    <row r="262" spans="1:3" x14ac:dyDescent="0.3">
      <c r="A262" s="100">
        <v>1650</v>
      </c>
      <c r="B262" s="100" t="s">
        <v>842</v>
      </c>
      <c r="C262" s="100" t="s">
        <v>844</v>
      </c>
    </row>
    <row r="263" spans="1:3" x14ac:dyDescent="0.3">
      <c r="A263" s="100">
        <v>1651</v>
      </c>
      <c r="B263" s="100" t="s">
        <v>842</v>
      </c>
      <c r="C263" s="100" t="s">
        <v>844</v>
      </c>
    </row>
    <row r="264" spans="1:3" x14ac:dyDescent="0.3">
      <c r="A264" s="100">
        <v>1696</v>
      </c>
      <c r="B264" s="100" t="s">
        <v>842</v>
      </c>
      <c r="C264" s="100" t="s">
        <v>844</v>
      </c>
    </row>
    <row r="265" spans="1:3" x14ac:dyDescent="0.3">
      <c r="A265" s="100">
        <v>1724</v>
      </c>
      <c r="B265" s="100" t="s">
        <v>842</v>
      </c>
      <c r="C265" s="100" t="s">
        <v>844</v>
      </c>
    </row>
    <row r="266" spans="1:3" x14ac:dyDescent="0.3">
      <c r="A266" s="100">
        <v>1784</v>
      </c>
      <c r="B266" s="100" t="s">
        <v>842</v>
      </c>
      <c r="C266" s="100" t="s">
        <v>844</v>
      </c>
    </row>
    <row r="267" spans="1:3" x14ac:dyDescent="0.3">
      <c r="A267" s="100">
        <v>1879</v>
      </c>
      <c r="B267" s="100" t="s">
        <v>842</v>
      </c>
      <c r="C267" s="100" t="s">
        <v>844</v>
      </c>
    </row>
    <row r="268" spans="1:3" x14ac:dyDescent="0.3">
      <c r="A268" s="100">
        <v>2222</v>
      </c>
      <c r="B268" s="100" t="s">
        <v>842</v>
      </c>
      <c r="C268" s="100" t="s">
        <v>844</v>
      </c>
    </row>
    <row r="269" spans="1:3" x14ac:dyDescent="0.3">
      <c r="A269" s="100">
        <v>3716</v>
      </c>
      <c r="B269" s="100" t="s">
        <v>842</v>
      </c>
      <c r="C269" s="100" t="s">
        <v>844</v>
      </c>
    </row>
    <row r="270" spans="1:3" x14ac:dyDescent="0.3">
      <c r="A270" s="100">
        <v>3822</v>
      </c>
      <c r="B270" s="100" t="s">
        <v>842</v>
      </c>
      <c r="C270" s="100" t="s">
        <v>844</v>
      </c>
    </row>
    <row r="271" spans="1:3" x14ac:dyDescent="0.3">
      <c r="A271" s="100">
        <v>3835</v>
      </c>
      <c r="B271" s="100" t="s">
        <v>842</v>
      </c>
      <c r="C271" s="100" t="s">
        <v>844</v>
      </c>
    </row>
    <row r="272" spans="1:3" x14ac:dyDescent="0.3">
      <c r="A272" s="100">
        <v>93</v>
      </c>
      <c r="B272" s="100" t="s">
        <v>842</v>
      </c>
      <c r="C272" s="100" t="s">
        <v>854</v>
      </c>
    </row>
    <row r="273" spans="1:3" x14ac:dyDescent="0.3">
      <c r="A273" s="100">
        <v>343</v>
      </c>
      <c r="B273" s="100" t="s">
        <v>842</v>
      </c>
      <c r="C273" s="100" t="s">
        <v>854</v>
      </c>
    </row>
    <row r="274" spans="1:3" x14ac:dyDescent="0.3">
      <c r="A274" s="100">
        <v>378</v>
      </c>
      <c r="B274" s="100" t="s">
        <v>842</v>
      </c>
      <c r="C274" s="100" t="s">
        <v>854</v>
      </c>
    </row>
    <row r="275" spans="1:3" x14ac:dyDescent="0.3">
      <c r="A275" s="100">
        <v>410</v>
      </c>
      <c r="B275" s="100" t="s">
        <v>842</v>
      </c>
      <c r="C275" s="100" t="s">
        <v>854</v>
      </c>
    </row>
    <row r="276" spans="1:3" x14ac:dyDescent="0.3">
      <c r="A276" s="100">
        <v>739</v>
      </c>
      <c r="B276" s="100" t="s">
        <v>842</v>
      </c>
      <c r="C276" s="100" t="s">
        <v>854</v>
      </c>
    </row>
    <row r="277" spans="1:3" x14ac:dyDescent="0.3">
      <c r="A277" s="100">
        <v>804</v>
      </c>
      <c r="B277" s="100" t="s">
        <v>842</v>
      </c>
      <c r="C277" s="100" t="s">
        <v>854</v>
      </c>
    </row>
    <row r="278" spans="1:3" x14ac:dyDescent="0.3">
      <c r="A278" s="100">
        <v>2076</v>
      </c>
      <c r="B278" s="100" t="s">
        <v>842</v>
      </c>
      <c r="C278" s="100" t="s">
        <v>854</v>
      </c>
    </row>
    <row r="279" spans="1:3" x14ac:dyDescent="0.3">
      <c r="A279" s="100">
        <v>2121</v>
      </c>
      <c r="B279" s="100" t="s">
        <v>842</v>
      </c>
      <c r="C279" s="100" t="s">
        <v>854</v>
      </c>
    </row>
    <row r="280" spans="1:3" x14ac:dyDescent="0.3">
      <c r="A280" s="100">
        <v>1243</v>
      </c>
      <c r="B280" s="100" t="s">
        <v>842</v>
      </c>
      <c r="C280" s="100" t="s">
        <v>857</v>
      </c>
    </row>
    <row r="281" spans="1:3" x14ac:dyDescent="0.3">
      <c r="A281" s="100">
        <v>1459</v>
      </c>
      <c r="B281" s="100" t="s">
        <v>842</v>
      </c>
      <c r="C281" s="100" t="s">
        <v>857</v>
      </c>
    </row>
    <row r="282" spans="1:3" x14ac:dyDescent="0.3">
      <c r="A282" s="100">
        <v>1621</v>
      </c>
      <c r="B282" s="100" t="s">
        <v>842</v>
      </c>
      <c r="C282" s="100" t="s">
        <v>857</v>
      </c>
    </row>
    <row r="283" spans="1:3" x14ac:dyDescent="0.3">
      <c r="A283" s="100">
        <v>1631</v>
      </c>
      <c r="B283" s="100" t="s">
        <v>842</v>
      </c>
      <c r="C283" s="100" t="s">
        <v>857</v>
      </c>
    </row>
    <row r="284" spans="1:3" x14ac:dyDescent="0.3">
      <c r="A284" s="100">
        <v>1668</v>
      </c>
      <c r="B284" s="100" t="s">
        <v>842</v>
      </c>
      <c r="C284" s="100" t="s">
        <v>857</v>
      </c>
    </row>
    <row r="285" spans="1:3" x14ac:dyDescent="0.3">
      <c r="A285" s="100">
        <v>1669</v>
      </c>
      <c r="B285" s="100" t="s">
        <v>842</v>
      </c>
      <c r="C285" s="100" t="s">
        <v>857</v>
      </c>
    </row>
    <row r="286" spans="1:3" x14ac:dyDescent="0.3">
      <c r="A286" s="100">
        <v>1682</v>
      </c>
      <c r="B286" s="100" t="s">
        <v>842</v>
      </c>
      <c r="C286" s="100" t="s">
        <v>857</v>
      </c>
    </row>
    <row r="287" spans="1:3" x14ac:dyDescent="0.3">
      <c r="A287" s="100">
        <v>1722</v>
      </c>
      <c r="B287" s="100" t="s">
        <v>842</v>
      </c>
      <c r="C287" s="100" t="s">
        <v>857</v>
      </c>
    </row>
    <row r="288" spans="1:3" x14ac:dyDescent="0.3">
      <c r="A288" s="100">
        <v>1976</v>
      </c>
      <c r="B288" s="100" t="s">
        <v>842</v>
      </c>
      <c r="C288" s="100" t="s">
        <v>857</v>
      </c>
    </row>
    <row r="289" spans="1:3" x14ac:dyDescent="0.3">
      <c r="A289" s="100">
        <v>2131</v>
      </c>
      <c r="B289" s="100" t="s">
        <v>842</v>
      </c>
      <c r="C289" s="100" t="s">
        <v>857</v>
      </c>
    </row>
    <row r="290" spans="1:3" x14ac:dyDescent="0.3">
      <c r="A290" s="100">
        <v>2135</v>
      </c>
      <c r="B290" s="100" t="s">
        <v>842</v>
      </c>
      <c r="C290" s="100" t="s">
        <v>857</v>
      </c>
    </row>
    <row r="291" spans="1:3" x14ac:dyDescent="0.3">
      <c r="A291" s="100">
        <v>2139</v>
      </c>
      <c r="B291" s="100" t="s">
        <v>842</v>
      </c>
      <c r="C291" s="100" t="s">
        <v>857</v>
      </c>
    </row>
    <row r="292" spans="1:3" x14ac:dyDescent="0.3">
      <c r="A292" s="100">
        <v>1692</v>
      </c>
      <c r="B292" s="100" t="s">
        <v>842</v>
      </c>
      <c r="C292" s="100" t="s">
        <v>857</v>
      </c>
    </row>
    <row r="293" spans="1:3" x14ac:dyDescent="0.3">
      <c r="A293" s="100">
        <v>2223</v>
      </c>
      <c r="B293" s="100" t="s">
        <v>842</v>
      </c>
      <c r="C293" s="100" t="s">
        <v>857</v>
      </c>
    </row>
    <row r="294" spans="1:3" x14ac:dyDescent="0.3">
      <c r="A294" s="100">
        <v>2235</v>
      </c>
      <c r="B294" s="100" t="s">
        <v>842</v>
      </c>
      <c r="C294" s="100" t="s">
        <v>857</v>
      </c>
    </row>
    <row r="295" spans="1:3" x14ac:dyDescent="0.3">
      <c r="A295" s="100">
        <v>2675</v>
      </c>
      <c r="B295" s="100" t="s">
        <v>842</v>
      </c>
      <c r="C295" s="100" t="s">
        <v>857</v>
      </c>
    </row>
    <row r="296" spans="1:3" x14ac:dyDescent="0.3">
      <c r="A296" s="100">
        <v>3602</v>
      </c>
      <c r="B296" s="100" t="s">
        <v>842</v>
      </c>
      <c r="C296" s="100" t="s">
        <v>857</v>
      </c>
    </row>
    <row r="297" spans="1:3" x14ac:dyDescent="0.3">
      <c r="A297" s="100">
        <v>3615</v>
      </c>
      <c r="B297" s="100" t="s">
        <v>842</v>
      </c>
      <c r="C297" s="100" t="s">
        <v>857</v>
      </c>
    </row>
    <row r="298" spans="1:3" x14ac:dyDescent="0.3">
      <c r="A298" s="100">
        <v>3616</v>
      </c>
      <c r="B298" s="100" t="s">
        <v>842</v>
      </c>
      <c r="C298" s="100" t="s">
        <v>857</v>
      </c>
    </row>
    <row r="299" spans="1:3" x14ac:dyDescent="0.3">
      <c r="A299" s="100">
        <v>1361</v>
      </c>
      <c r="B299" s="100" t="s">
        <v>842</v>
      </c>
      <c r="C299" s="100" t="s">
        <v>847</v>
      </c>
    </row>
    <row r="300" spans="1:3" x14ac:dyDescent="0.3">
      <c r="A300" s="100">
        <v>1364</v>
      </c>
      <c r="B300" s="100" t="s">
        <v>842</v>
      </c>
      <c r="C300" s="100" t="s">
        <v>847</v>
      </c>
    </row>
    <row r="301" spans="1:3" x14ac:dyDescent="0.3">
      <c r="A301" s="100">
        <v>1365</v>
      </c>
      <c r="B301" s="100" t="s">
        <v>842</v>
      </c>
      <c r="C301" s="100" t="s">
        <v>847</v>
      </c>
    </row>
    <row r="302" spans="1:3" x14ac:dyDescent="0.3">
      <c r="A302" s="100">
        <v>1370</v>
      </c>
      <c r="B302" s="100" t="s">
        <v>842</v>
      </c>
      <c r="C302" s="100" t="s">
        <v>847</v>
      </c>
    </row>
    <row r="303" spans="1:3" x14ac:dyDescent="0.3">
      <c r="A303" s="100">
        <v>1371</v>
      </c>
      <c r="B303" s="100" t="s">
        <v>842</v>
      </c>
      <c r="C303" s="100" t="s">
        <v>847</v>
      </c>
    </row>
    <row r="304" spans="1:3" x14ac:dyDescent="0.3">
      <c r="A304" s="100">
        <v>1373</v>
      </c>
      <c r="B304" s="100" t="s">
        <v>842</v>
      </c>
      <c r="C304" s="100" t="s">
        <v>847</v>
      </c>
    </row>
    <row r="305" spans="1:3" x14ac:dyDescent="0.3">
      <c r="A305" s="100">
        <v>1374</v>
      </c>
      <c r="B305" s="100" t="s">
        <v>842</v>
      </c>
      <c r="C305" s="100" t="s">
        <v>847</v>
      </c>
    </row>
    <row r="306" spans="1:3" x14ac:dyDescent="0.3">
      <c r="A306" s="100">
        <v>1386</v>
      </c>
      <c r="B306" s="100" t="s">
        <v>842</v>
      </c>
      <c r="C306" s="100" t="s">
        <v>847</v>
      </c>
    </row>
    <row r="307" spans="1:3" x14ac:dyDescent="0.3">
      <c r="A307" s="100">
        <v>1434</v>
      </c>
      <c r="B307" s="100" t="s">
        <v>842</v>
      </c>
      <c r="C307" s="100" t="s">
        <v>847</v>
      </c>
    </row>
    <row r="308" spans="1:3" x14ac:dyDescent="0.3">
      <c r="A308" s="100">
        <v>1453</v>
      </c>
      <c r="B308" s="100" t="s">
        <v>842</v>
      </c>
      <c r="C308" s="100" t="s">
        <v>847</v>
      </c>
    </row>
    <row r="309" spans="1:3" x14ac:dyDescent="0.3">
      <c r="A309" s="100">
        <v>1468</v>
      </c>
      <c r="B309" s="100" t="s">
        <v>842</v>
      </c>
      <c r="C309" s="100" t="s">
        <v>847</v>
      </c>
    </row>
    <row r="310" spans="1:3" x14ac:dyDescent="0.3">
      <c r="A310" s="100">
        <v>1475</v>
      </c>
      <c r="B310" s="100" t="s">
        <v>842</v>
      </c>
      <c r="C310" s="100" t="s">
        <v>847</v>
      </c>
    </row>
    <row r="311" spans="1:3" x14ac:dyDescent="0.3">
      <c r="A311" s="100">
        <v>1476</v>
      </c>
      <c r="B311" s="100" t="s">
        <v>842</v>
      </c>
      <c r="C311" s="100" t="s">
        <v>847</v>
      </c>
    </row>
    <row r="312" spans="1:3" x14ac:dyDescent="0.3">
      <c r="A312" s="100">
        <v>1477</v>
      </c>
      <c r="B312" s="100" t="s">
        <v>842</v>
      </c>
      <c r="C312" s="100" t="s">
        <v>847</v>
      </c>
    </row>
    <row r="313" spans="1:3" x14ac:dyDescent="0.3">
      <c r="A313" s="100">
        <v>1501</v>
      </c>
      <c r="B313" s="100" t="s">
        <v>842</v>
      </c>
      <c r="C313" s="100" t="s">
        <v>847</v>
      </c>
    </row>
    <row r="314" spans="1:3" x14ac:dyDescent="0.3">
      <c r="A314" s="100">
        <v>1533</v>
      </c>
      <c r="B314" s="100" t="s">
        <v>842</v>
      </c>
      <c r="C314" s="100" t="s">
        <v>847</v>
      </c>
    </row>
    <row r="315" spans="1:3" x14ac:dyDescent="0.3">
      <c r="A315" s="100">
        <v>1585</v>
      </c>
      <c r="B315" s="100" t="s">
        <v>842</v>
      </c>
      <c r="C315" s="100" t="s">
        <v>847</v>
      </c>
    </row>
    <row r="316" spans="1:3" x14ac:dyDescent="0.3">
      <c r="A316" s="100">
        <v>1615</v>
      </c>
      <c r="B316" s="100" t="s">
        <v>842</v>
      </c>
      <c r="C316" s="100" t="s">
        <v>847</v>
      </c>
    </row>
    <row r="317" spans="1:3" x14ac:dyDescent="0.3">
      <c r="A317" s="100">
        <v>1618</v>
      </c>
      <c r="B317" s="100" t="s">
        <v>842</v>
      </c>
      <c r="C317" s="100" t="s">
        <v>847</v>
      </c>
    </row>
    <row r="318" spans="1:3" x14ac:dyDescent="0.3">
      <c r="A318" s="100">
        <v>1706</v>
      </c>
      <c r="B318" s="100" t="s">
        <v>842</v>
      </c>
      <c r="C318" s="100" t="s">
        <v>847</v>
      </c>
    </row>
    <row r="319" spans="1:3" x14ac:dyDescent="0.3">
      <c r="A319" s="100">
        <v>1742</v>
      </c>
      <c r="B319" s="100" t="s">
        <v>842</v>
      </c>
      <c r="C319" s="100" t="s">
        <v>847</v>
      </c>
    </row>
    <row r="320" spans="1:3" x14ac:dyDescent="0.3">
      <c r="A320" s="100">
        <v>1954</v>
      </c>
      <c r="B320" s="100" t="s">
        <v>842</v>
      </c>
      <c r="C320" s="100" t="s">
        <v>847</v>
      </c>
    </row>
    <row r="321" spans="1:3" x14ac:dyDescent="0.3">
      <c r="A321" s="100">
        <v>1963</v>
      </c>
      <c r="B321" s="100" t="s">
        <v>842</v>
      </c>
      <c r="C321" s="100" t="s">
        <v>847</v>
      </c>
    </row>
    <row r="322" spans="1:3" x14ac:dyDescent="0.3">
      <c r="A322" s="100">
        <v>1973</v>
      </c>
      <c r="B322" s="100" t="s">
        <v>842</v>
      </c>
      <c r="C322" s="100" t="s">
        <v>847</v>
      </c>
    </row>
    <row r="323" spans="1:3" x14ac:dyDescent="0.3">
      <c r="A323" s="100">
        <v>2148</v>
      </c>
      <c r="B323" s="100" t="s">
        <v>842</v>
      </c>
      <c r="C323" s="100" t="s">
        <v>847</v>
      </c>
    </row>
    <row r="324" spans="1:3" x14ac:dyDescent="0.3">
      <c r="A324" s="100">
        <v>2619</v>
      </c>
      <c r="B324" s="100" t="s">
        <v>842</v>
      </c>
      <c r="C324" s="100" t="s">
        <v>847</v>
      </c>
    </row>
    <row r="325" spans="1:3" x14ac:dyDescent="0.3">
      <c r="A325" s="100">
        <v>2676</v>
      </c>
      <c r="B325" s="100" t="s">
        <v>842</v>
      </c>
      <c r="C325" s="100" t="s">
        <v>847</v>
      </c>
    </row>
    <row r="326" spans="1:3" x14ac:dyDescent="0.3">
      <c r="A326" s="100">
        <v>2154</v>
      </c>
      <c r="B326" s="100" t="s">
        <v>842</v>
      </c>
      <c r="C326" s="100" t="s">
        <v>847</v>
      </c>
    </row>
    <row r="327" spans="1:3" x14ac:dyDescent="0.3">
      <c r="A327" s="100">
        <v>2731</v>
      </c>
      <c r="B327" s="100" t="s">
        <v>842</v>
      </c>
      <c r="C327" s="100" t="s">
        <v>847</v>
      </c>
    </row>
    <row r="328" spans="1:3" x14ac:dyDescent="0.3">
      <c r="A328" s="100">
        <v>3724</v>
      </c>
      <c r="B328" s="100" t="s">
        <v>842</v>
      </c>
      <c r="C328" s="100" t="s">
        <v>847</v>
      </c>
    </row>
    <row r="329" spans="1:3" x14ac:dyDescent="0.3">
      <c r="A329" s="100">
        <v>1395</v>
      </c>
      <c r="B329" s="100" t="s">
        <v>842</v>
      </c>
      <c r="C329" s="100" t="s">
        <v>851</v>
      </c>
    </row>
    <row r="330" spans="1:3" x14ac:dyDescent="0.3">
      <c r="A330" s="100">
        <v>1399</v>
      </c>
      <c r="B330" s="100" t="s">
        <v>842</v>
      </c>
      <c r="C330" s="100" t="s">
        <v>851</v>
      </c>
    </row>
    <row r="331" spans="1:3" x14ac:dyDescent="0.3">
      <c r="A331" s="100">
        <v>1520</v>
      </c>
      <c r="B331" s="100" t="s">
        <v>842</v>
      </c>
      <c r="C331" s="100" t="s">
        <v>851</v>
      </c>
    </row>
    <row r="332" spans="1:3" x14ac:dyDescent="0.3">
      <c r="A332" s="100">
        <v>1556</v>
      </c>
      <c r="B332" s="100" t="s">
        <v>842</v>
      </c>
      <c r="C332" s="100" t="s">
        <v>851</v>
      </c>
    </row>
    <row r="333" spans="1:3" x14ac:dyDescent="0.3">
      <c r="A333" s="100">
        <v>1612</v>
      </c>
      <c r="B333" s="100" t="s">
        <v>842</v>
      </c>
      <c r="C333" s="100" t="s">
        <v>851</v>
      </c>
    </row>
    <row r="334" spans="1:3" x14ac:dyDescent="0.3">
      <c r="A334" s="100">
        <v>1674</v>
      </c>
      <c r="B334" s="100" t="s">
        <v>842</v>
      </c>
      <c r="C334" s="100" t="s">
        <v>851</v>
      </c>
    </row>
    <row r="335" spans="1:3" x14ac:dyDescent="0.3">
      <c r="A335" s="100">
        <v>1701</v>
      </c>
      <c r="B335" s="100" t="s">
        <v>842</v>
      </c>
      <c r="C335" s="100" t="s">
        <v>851</v>
      </c>
    </row>
    <row r="336" spans="1:3" x14ac:dyDescent="0.3">
      <c r="A336" s="100">
        <v>1744</v>
      </c>
      <c r="B336" s="100" t="s">
        <v>842</v>
      </c>
      <c r="C336" s="100" t="s">
        <v>851</v>
      </c>
    </row>
    <row r="337" spans="1:3" x14ac:dyDescent="0.3">
      <c r="A337" s="100">
        <v>1847</v>
      </c>
      <c r="B337" s="100" t="s">
        <v>842</v>
      </c>
      <c r="C337" s="100" t="s">
        <v>851</v>
      </c>
    </row>
    <row r="338" spans="1:3" x14ac:dyDescent="0.3">
      <c r="A338" s="100">
        <v>2035</v>
      </c>
      <c r="B338" s="100" t="s">
        <v>842</v>
      </c>
      <c r="C338" s="100" t="s">
        <v>851</v>
      </c>
    </row>
    <row r="339" spans="1:3" x14ac:dyDescent="0.3">
      <c r="A339" s="100">
        <v>2185</v>
      </c>
      <c r="B339" s="100" t="s">
        <v>842</v>
      </c>
      <c r="C339" s="100" t="s">
        <v>851</v>
      </c>
    </row>
    <row r="340" spans="1:3" x14ac:dyDescent="0.3">
      <c r="A340" s="100">
        <v>2691</v>
      </c>
      <c r="B340" s="100" t="s">
        <v>842</v>
      </c>
      <c r="C340" s="100" t="s">
        <v>851</v>
      </c>
    </row>
    <row r="341" spans="1:3" x14ac:dyDescent="0.3">
      <c r="A341" s="100">
        <v>3664</v>
      </c>
      <c r="B341" s="100" t="s">
        <v>842</v>
      </c>
      <c r="C341" s="100" t="s">
        <v>851</v>
      </c>
    </row>
    <row r="342" spans="1:3" x14ac:dyDescent="0.3">
      <c r="A342" s="100">
        <v>3696</v>
      </c>
      <c r="B342" s="100" t="s">
        <v>842</v>
      </c>
      <c r="C342" s="100" t="s">
        <v>851</v>
      </c>
    </row>
    <row r="343" spans="1:3" x14ac:dyDescent="0.3">
      <c r="A343" s="100">
        <v>3697</v>
      </c>
      <c r="B343" s="100" t="s">
        <v>842</v>
      </c>
      <c r="C343" s="100" t="s">
        <v>851</v>
      </c>
    </row>
    <row r="344" spans="1:3" x14ac:dyDescent="0.3">
      <c r="A344" s="100">
        <v>3698</v>
      </c>
      <c r="B344" s="100" t="s">
        <v>842</v>
      </c>
      <c r="C344" s="100" t="s">
        <v>851</v>
      </c>
    </row>
    <row r="345" spans="1:3" x14ac:dyDescent="0.3">
      <c r="A345" s="100">
        <v>3699</v>
      </c>
      <c r="B345" s="100" t="s">
        <v>842</v>
      </c>
      <c r="C345" s="100" t="s">
        <v>851</v>
      </c>
    </row>
    <row r="346" spans="1:3" x14ac:dyDescent="0.3">
      <c r="A346" s="100">
        <v>3806</v>
      </c>
      <c r="B346" s="100" t="s">
        <v>842</v>
      </c>
      <c r="C346" s="100" t="s">
        <v>851</v>
      </c>
    </row>
    <row r="347" spans="1:3" x14ac:dyDescent="0.3">
      <c r="A347" s="100">
        <v>3650</v>
      </c>
      <c r="B347" s="100" t="s">
        <v>842</v>
      </c>
      <c r="C347" s="100" t="s">
        <v>851</v>
      </c>
    </row>
    <row r="348" spans="1:3" x14ac:dyDescent="0.3">
      <c r="A348" s="100">
        <v>1369</v>
      </c>
      <c r="B348" s="100" t="s">
        <v>842</v>
      </c>
      <c r="C348" s="100" t="s">
        <v>846</v>
      </c>
    </row>
    <row r="349" spans="1:3" x14ac:dyDescent="0.3">
      <c r="A349" s="100">
        <v>1389</v>
      </c>
      <c r="B349" s="100" t="s">
        <v>842</v>
      </c>
      <c r="C349" s="100" t="s">
        <v>846</v>
      </c>
    </row>
    <row r="350" spans="1:3" x14ac:dyDescent="0.3">
      <c r="A350" s="100">
        <v>1403</v>
      </c>
      <c r="B350" s="100" t="s">
        <v>842</v>
      </c>
      <c r="C350" s="100" t="s">
        <v>846</v>
      </c>
    </row>
    <row r="351" spans="1:3" x14ac:dyDescent="0.3">
      <c r="A351" s="100">
        <v>1404</v>
      </c>
      <c r="B351" s="100" t="s">
        <v>842</v>
      </c>
      <c r="C351" s="100" t="s">
        <v>846</v>
      </c>
    </row>
    <row r="352" spans="1:3" x14ac:dyDescent="0.3">
      <c r="A352" s="100">
        <v>1406</v>
      </c>
      <c r="B352" s="100" t="s">
        <v>842</v>
      </c>
      <c r="C352" s="100" t="s">
        <v>846</v>
      </c>
    </row>
    <row r="353" spans="1:3" x14ac:dyDescent="0.3">
      <c r="A353" s="100">
        <v>1407</v>
      </c>
      <c r="B353" s="100" t="s">
        <v>842</v>
      </c>
      <c r="C353" s="100" t="s">
        <v>846</v>
      </c>
    </row>
    <row r="354" spans="1:3" x14ac:dyDescent="0.3">
      <c r="A354" s="100">
        <v>1408</v>
      </c>
      <c r="B354" s="100" t="s">
        <v>842</v>
      </c>
      <c r="C354" s="100" t="s">
        <v>846</v>
      </c>
    </row>
    <row r="355" spans="1:3" x14ac:dyDescent="0.3">
      <c r="A355" s="100">
        <v>1409</v>
      </c>
      <c r="B355" s="100" t="s">
        <v>842</v>
      </c>
      <c r="C355" s="100" t="s">
        <v>846</v>
      </c>
    </row>
    <row r="356" spans="1:3" x14ac:dyDescent="0.3">
      <c r="A356" s="100">
        <v>1410</v>
      </c>
      <c r="B356" s="100" t="s">
        <v>842</v>
      </c>
      <c r="C356" s="100" t="s">
        <v>846</v>
      </c>
    </row>
    <row r="357" spans="1:3" x14ac:dyDescent="0.3">
      <c r="A357" s="100">
        <v>1412</v>
      </c>
      <c r="B357" s="100" t="s">
        <v>842</v>
      </c>
      <c r="C357" s="100" t="s">
        <v>846</v>
      </c>
    </row>
    <row r="358" spans="1:3" x14ac:dyDescent="0.3">
      <c r="A358" s="100">
        <v>1413</v>
      </c>
      <c r="B358" s="100" t="s">
        <v>842</v>
      </c>
      <c r="C358" s="100" t="s">
        <v>846</v>
      </c>
    </row>
    <row r="359" spans="1:3" x14ac:dyDescent="0.3">
      <c r="A359" s="100">
        <v>1425</v>
      </c>
      <c r="B359" s="100" t="s">
        <v>842</v>
      </c>
      <c r="C359" s="100" t="s">
        <v>846</v>
      </c>
    </row>
    <row r="360" spans="1:3" x14ac:dyDescent="0.3">
      <c r="A360" s="100">
        <v>1440</v>
      </c>
      <c r="B360" s="100" t="s">
        <v>842</v>
      </c>
      <c r="C360" s="100" t="s">
        <v>846</v>
      </c>
    </row>
    <row r="361" spans="1:3" x14ac:dyDescent="0.3">
      <c r="A361" s="100">
        <v>1448</v>
      </c>
      <c r="B361" s="100" t="s">
        <v>842</v>
      </c>
      <c r="C361" s="100" t="s">
        <v>846</v>
      </c>
    </row>
    <row r="362" spans="1:3" x14ac:dyDescent="0.3">
      <c r="A362" s="100">
        <v>1473</v>
      </c>
      <c r="B362" s="100" t="s">
        <v>842</v>
      </c>
      <c r="C362" s="100" t="s">
        <v>846</v>
      </c>
    </row>
    <row r="363" spans="1:3" x14ac:dyDescent="0.3">
      <c r="A363" s="100">
        <v>1474</v>
      </c>
      <c r="B363" s="100" t="s">
        <v>842</v>
      </c>
      <c r="C363" s="100" t="s">
        <v>846</v>
      </c>
    </row>
    <row r="364" spans="1:3" x14ac:dyDescent="0.3">
      <c r="A364" s="100">
        <v>1490</v>
      </c>
      <c r="B364" s="100" t="s">
        <v>842</v>
      </c>
      <c r="C364" s="100" t="s">
        <v>846</v>
      </c>
    </row>
    <row r="365" spans="1:3" x14ac:dyDescent="0.3">
      <c r="A365" s="100">
        <v>1493</v>
      </c>
      <c r="B365" s="100" t="s">
        <v>842</v>
      </c>
      <c r="C365" s="100" t="s">
        <v>846</v>
      </c>
    </row>
    <row r="366" spans="1:3" x14ac:dyDescent="0.3">
      <c r="A366" s="100">
        <v>1588</v>
      </c>
      <c r="B366" s="100" t="s">
        <v>842</v>
      </c>
      <c r="C366" s="100" t="s">
        <v>846</v>
      </c>
    </row>
    <row r="367" spans="1:3" x14ac:dyDescent="0.3">
      <c r="A367" s="100">
        <v>1609</v>
      </c>
      <c r="B367" s="100" t="s">
        <v>842</v>
      </c>
      <c r="C367" s="100" t="s">
        <v>846</v>
      </c>
    </row>
    <row r="368" spans="1:3" x14ac:dyDescent="0.3">
      <c r="A368" s="100">
        <v>1666</v>
      </c>
      <c r="B368" s="100" t="s">
        <v>842</v>
      </c>
      <c r="C368" s="100" t="s">
        <v>846</v>
      </c>
    </row>
    <row r="369" spans="1:3" x14ac:dyDescent="0.3">
      <c r="A369" s="100">
        <v>1713</v>
      </c>
      <c r="B369" s="100" t="s">
        <v>842</v>
      </c>
      <c r="C369" s="100" t="s">
        <v>846</v>
      </c>
    </row>
    <row r="370" spans="1:3" x14ac:dyDescent="0.3">
      <c r="A370" s="100">
        <v>1845</v>
      </c>
      <c r="B370" s="100" t="s">
        <v>842</v>
      </c>
      <c r="C370" s="100" t="s">
        <v>846</v>
      </c>
    </row>
    <row r="371" spans="1:3" x14ac:dyDescent="0.3">
      <c r="A371" s="100">
        <v>1931</v>
      </c>
      <c r="B371" s="100" t="s">
        <v>842</v>
      </c>
      <c r="C371" s="100" t="s">
        <v>846</v>
      </c>
    </row>
    <row r="372" spans="1:3" x14ac:dyDescent="0.3">
      <c r="A372" s="100">
        <v>1934</v>
      </c>
      <c r="B372" s="100" t="s">
        <v>842</v>
      </c>
      <c r="C372" s="100" t="s">
        <v>846</v>
      </c>
    </row>
    <row r="373" spans="1:3" x14ac:dyDescent="0.3">
      <c r="A373" s="100">
        <v>1981</v>
      </c>
      <c r="B373" s="100" t="s">
        <v>842</v>
      </c>
      <c r="C373" s="100" t="s">
        <v>846</v>
      </c>
    </row>
    <row r="374" spans="1:3" x14ac:dyDescent="0.3">
      <c r="A374" s="100">
        <v>2014</v>
      </c>
      <c r="B374" s="100" t="s">
        <v>842</v>
      </c>
      <c r="C374" s="100" t="s">
        <v>846</v>
      </c>
    </row>
    <row r="375" spans="1:3" x14ac:dyDescent="0.3">
      <c r="A375" s="100">
        <v>2126</v>
      </c>
      <c r="B375" s="100" t="s">
        <v>842</v>
      </c>
      <c r="C375" s="100" t="s">
        <v>846</v>
      </c>
    </row>
    <row r="376" spans="1:3" x14ac:dyDescent="0.3">
      <c r="A376" s="100">
        <v>2160</v>
      </c>
      <c r="B376" s="100" t="s">
        <v>842</v>
      </c>
      <c r="C376" s="100" t="s">
        <v>846</v>
      </c>
    </row>
    <row r="377" spans="1:3" x14ac:dyDescent="0.3">
      <c r="A377" s="100">
        <v>2165</v>
      </c>
      <c r="B377" s="100" t="s">
        <v>842</v>
      </c>
      <c r="C377" s="100" t="s">
        <v>846</v>
      </c>
    </row>
    <row r="378" spans="1:3" x14ac:dyDescent="0.3">
      <c r="A378" s="100">
        <v>2239</v>
      </c>
      <c r="B378" s="100" t="s">
        <v>842</v>
      </c>
      <c r="C378" s="100" t="s">
        <v>846</v>
      </c>
    </row>
    <row r="379" spans="1:3" x14ac:dyDescent="0.3">
      <c r="A379" s="100">
        <v>2727</v>
      </c>
      <c r="B379" s="100" t="s">
        <v>842</v>
      </c>
      <c r="C379" s="100" t="s">
        <v>846</v>
      </c>
    </row>
    <row r="380" spans="1:3" x14ac:dyDescent="0.3">
      <c r="A380" s="100">
        <v>3593</v>
      </c>
      <c r="B380" s="100" t="s">
        <v>842</v>
      </c>
      <c r="C380" s="100" t="s">
        <v>846</v>
      </c>
    </row>
    <row r="381" spans="1:3" x14ac:dyDescent="0.3">
      <c r="A381" s="100">
        <v>3692</v>
      </c>
      <c r="B381" s="100" t="s">
        <v>842</v>
      </c>
      <c r="C381" s="100" t="s">
        <v>846</v>
      </c>
    </row>
    <row r="382" spans="1:3" x14ac:dyDescent="0.3">
      <c r="A382" s="100">
        <v>3693</v>
      </c>
      <c r="B382" s="100" t="s">
        <v>842</v>
      </c>
      <c r="C382" s="100" t="s">
        <v>846</v>
      </c>
    </row>
    <row r="383" spans="1:3" x14ac:dyDescent="0.3">
      <c r="A383" s="100">
        <v>3758</v>
      </c>
      <c r="B383" s="100" t="s">
        <v>842</v>
      </c>
      <c r="C383" s="100" t="s">
        <v>846</v>
      </c>
    </row>
    <row r="384" spans="1:3" x14ac:dyDescent="0.3">
      <c r="A384" s="100">
        <v>3759</v>
      </c>
      <c r="B384" s="100" t="s">
        <v>842</v>
      </c>
      <c r="C384" s="100" t="s">
        <v>846</v>
      </c>
    </row>
    <row r="385" spans="1:3" x14ac:dyDescent="0.3">
      <c r="A385" s="100">
        <v>3755</v>
      </c>
      <c r="B385" s="100" t="s">
        <v>842</v>
      </c>
      <c r="C385" s="100" t="s">
        <v>846</v>
      </c>
    </row>
    <row r="386" spans="1:3" x14ac:dyDescent="0.3">
      <c r="A386" s="100">
        <v>3667</v>
      </c>
      <c r="B386" s="100" t="s">
        <v>842</v>
      </c>
      <c r="C386" s="100" t="s">
        <v>846</v>
      </c>
    </row>
    <row r="387" spans="1:3" x14ac:dyDescent="0.3">
      <c r="A387" s="100">
        <v>3299</v>
      </c>
      <c r="B387" s="100" t="s">
        <v>842</v>
      </c>
      <c r="C387" s="100" t="s">
        <v>846</v>
      </c>
    </row>
    <row r="388" spans="1:3" x14ac:dyDescent="0.3">
      <c r="A388" s="100">
        <v>3751</v>
      </c>
      <c r="B388" s="100" t="s">
        <v>842</v>
      </c>
      <c r="C388" s="100" t="s">
        <v>846</v>
      </c>
    </row>
    <row r="389" spans="1:3" x14ac:dyDescent="0.3">
      <c r="A389" s="100">
        <v>3753</v>
      </c>
      <c r="B389" s="100" t="s">
        <v>842</v>
      </c>
      <c r="C389" s="100" t="s">
        <v>846</v>
      </c>
    </row>
    <row r="390" spans="1:3" x14ac:dyDescent="0.3">
      <c r="A390" s="100">
        <v>3761</v>
      </c>
      <c r="B390" s="100" t="s">
        <v>842</v>
      </c>
      <c r="C390" s="100" t="s">
        <v>846</v>
      </c>
    </row>
    <row r="391" spans="1:3" x14ac:dyDescent="0.3">
      <c r="A391" s="100">
        <v>3628</v>
      </c>
      <c r="B391" s="100" t="s">
        <v>842</v>
      </c>
      <c r="C391" s="100" t="s">
        <v>846</v>
      </c>
    </row>
    <row r="392" spans="1:3" x14ac:dyDescent="0.3">
      <c r="A392" s="100">
        <v>1457</v>
      </c>
      <c r="B392" s="100" t="s">
        <v>842</v>
      </c>
      <c r="C392" s="100" t="s">
        <v>850</v>
      </c>
    </row>
    <row r="393" spans="1:3" x14ac:dyDescent="0.3">
      <c r="A393" s="100">
        <v>1751</v>
      </c>
      <c r="B393" s="100" t="s">
        <v>842</v>
      </c>
      <c r="C393" s="100" t="s">
        <v>850</v>
      </c>
    </row>
    <row r="394" spans="1:3" x14ac:dyDescent="0.3">
      <c r="A394" s="100">
        <v>2016</v>
      </c>
      <c r="B394" s="100" t="s">
        <v>842</v>
      </c>
      <c r="C394" s="100" t="s">
        <v>850</v>
      </c>
    </row>
    <row r="395" spans="1:3" x14ac:dyDescent="0.3">
      <c r="A395" s="100">
        <v>2155</v>
      </c>
      <c r="B395" s="100" t="s">
        <v>842</v>
      </c>
      <c r="C395" s="100" t="s">
        <v>850</v>
      </c>
    </row>
    <row r="396" spans="1:3" x14ac:dyDescent="0.3">
      <c r="A396" s="100">
        <v>2184</v>
      </c>
      <c r="B396" s="100" t="s">
        <v>842</v>
      </c>
      <c r="C396" s="100" t="s">
        <v>850</v>
      </c>
    </row>
    <row r="397" spans="1:3" x14ac:dyDescent="0.3">
      <c r="A397" s="100">
        <v>3710</v>
      </c>
      <c r="B397" s="100" t="s">
        <v>842</v>
      </c>
      <c r="C397" s="100" t="s">
        <v>850</v>
      </c>
    </row>
    <row r="398" spans="1:3" x14ac:dyDescent="0.3">
      <c r="A398" s="100">
        <v>2150</v>
      </c>
      <c r="B398" s="100" t="s">
        <v>842</v>
      </c>
      <c r="C398" s="100" t="s">
        <v>853</v>
      </c>
    </row>
    <row r="399" spans="1:3" x14ac:dyDescent="0.3">
      <c r="A399" s="100">
        <v>2174</v>
      </c>
      <c r="B399" s="100" t="s">
        <v>842</v>
      </c>
      <c r="C399" s="100" t="s">
        <v>853</v>
      </c>
    </row>
    <row r="400" spans="1:3" x14ac:dyDescent="0.3">
      <c r="A400" s="100">
        <v>2175</v>
      </c>
      <c r="B400" s="100" t="s">
        <v>842</v>
      </c>
      <c r="C400" s="100" t="s">
        <v>853</v>
      </c>
    </row>
    <row r="401" spans="1:3" x14ac:dyDescent="0.3">
      <c r="A401" s="100">
        <v>2206</v>
      </c>
      <c r="B401" s="100" t="s">
        <v>842</v>
      </c>
      <c r="C401" s="100" t="s">
        <v>853</v>
      </c>
    </row>
    <row r="402" spans="1:3" x14ac:dyDescent="0.3">
      <c r="A402" s="100">
        <v>2241</v>
      </c>
      <c r="B402" s="100" t="s">
        <v>842</v>
      </c>
      <c r="C402" s="100" t="s">
        <v>853</v>
      </c>
    </row>
    <row r="403" spans="1:3" x14ac:dyDescent="0.3">
      <c r="A403" s="100">
        <v>127</v>
      </c>
      <c r="B403" s="100" t="s">
        <v>842</v>
      </c>
      <c r="C403" s="100" t="s">
        <v>853</v>
      </c>
    </row>
    <row r="404" spans="1:3" x14ac:dyDescent="0.3">
      <c r="A404" s="100">
        <v>3706</v>
      </c>
      <c r="B404" s="100" t="s">
        <v>842</v>
      </c>
      <c r="C404" s="100" t="s">
        <v>853</v>
      </c>
    </row>
    <row r="405" spans="1:3" x14ac:dyDescent="0.3">
      <c r="A405" s="100">
        <v>493</v>
      </c>
      <c r="B405" s="100" t="s">
        <v>842</v>
      </c>
      <c r="C405" s="100" t="s">
        <v>855</v>
      </c>
    </row>
    <row r="406" spans="1:3" x14ac:dyDescent="0.3">
      <c r="A406" s="100">
        <v>1437</v>
      </c>
      <c r="B406" s="100" t="s">
        <v>842</v>
      </c>
      <c r="C406" s="100" t="s">
        <v>855</v>
      </c>
    </row>
    <row r="407" spans="1:3" x14ac:dyDescent="0.3">
      <c r="A407" s="100">
        <v>1497</v>
      </c>
      <c r="B407" s="100" t="s">
        <v>842</v>
      </c>
      <c r="C407" s="100" t="s">
        <v>855</v>
      </c>
    </row>
    <row r="408" spans="1:3" x14ac:dyDescent="0.3">
      <c r="A408" s="100">
        <v>1568</v>
      </c>
      <c r="B408" s="100" t="s">
        <v>842</v>
      </c>
      <c r="C408" s="100" t="s">
        <v>855</v>
      </c>
    </row>
    <row r="409" spans="1:3" x14ac:dyDescent="0.3">
      <c r="A409" s="100">
        <v>1578</v>
      </c>
      <c r="B409" s="100" t="s">
        <v>842</v>
      </c>
      <c r="C409" s="100" t="s">
        <v>855</v>
      </c>
    </row>
    <row r="410" spans="1:3" x14ac:dyDescent="0.3">
      <c r="A410" s="100">
        <v>1586</v>
      </c>
      <c r="B410" s="100" t="s">
        <v>842</v>
      </c>
      <c r="C410" s="100" t="s">
        <v>855</v>
      </c>
    </row>
    <row r="411" spans="1:3" x14ac:dyDescent="0.3">
      <c r="A411" s="100">
        <v>1719</v>
      </c>
      <c r="B411" s="100" t="s">
        <v>842</v>
      </c>
      <c r="C411" s="100" t="s">
        <v>855</v>
      </c>
    </row>
    <row r="412" spans="1:3" x14ac:dyDescent="0.3">
      <c r="A412" s="100">
        <v>1725</v>
      </c>
      <c r="B412" s="100" t="s">
        <v>842</v>
      </c>
      <c r="C412" s="100" t="s">
        <v>855</v>
      </c>
    </row>
    <row r="413" spans="1:3" x14ac:dyDescent="0.3">
      <c r="A413" s="100">
        <v>1754</v>
      </c>
      <c r="B413" s="100" t="s">
        <v>842</v>
      </c>
      <c r="C413" s="100" t="s">
        <v>855</v>
      </c>
    </row>
    <row r="414" spans="1:3" x14ac:dyDescent="0.3">
      <c r="A414" s="100">
        <v>1802</v>
      </c>
      <c r="B414" s="100" t="s">
        <v>842</v>
      </c>
      <c r="C414" s="100" t="s">
        <v>855</v>
      </c>
    </row>
    <row r="415" spans="1:3" x14ac:dyDescent="0.3">
      <c r="A415" s="100">
        <v>1925</v>
      </c>
      <c r="B415" s="100" t="s">
        <v>842</v>
      </c>
      <c r="C415" s="100" t="s">
        <v>855</v>
      </c>
    </row>
    <row r="416" spans="1:3" x14ac:dyDescent="0.3">
      <c r="A416" s="100">
        <v>2029</v>
      </c>
      <c r="B416" s="100" t="s">
        <v>842</v>
      </c>
      <c r="C416" s="100" t="s">
        <v>855</v>
      </c>
    </row>
    <row r="417" spans="1:3" x14ac:dyDescent="0.3">
      <c r="A417" s="100">
        <v>1945</v>
      </c>
      <c r="B417" s="100" t="s">
        <v>842</v>
      </c>
      <c r="C417" s="100" t="s">
        <v>855</v>
      </c>
    </row>
    <row r="418" spans="1:3" x14ac:dyDescent="0.3">
      <c r="A418" s="100">
        <v>1970</v>
      </c>
      <c r="B418" s="100" t="s">
        <v>842</v>
      </c>
      <c r="C418" s="100" t="s">
        <v>855</v>
      </c>
    </row>
    <row r="419" spans="1:3" x14ac:dyDescent="0.3">
      <c r="A419" s="100">
        <v>2228</v>
      </c>
      <c r="B419" s="100" t="s">
        <v>842</v>
      </c>
      <c r="C419" s="100" t="s">
        <v>855</v>
      </c>
    </row>
    <row r="420" spans="1:3" x14ac:dyDescent="0.3">
      <c r="A420" s="100">
        <v>2692</v>
      </c>
      <c r="B420" s="100" t="s">
        <v>842</v>
      </c>
      <c r="C420" s="100" t="s">
        <v>855</v>
      </c>
    </row>
    <row r="421" spans="1:3" x14ac:dyDescent="0.3">
      <c r="A421" s="100">
        <v>3421</v>
      </c>
      <c r="B421" s="100" t="s">
        <v>842</v>
      </c>
      <c r="C421" s="100" t="s">
        <v>855</v>
      </c>
    </row>
    <row r="422" spans="1:3" x14ac:dyDescent="0.3">
      <c r="A422" s="100">
        <v>3714</v>
      </c>
      <c r="B422" s="100" t="s">
        <v>842</v>
      </c>
      <c r="C422" s="100" t="s">
        <v>855</v>
      </c>
    </row>
    <row r="423" spans="1:3" x14ac:dyDescent="0.3">
      <c r="A423" s="100">
        <v>3715</v>
      </c>
      <c r="B423" s="100" t="s">
        <v>842</v>
      </c>
      <c r="C423" s="100" t="s">
        <v>855</v>
      </c>
    </row>
    <row r="424" spans="1:3" x14ac:dyDescent="0.3">
      <c r="A424" s="100">
        <v>3756</v>
      </c>
      <c r="B424" s="100" t="s">
        <v>842</v>
      </c>
      <c r="C424" s="100" t="s">
        <v>855</v>
      </c>
    </row>
    <row r="425" spans="1:3" x14ac:dyDescent="0.3">
      <c r="A425" s="100">
        <v>1854</v>
      </c>
      <c r="B425" s="100" t="s">
        <v>842</v>
      </c>
      <c r="C425" s="100" t="s">
        <v>878</v>
      </c>
    </row>
    <row r="426" spans="1:3" x14ac:dyDescent="0.3">
      <c r="A426" s="100">
        <v>1877</v>
      </c>
      <c r="B426" s="100" t="s">
        <v>842</v>
      </c>
      <c r="C426" s="100" t="s">
        <v>878</v>
      </c>
    </row>
    <row r="427" spans="1:3" x14ac:dyDescent="0.3">
      <c r="A427" s="100">
        <v>1715</v>
      </c>
      <c r="B427" s="100" t="s">
        <v>842</v>
      </c>
      <c r="C427" s="100" t="s">
        <v>880</v>
      </c>
    </row>
    <row r="428" spans="1:3" x14ac:dyDescent="0.3">
      <c r="A428" s="100">
        <v>1756</v>
      </c>
      <c r="B428" s="100" t="s">
        <v>842</v>
      </c>
      <c r="C428" s="100" t="s">
        <v>880</v>
      </c>
    </row>
    <row r="429" spans="1:3" x14ac:dyDescent="0.3">
      <c r="A429" s="100">
        <v>1906</v>
      </c>
      <c r="B429" s="100" t="s">
        <v>842</v>
      </c>
      <c r="C429" s="100" t="s">
        <v>880</v>
      </c>
    </row>
    <row r="430" spans="1:3" x14ac:dyDescent="0.3">
      <c r="A430" s="100">
        <v>1832</v>
      </c>
      <c r="B430" s="100" t="s">
        <v>842</v>
      </c>
      <c r="C430" s="100" t="s">
        <v>883</v>
      </c>
    </row>
    <row r="431" spans="1:3" x14ac:dyDescent="0.3">
      <c r="A431" s="100">
        <v>1974</v>
      </c>
      <c r="B431" s="100" t="s">
        <v>842</v>
      </c>
      <c r="C431" s="100" t="s">
        <v>883</v>
      </c>
    </row>
    <row r="432" spans="1:3" x14ac:dyDescent="0.3">
      <c r="A432" s="100">
        <v>2009</v>
      </c>
      <c r="B432" s="100" t="s">
        <v>842</v>
      </c>
      <c r="C432" s="100" t="s">
        <v>883</v>
      </c>
    </row>
    <row r="433" spans="1:3" x14ac:dyDescent="0.3">
      <c r="A433" s="100">
        <v>2733</v>
      </c>
      <c r="B433" s="100" t="s">
        <v>842</v>
      </c>
      <c r="C433" s="100" t="s">
        <v>883</v>
      </c>
    </row>
    <row r="434" spans="1:3" x14ac:dyDescent="0.3">
      <c r="A434" s="100">
        <v>3268</v>
      </c>
      <c r="B434" s="100" t="s">
        <v>842</v>
      </c>
      <c r="C434" s="100" t="s">
        <v>883</v>
      </c>
    </row>
    <row r="435" spans="1:3" x14ac:dyDescent="0.3">
      <c r="A435" s="100">
        <v>81</v>
      </c>
      <c r="B435" s="100" t="s">
        <v>842</v>
      </c>
      <c r="C435" s="100" t="s">
        <v>888</v>
      </c>
    </row>
    <row r="436" spans="1:3" x14ac:dyDescent="0.3">
      <c r="A436" s="100">
        <v>475</v>
      </c>
      <c r="B436" s="100" t="s">
        <v>842</v>
      </c>
      <c r="C436" s="100" t="s">
        <v>888</v>
      </c>
    </row>
    <row r="437" spans="1:3" x14ac:dyDescent="0.3">
      <c r="A437" s="100">
        <v>492</v>
      </c>
      <c r="B437" s="100" t="s">
        <v>842</v>
      </c>
      <c r="C437" s="100" t="s">
        <v>888</v>
      </c>
    </row>
    <row r="438" spans="1:3" x14ac:dyDescent="0.3">
      <c r="A438" s="100">
        <v>551</v>
      </c>
      <c r="B438" s="100" t="s">
        <v>842</v>
      </c>
      <c r="C438" s="100" t="s">
        <v>888</v>
      </c>
    </row>
    <row r="439" spans="1:3" x14ac:dyDescent="0.3">
      <c r="A439" s="100">
        <v>1165</v>
      </c>
      <c r="B439" s="100" t="s">
        <v>842</v>
      </c>
      <c r="C439" s="100" t="s">
        <v>888</v>
      </c>
    </row>
    <row r="440" spans="1:3" x14ac:dyDescent="0.3">
      <c r="A440" s="100">
        <v>1456</v>
      </c>
      <c r="B440" s="100" t="s">
        <v>842</v>
      </c>
      <c r="C440" s="100" t="s">
        <v>888</v>
      </c>
    </row>
    <row r="441" spans="1:3" x14ac:dyDescent="0.3">
      <c r="A441" s="100">
        <v>1570</v>
      </c>
      <c r="B441" s="100" t="s">
        <v>842</v>
      </c>
      <c r="C441" s="100" t="s">
        <v>888</v>
      </c>
    </row>
    <row r="442" spans="1:3" x14ac:dyDescent="0.3">
      <c r="A442" s="100">
        <v>1610</v>
      </c>
      <c r="B442" s="100" t="s">
        <v>842</v>
      </c>
      <c r="C442" s="100" t="s">
        <v>888</v>
      </c>
    </row>
    <row r="443" spans="1:3" x14ac:dyDescent="0.3">
      <c r="A443" s="100">
        <v>1890</v>
      </c>
      <c r="B443" s="100" t="s">
        <v>842</v>
      </c>
      <c r="C443" s="100" t="s">
        <v>888</v>
      </c>
    </row>
    <row r="444" spans="1:3" x14ac:dyDescent="0.3">
      <c r="A444" s="100">
        <v>2006</v>
      </c>
      <c r="B444" s="100" t="s">
        <v>842</v>
      </c>
      <c r="C444" s="100" t="s">
        <v>888</v>
      </c>
    </row>
    <row r="445" spans="1:3" x14ac:dyDescent="0.3">
      <c r="A445" s="100">
        <v>2015</v>
      </c>
      <c r="B445" s="100" t="s">
        <v>842</v>
      </c>
      <c r="C445" s="100" t="s">
        <v>888</v>
      </c>
    </row>
    <row r="446" spans="1:3" x14ac:dyDescent="0.3">
      <c r="A446" s="100">
        <v>2190</v>
      </c>
      <c r="B446" s="100" t="s">
        <v>842</v>
      </c>
      <c r="C446" s="100" t="s">
        <v>888</v>
      </c>
    </row>
    <row r="447" spans="1:3" x14ac:dyDescent="0.3">
      <c r="A447" s="100">
        <v>2622</v>
      </c>
      <c r="B447" s="100" t="s">
        <v>842</v>
      </c>
      <c r="C447" s="100" t="s">
        <v>888</v>
      </c>
    </row>
    <row r="448" spans="1:3" x14ac:dyDescent="0.3">
      <c r="A448" s="100">
        <v>3296</v>
      </c>
      <c r="B448" s="100" t="s">
        <v>842</v>
      </c>
      <c r="C448" s="100" t="s">
        <v>888</v>
      </c>
    </row>
    <row r="449" spans="1:3" x14ac:dyDescent="0.3">
      <c r="A449" s="100">
        <v>3856</v>
      </c>
      <c r="B449" s="100" t="s">
        <v>842</v>
      </c>
      <c r="C449" s="100" t="s">
        <v>888</v>
      </c>
    </row>
    <row r="450" spans="1:3" x14ac:dyDescent="0.3">
      <c r="A450" s="100">
        <v>446</v>
      </c>
      <c r="B450" s="100" t="s">
        <v>842</v>
      </c>
      <c r="C450" s="100" t="s">
        <v>858</v>
      </c>
    </row>
    <row r="451" spans="1:3" x14ac:dyDescent="0.3">
      <c r="A451" s="100">
        <v>874</v>
      </c>
      <c r="B451" s="100" t="s">
        <v>842</v>
      </c>
      <c r="C451" s="100" t="s">
        <v>858</v>
      </c>
    </row>
    <row r="452" spans="1:3" x14ac:dyDescent="0.3">
      <c r="A452" s="100">
        <v>1115</v>
      </c>
      <c r="B452" s="100" t="s">
        <v>842</v>
      </c>
      <c r="C452" s="100" t="s">
        <v>858</v>
      </c>
    </row>
    <row r="453" spans="1:3" x14ac:dyDescent="0.3">
      <c r="A453" s="100">
        <v>1458</v>
      </c>
      <c r="B453" s="100" t="s">
        <v>842</v>
      </c>
      <c r="C453" s="100" t="s">
        <v>858</v>
      </c>
    </row>
    <row r="454" spans="1:3" x14ac:dyDescent="0.3">
      <c r="A454" s="100">
        <v>1583</v>
      </c>
      <c r="B454" s="100" t="s">
        <v>842</v>
      </c>
      <c r="C454" s="100" t="s">
        <v>858</v>
      </c>
    </row>
    <row r="455" spans="1:3" x14ac:dyDescent="0.3">
      <c r="A455" s="100">
        <v>1584</v>
      </c>
      <c r="B455" s="100" t="s">
        <v>842</v>
      </c>
      <c r="C455" s="100" t="s">
        <v>858</v>
      </c>
    </row>
    <row r="456" spans="1:3" x14ac:dyDescent="0.3">
      <c r="A456" s="100">
        <v>1626</v>
      </c>
      <c r="B456" s="100" t="s">
        <v>842</v>
      </c>
      <c r="C456" s="100" t="s">
        <v>858</v>
      </c>
    </row>
    <row r="457" spans="1:3" x14ac:dyDescent="0.3">
      <c r="A457" s="100">
        <v>1708</v>
      </c>
      <c r="B457" s="100" t="s">
        <v>842</v>
      </c>
      <c r="C457" s="100" t="s">
        <v>858</v>
      </c>
    </row>
    <row r="458" spans="1:3" x14ac:dyDescent="0.3">
      <c r="A458" s="100">
        <v>1747</v>
      </c>
      <c r="B458" s="100" t="s">
        <v>842</v>
      </c>
      <c r="C458" s="100" t="s">
        <v>858</v>
      </c>
    </row>
    <row r="459" spans="1:3" x14ac:dyDescent="0.3">
      <c r="A459" s="100">
        <v>1833</v>
      </c>
      <c r="B459" s="100" t="s">
        <v>842</v>
      </c>
      <c r="C459" s="100" t="s">
        <v>858</v>
      </c>
    </row>
    <row r="460" spans="1:3" x14ac:dyDescent="0.3">
      <c r="A460" s="100">
        <v>1834</v>
      </c>
      <c r="B460" s="100" t="s">
        <v>842</v>
      </c>
      <c r="C460" s="100" t="s">
        <v>858</v>
      </c>
    </row>
    <row r="461" spans="1:3" x14ac:dyDescent="0.3">
      <c r="A461" s="100">
        <v>1848</v>
      </c>
      <c r="B461" s="100" t="s">
        <v>842</v>
      </c>
      <c r="C461" s="100" t="s">
        <v>858</v>
      </c>
    </row>
    <row r="462" spans="1:3" x14ac:dyDescent="0.3">
      <c r="A462" s="100">
        <v>1918</v>
      </c>
      <c r="B462" s="100" t="s">
        <v>842</v>
      </c>
      <c r="C462" s="100" t="s">
        <v>858</v>
      </c>
    </row>
    <row r="463" spans="1:3" x14ac:dyDescent="0.3">
      <c r="A463" s="100">
        <v>2117</v>
      </c>
      <c r="B463" s="100" t="s">
        <v>842</v>
      </c>
      <c r="C463" s="100" t="s">
        <v>858</v>
      </c>
    </row>
    <row r="464" spans="1:3" x14ac:dyDescent="0.3">
      <c r="A464" s="100">
        <v>2207</v>
      </c>
      <c r="B464" s="100" t="s">
        <v>842</v>
      </c>
      <c r="C464" s="100" t="s">
        <v>858</v>
      </c>
    </row>
    <row r="465" spans="1:3" x14ac:dyDescent="0.3">
      <c r="A465" s="100">
        <v>2212</v>
      </c>
      <c r="B465" s="100" t="s">
        <v>842</v>
      </c>
      <c r="C465" s="100" t="s">
        <v>858</v>
      </c>
    </row>
    <row r="466" spans="1:3" x14ac:dyDescent="0.3">
      <c r="A466" s="100">
        <v>2620</v>
      </c>
      <c r="B466" s="100" t="s">
        <v>842</v>
      </c>
      <c r="C466" s="100" t="s">
        <v>858</v>
      </c>
    </row>
    <row r="467" spans="1:3" x14ac:dyDescent="0.3">
      <c r="A467" s="100">
        <v>2699</v>
      </c>
      <c r="B467" s="100" t="s">
        <v>842</v>
      </c>
      <c r="C467" s="100" t="s">
        <v>858</v>
      </c>
    </row>
    <row r="468" spans="1:3" x14ac:dyDescent="0.3">
      <c r="A468" s="100">
        <v>2700</v>
      </c>
      <c r="B468" s="100" t="s">
        <v>842</v>
      </c>
      <c r="C468" s="100" t="s">
        <v>858</v>
      </c>
    </row>
    <row r="469" spans="1:3" x14ac:dyDescent="0.3">
      <c r="A469" s="100">
        <v>3649</v>
      </c>
      <c r="B469" s="100" t="s">
        <v>842</v>
      </c>
      <c r="C469" s="100" t="s">
        <v>858</v>
      </c>
    </row>
    <row r="470" spans="1:3" x14ac:dyDescent="0.3">
      <c r="A470" s="100">
        <v>3651</v>
      </c>
      <c r="B470" s="100" t="s">
        <v>842</v>
      </c>
      <c r="C470" s="100" t="s">
        <v>858</v>
      </c>
    </row>
    <row r="471" spans="1:3" x14ac:dyDescent="0.3">
      <c r="A471" s="100">
        <v>3652</v>
      </c>
      <c r="B471" s="100" t="s">
        <v>842</v>
      </c>
      <c r="C471" s="100" t="s">
        <v>858</v>
      </c>
    </row>
    <row r="472" spans="1:3" x14ac:dyDescent="0.3">
      <c r="A472" s="100">
        <v>3726</v>
      </c>
      <c r="B472" s="100" t="s">
        <v>842</v>
      </c>
      <c r="C472" s="100" t="s">
        <v>858</v>
      </c>
    </row>
    <row r="473" spans="1:3" x14ac:dyDescent="0.3">
      <c r="A473" s="100">
        <v>1988</v>
      </c>
      <c r="B473" s="100" t="s">
        <v>842</v>
      </c>
      <c r="C473" s="100" t="s">
        <v>863</v>
      </c>
    </row>
    <row r="474" spans="1:3" x14ac:dyDescent="0.3">
      <c r="A474" s="100">
        <v>2038</v>
      </c>
      <c r="B474" s="100" t="s">
        <v>842</v>
      </c>
      <c r="C474" s="100" t="s">
        <v>863</v>
      </c>
    </row>
    <row r="475" spans="1:3" x14ac:dyDescent="0.3">
      <c r="A475" s="100">
        <v>2133</v>
      </c>
      <c r="B475" s="100" t="s">
        <v>842</v>
      </c>
      <c r="C475" s="100" t="s">
        <v>863</v>
      </c>
    </row>
    <row r="476" spans="1:3" x14ac:dyDescent="0.3">
      <c r="A476" s="100">
        <v>2197</v>
      </c>
      <c r="B476" s="100" t="s">
        <v>842</v>
      </c>
      <c r="C476" s="100" t="s">
        <v>863</v>
      </c>
    </row>
    <row r="477" spans="1:3" x14ac:dyDescent="0.3">
      <c r="A477" s="100">
        <v>2201</v>
      </c>
      <c r="B477" s="100" t="s">
        <v>842</v>
      </c>
      <c r="C477" s="100" t="s">
        <v>863</v>
      </c>
    </row>
    <row r="478" spans="1:3" x14ac:dyDescent="0.3">
      <c r="A478" s="100">
        <v>2230</v>
      </c>
      <c r="B478" s="100" t="s">
        <v>842</v>
      </c>
      <c r="C478" s="100" t="s">
        <v>863</v>
      </c>
    </row>
    <row r="479" spans="1:3" x14ac:dyDescent="0.3">
      <c r="A479" s="100">
        <v>2717</v>
      </c>
      <c r="B479" s="100" t="s">
        <v>842</v>
      </c>
      <c r="C479" s="100" t="s">
        <v>863</v>
      </c>
    </row>
    <row r="480" spans="1:3" x14ac:dyDescent="0.3">
      <c r="A480" s="100">
        <v>3222</v>
      </c>
      <c r="B480" s="100" t="s">
        <v>842</v>
      </c>
      <c r="C480" s="100" t="s">
        <v>863</v>
      </c>
    </row>
    <row r="481" spans="1:3" x14ac:dyDescent="0.3">
      <c r="A481" s="100">
        <v>1140</v>
      </c>
      <c r="B481" s="100" t="s">
        <v>842</v>
      </c>
      <c r="C481" s="100" t="s">
        <v>867</v>
      </c>
    </row>
    <row r="482" spans="1:3" x14ac:dyDescent="0.3">
      <c r="A482" s="100">
        <v>1680</v>
      </c>
      <c r="B482" s="100" t="s">
        <v>842</v>
      </c>
      <c r="C482" s="100" t="s">
        <v>867</v>
      </c>
    </row>
    <row r="483" spans="1:3" x14ac:dyDescent="0.3">
      <c r="A483" s="100">
        <v>1681</v>
      </c>
      <c r="B483" s="100" t="s">
        <v>842</v>
      </c>
      <c r="C483" s="100" t="s">
        <v>867</v>
      </c>
    </row>
    <row r="484" spans="1:3" x14ac:dyDescent="0.3">
      <c r="A484" s="100">
        <v>1775</v>
      </c>
      <c r="B484" s="100" t="s">
        <v>842</v>
      </c>
      <c r="C484" s="100" t="s">
        <v>867</v>
      </c>
    </row>
    <row r="485" spans="1:3" x14ac:dyDescent="0.3">
      <c r="A485" s="100">
        <v>1809</v>
      </c>
      <c r="B485" s="100" t="s">
        <v>842</v>
      </c>
      <c r="C485" s="100" t="s">
        <v>867</v>
      </c>
    </row>
    <row r="486" spans="1:3" x14ac:dyDescent="0.3">
      <c r="A486" s="100">
        <v>2134</v>
      </c>
      <c r="B486" s="100" t="s">
        <v>842</v>
      </c>
      <c r="C486" s="100" t="s">
        <v>867</v>
      </c>
    </row>
    <row r="487" spans="1:3" x14ac:dyDescent="0.3">
      <c r="A487" s="100">
        <v>1557</v>
      </c>
      <c r="B487" s="100" t="s">
        <v>842</v>
      </c>
      <c r="C487" s="100" t="s">
        <v>872</v>
      </c>
    </row>
    <row r="488" spans="1:3" x14ac:dyDescent="0.3">
      <c r="A488" s="100">
        <v>1860</v>
      </c>
      <c r="B488" s="100" t="s">
        <v>842</v>
      </c>
      <c r="C488" s="100" t="s">
        <v>872</v>
      </c>
    </row>
    <row r="489" spans="1:3" x14ac:dyDescent="0.3">
      <c r="A489" s="100">
        <v>2173</v>
      </c>
      <c r="B489" s="100" t="s">
        <v>842</v>
      </c>
      <c r="C489" s="100" t="s">
        <v>872</v>
      </c>
    </row>
    <row r="490" spans="1:3" x14ac:dyDescent="0.3">
      <c r="A490" s="100">
        <v>1541</v>
      </c>
      <c r="B490" s="100" t="s">
        <v>842</v>
      </c>
      <c r="C490" s="100" t="s">
        <v>873</v>
      </c>
    </row>
    <row r="491" spans="1:3" x14ac:dyDescent="0.3">
      <c r="A491" s="100">
        <v>1555</v>
      </c>
      <c r="B491" s="100" t="s">
        <v>842</v>
      </c>
      <c r="C491" s="100" t="s">
        <v>873</v>
      </c>
    </row>
    <row r="492" spans="1:3" x14ac:dyDescent="0.3">
      <c r="A492" s="100">
        <v>3305</v>
      </c>
      <c r="B492" s="100" t="s">
        <v>842</v>
      </c>
      <c r="C492" s="100" t="s">
        <v>873</v>
      </c>
    </row>
    <row r="493" spans="1:3" x14ac:dyDescent="0.3">
      <c r="A493" s="100">
        <v>3627</v>
      </c>
      <c r="B493" s="100" t="s">
        <v>842</v>
      </c>
      <c r="C493" s="100" t="s">
        <v>873</v>
      </c>
    </row>
    <row r="494" spans="1:3" x14ac:dyDescent="0.3">
      <c r="A494" s="100">
        <v>1733</v>
      </c>
      <c r="B494" s="100" t="s">
        <v>842</v>
      </c>
      <c r="C494" s="100" t="s">
        <v>875</v>
      </c>
    </row>
    <row r="495" spans="1:3" x14ac:dyDescent="0.3">
      <c r="A495" s="100">
        <v>2040</v>
      </c>
      <c r="B495" s="100" t="s">
        <v>842</v>
      </c>
      <c r="C495" s="100" t="s">
        <v>875</v>
      </c>
    </row>
    <row r="496" spans="1:3" x14ac:dyDescent="0.3">
      <c r="A496" s="100">
        <v>2127</v>
      </c>
      <c r="B496" s="100" t="s">
        <v>842</v>
      </c>
      <c r="C496" s="100" t="s">
        <v>875</v>
      </c>
    </row>
    <row r="497" spans="1:3" x14ac:dyDescent="0.3">
      <c r="A497" s="100">
        <v>76</v>
      </c>
      <c r="B497" s="100" t="s">
        <v>842</v>
      </c>
      <c r="C497" s="100" t="s">
        <v>877</v>
      </c>
    </row>
    <row r="498" spans="1:3" x14ac:dyDescent="0.3">
      <c r="A498" s="100">
        <v>1647</v>
      </c>
      <c r="B498" s="100" t="s">
        <v>842</v>
      </c>
      <c r="C498" s="100" t="s">
        <v>877</v>
      </c>
    </row>
    <row r="499" spans="1:3" x14ac:dyDescent="0.3">
      <c r="A499" s="100">
        <v>2141</v>
      </c>
      <c r="B499" s="100" t="s">
        <v>842</v>
      </c>
      <c r="C499" s="100" t="s">
        <v>877</v>
      </c>
    </row>
    <row r="500" spans="1:3" x14ac:dyDescent="0.3">
      <c r="A500" s="100">
        <v>2192</v>
      </c>
      <c r="B500" s="100" t="s">
        <v>842</v>
      </c>
      <c r="C500" s="100" t="s">
        <v>877</v>
      </c>
    </row>
    <row r="501" spans="1:3" x14ac:dyDescent="0.3">
      <c r="A501" s="100">
        <v>2195</v>
      </c>
      <c r="B501" s="100" t="s">
        <v>842</v>
      </c>
      <c r="C501" s="100" t="s">
        <v>877</v>
      </c>
    </row>
    <row r="502" spans="1:3" x14ac:dyDescent="0.3">
      <c r="A502" s="100">
        <v>2723</v>
      </c>
      <c r="B502" s="100" t="s">
        <v>842</v>
      </c>
      <c r="C502" s="100" t="s">
        <v>877</v>
      </c>
    </row>
    <row r="503" spans="1:3" x14ac:dyDescent="0.3">
      <c r="A503" s="100">
        <v>1649</v>
      </c>
      <c r="B503" s="100" t="s">
        <v>842</v>
      </c>
      <c r="C503" s="100" t="s">
        <v>884</v>
      </c>
    </row>
    <row r="504" spans="1:3" x14ac:dyDescent="0.3">
      <c r="A504" s="100">
        <v>1720</v>
      </c>
      <c r="B504" s="100" t="s">
        <v>842</v>
      </c>
      <c r="C504" s="100" t="s">
        <v>884</v>
      </c>
    </row>
    <row r="505" spans="1:3" x14ac:dyDescent="0.3">
      <c r="A505" s="100">
        <v>1721</v>
      </c>
      <c r="B505" s="100" t="s">
        <v>842</v>
      </c>
      <c r="C505" s="100" t="s">
        <v>884</v>
      </c>
    </row>
    <row r="506" spans="1:3" x14ac:dyDescent="0.3">
      <c r="A506" s="100">
        <v>2011</v>
      </c>
      <c r="B506" s="100" t="s">
        <v>842</v>
      </c>
      <c r="C506" s="100" t="s">
        <v>884</v>
      </c>
    </row>
    <row r="507" spans="1:3" x14ac:dyDescent="0.3">
      <c r="A507" s="100">
        <v>724</v>
      </c>
      <c r="B507" s="100" t="s">
        <v>842</v>
      </c>
      <c r="C507" s="100" t="s">
        <v>887</v>
      </c>
    </row>
    <row r="508" spans="1:3" x14ac:dyDescent="0.3">
      <c r="A508" s="100">
        <v>1617</v>
      </c>
      <c r="B508" s="100" t="s">
        <v>842</v>
      </c>
      <c r="C508" s="100" t="s">
        <v>887</v>
      </c>
    </row>
    <row r="509" spans="1:3" x14ac:dyDescent="0.3">
      <c r="A509" s="100">
        <v>1620</v>
      </c>
      <c r="B509" s="100" t="s">
        <v>842</v>
      </c>
      <c r="C509" s="100" t="s">
        <v>887</v>
      </c>
    </row>
    <row r="510" spans="1:3" x14ac:dyDescent="0.3">
      <c r="A510" s="100">
        <v>1665</v>
      </c>
      <c r="B510" s="100" t="s">
        <v>842</v>
      </c>
      <c r="C510" s="100" t="s">
        <v>887</v>
      </c>
    </row>
    <row r="511" spans="1:3" x14ac:dyDescent="0.3">
      <c r="A511" s="100">
        <v>1717</v>
      </c>
      <c r="B511" s="100" t="s">
        <v>842</v>
      </c>
      <c r="C511" s="100" t="s">
        <v>887</v>
      </c>
    </row>
    <row r="512" spans="1:3" x14ac:dyDescent="0.3">
      <c r="A512" s="100">
        <v>2032</v>
      </c>
      <c r="B512" s="100" t="s">
        <v>842</v>
      </c>
      <c r="C512" s="100" t="s">
        <v>887</v>
      </c>
    </row>
    <row r="513" spans="1:3" x14ac:dyDescent="0.3">
      <c r="A513" s="100">
        <v>3765</v>
      </c>
      <c r="B513" s="100" t="s">
        <v>842</v>
      </c>
      <c r="C513" s="100" t="s">
        <v>891</v>
      </c>
    </row>
    <row r="514" spans="1:3" x14ac:dyDescent="0.3">
      <c r="A514" s="100">
        <v>3804</v>
      </c>
      <c r="B514" s="100" t="s">
        <v>842</v>
      </c>
      <c r="C514" s="100" t="s">
        <v>891</v>
      </c>
    </row>
    <row r="515" spans="1:3" x14ac:dyDescent="0.3">
      <c r="A515" s="100">
        <v>3844</v>
      </c>
      <c r="B515" s="100" t="s">
        <v>842</v>
      </c>
      <c r="C515" s="100" t="s">
        <v>891</v>
      </c>
    </row>
    <row r="516" spans="1:3" x14ac:dyDescent="0.3">
      <c r="A516" s="100">
        <v>3826</v>
      </c>
      <c r="B516" s="100" t="s">
        <v>842</v>
      </c>
      <c r="C516" s="100" t="s">
        <v>892</v>
      </c>
    </row>
    <row r="517" spans="1:3" x14ac:dyDescent="0.3">
      <c r="A517" s="100">
        <v>3840</v>
      </c>
      <c r="B517" s="100" t="s">
        <v>842</v>
      </c>
      <c r="C517" s="100" t="s">
        <v>892</v>
      </c>
    </row>
    <row r="518" spans="1:3" x14ac:dyDescent="0.3">
      <c r="A518" s="100">
        <v>3841</v>
      </c>
      <c r="B518" s="100" t="s">
        <v>842</v>
      </c>
      <c r="C518" s="100" t="s">
        <v>892</v>
      </c>
    </row>
    <row r="519" spans="1:3" x14ac:dyDescent="0.3">
      <c r="A519" s="100">
        <v>1964</v>
      </c>
      <c r="B519" s="100" t="s">
        <v>842</v>
      </c>
      <c r="C519" s="100" t="s">
        <v>893</v>
      </c>
    </row>
  </sheetData>
  <autoFilter ref="A2:C519"/>
  <pageMargins left="0.70000004768371582" right="0.70000004768371582" top="0.75" bottom="0.75" header="0.30000001192092896" footer="0.3000000119209289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8"/>
  <sheetViews>
    <sheetView workbookViewId="0"/>
  </sheetViews>
  <sheetFormatPr defaultColWidth="9.109375" defaultRowHeight="14.4" x14ac:dyDescent="0.3"/>
  <cols>
    <col min="1" max="1" width="10.33203125" customWidth="1"/>
    <col min="2" max="2" width="18.88671875" customWidth="1"/>
    <col min="3" max="3" width="19" customWidth="1"/>
    <col min="4" max="4" width="33.109375" customWidth="1"/>
    <col min="5" max="5" width="16.88671875" customWidth="1"/>
    <col min="6" max="6" width="17.44140625" customWidth="1"/>
    <col min="7" max="7" width="22.5546875" bestFit="1" customWidth="1"/>
    <col min="8" max="8" width="36.33203125" customWidth="1"/>
  </cols>
  <sheetData>
    <row r="1" spans="1:8" x14ac:dyDescent="0.3">
      <c r="A1" s="101" t="s">
        <v>897</v>
      </c>
    </row>
    <row r="2" spans="1:8" x14ac:dyDescent="0.3">
      <c r="A2" s="77"/>
    </row>
    <row r="3" spans="1:8" x14ac:dyDescent="0.3">
      <c r="B3" s="102" t="s">
        <v>898</v>
      </c>
      <c r="C3" s="102" t="s">
        <v>899</v>
      </c>
      <c r="D3" s="102" t="s">
        <v>900</v>
      </c>
      <c r="E3" s="102" t="s">
        <v>901</v>
      </c>
      <c r="F3" s="102" t="s">
        <v>902</v>
      </c>
      <c r="G3" s="102" t="s">
        <v>903</v>
      </c>
      <c r="H3" s="102" t="s">
        <v>904</v>
      </c>
    </row>
    <row r="4" spans="1:8" x14ac:dyDescent="0.3">
      <c r="B4" s="100"/>
      <c r="C4" s="100"/>
      <c r="D4" s="100"/>
      <c r="E4" s="100"/>
      <c r="F4" s="100"/>
      <c r="G4" s="100"/>
      <c r="H4" s="100"/>
    </row>
    <row r="5" spans="1:8" x14ac:dyDescent="0.3">
      <c r="B5" s="100"/>
      <c r="C5" s="100"/>
      <c r="D5" s="100"/>
      <c r="E5" s="100"/>
      <c r="F5" s="100"/>
      <c r="G5" s="100"/>
      <c r="H5" s="100"/>
    </row>
    <row r="6" spans="1:8" x14ac:dyDescent="0.3">
      <c r="B6" s="100"/>
      <c r="C6" s="100"/>
      <c r="D6" s="100"/>
      <c r="E6" s="100"/>
      <c r="F6" s="100"/>
      <c r="G6" s="100"/>
      <c r="H6" s="100"/>
    </row>
    <row r="7" spans="1:8" x14ac:dyDescent="0.3">
      <c r="B7" s="100"/>
      <c r="C7" s="100"/>
      <c r="D7" s="100"/>
      <c r="E7" s="100"/>
      <c r="F7" s="100"/>
      <c r="G7" s="100"/>
      <c r="H7" s="100"/>
    </row>
    <row r="8" spans="1:8" x14ac:dyDescent="0.3">
      <c r="B8" s="100"/>
      <c r="C8" s="100"/>
      <c r="D8" s="100"/>
      <c r="E8" s="100"/>
      <c r="F8" s="100"/>
      <c r="G8" s="100"/>
      <c r="H8" s="100"/>
    </row>
    <row r="9" spans="1:8" x14ac:dyDescent="0.3">
      <c r="B9" s="100"/>
      <c r="C9" s="100"/>
      <c r="D9" s="100"/>
      <c r="E9" s="100"/>
      <c r="F9" s="100"/>
      <c r="G9" s="100"/>
      <c r="H9" s="100"/>
    </row>
    <row r="10" spans="1:8" x14ac:dyDescent="0.3">
      <c r="B10" s="100"/>
      <c r="C10" s="100"/>
      <c r="D10" s="100"/>
      <c r="E10" s="100"/>
      <c r="F10" s="100"/>
      <c r="G10" s="100"/>
      <c r="H10" s="100"/>
    </row>
    <row r="11" spans="1:8" x14ac:dyDescent="0.3">
      <c r="B11" s="100"/>
      <c r="C11" s="100"/>
      <c r="D11" s="100"/>
      <c r="E11" s="100"/>
      <c r="F11" s="100"/>
      <c r="G11" s="100"/>
      <c r="H11" s="100"/>
    </row>
    <row r="12" spans="1:8" x14ac:dyDescent="0.3">
      <c r="B12" s="100"/>
      <c r="C12" s="100"/>
      <c r="D12" s="100"/>
      <c r="E12" s="100"/>
      <c r="F12" s="100"/>
      <c r="G12" s="100"/>
      <c r="H12" s="100"/>
    </row>
    <row r="13" spans="1:8" x14ac:dyDescent="0.3">
      <c r="B13" s="100"/>
      <c r="C13" s="100"/>
      <c r="D13" s="100"/>
      <c r="E13" s="100"/>
      <c r="F13" s="100"/>
      <c r="G13" s="100"/>
      <c r="H13" s="100"/>
    </row>
    <row r="14" spans="1:8" x14ac:dyDescent="0.3">
      <c r="B14" s="100"/>
      <c r="C14" s="100"/>
      <c r="D14" s="100"/>
      <c r="E14" s="100"/>
      <c r="F14" s="100"/>
      <c r="G14" s="100"/>
      <c r="H14" s="100"/>
    </row>
    <row r="15" spans="1:8" x14ac:dyDescent="0.3">
      <c r="B15" s="100"/>
      <c r="C15" s="100"/>
      <c r="D15" s="100"/>
      <c r="E15" s="100"/>
      <c r="F15" s="100"/>
      <c r="G15" s="100"/>
      <c r="H15" s="100"/>
    </row>
    <row r="16" spans="1:8" x14ac:dyDescent="0.3">
      <c r="B16" s="100"/>
      <c r="C16" s="100"/>
      <c r="D16" s="100"/>
      <c r="E16" s="100"/>
      <c r="F16" s="100"/>
      <c r="G16" s="100"/>
      <c r="H16" s="100"/>
    </row>
    <row r="17" spans="2:8" x14ac:dyDescent="0.3">
      <c r="B17" s="100"/>
      <c r="C17" s="100"/>
      <c r="D17" s="100"/>
      <c r="E17" s="100"/>
      <c r="F17" s="100"/>
      <c r="G17" s="100"/>
      <c r="H17" s="100"/>
    </row>
    <row r="18" spans="2:8" x14ac:dyDescent="0.3">
      <c r="B18" s="100"/>
      <c r="C18" s="100"/>
      <c r="D18" s="100"/>
      <c r="E18" s="100"/>
      <c r="F18" s="100"/>
      <c r="G18" s="100"/>
      <c r="H18" s="100"/>
    </row>
    <row r="19" spans="2:8" x14ac:dyDescent="0.3">
      <c r="B19" s="100"/>
      <c r="C19" s="100"/>
      <c r="D19" s="100"/>
      <c r="E19" s="100"/>
      <c r="F19" s="100"/>
      <c r="G19" s="100"/>
      <c r="H19" s="100"/>
    </row>
    <row r="20" spans="2:8" x14ac:dyDescent="0.3">
      <c r="B20" s="100"/>
      <c r="C20" s="100"/>
      <c r="D20" s="100"/>
      <c r="E20" s="100"/>
      <c r="F20" s="100"/>
      <c r="G20" s="100"/>
      <c r="H20" s="100"/>
    </row>
    <row r="21" spans="2:8" x14ac:dyDescent="0.3">
      <c r="B21" s="100"/>
      <c r="C21" s="100"/>
      <c r="D21" s="100"/>
      <c r="E21" s="100"/>
      <c r="F21" s="100"/>
      <c r="G21" s="100"/>
      <c r="H21" s="100"/>
    </row>
    <row r="22" spans="2:8" x14ac:dyDescent="0.3">
      <c r="B22" s="100"/>
      <c r="C22" s="100"/>
      <c r="D22" s="100"/>
      <c r="E22" s="100"/>
      <c r="F22" s="100"/>
      <c r="G22" s="100"/>
      <c r="H22" s="100"/>
    </row>
    <row r="23" spans="2:8" x14ac:dyDescent="0.3">
      <c r="B23" s="100"/>
      <c r="C23" s="100"/>
      <c r="D23" s="100"/>
      <c r="E23" s="100"/>
      <c r="F23" s="100"/>
      <c r="G23" s="100"/>
      <c r="H23" s="100"/>
    </row>
    <row r="24" spans="2:8" x14ac:dyDescent="0.3">
      <c r="B24" s="100"/>
      <c r="C24" s="100"/>
      <c r="D24" s="100"/>
      <c r="E24" s="100"/>
      <c r="F24" s="100"/>
      <c r="G24" s="100"/>
      <c r="H24" s="100"/>
    </row>
    <row r="25" spans="2:8" x14ac:dyDescent="0.3">
      <c r="B25" s="100"/>
      <c r="C25" s="100"/>
      <c r="D25" s="100"/>
      <c r="E25" s="100"/>
      <c r="F25" s="100"/>
      <c r="G25" s="100"/>
      <c r="H25" s="100"/>
    </row>
    <row r="26" spans="2:8" x14ac:dyDescent="0.3">
      <c r="B26" s="100"/>
      <c r="C26" s="100"/>
      <c r="D26" s="100"/>
      <c r="E26" s="100"/>
      <c r="F26" s="100"/>
      <c r="G26" s="100"/>
      <c r="H26" s="100"/>
    </row>
    <row r="27" spans="2:8" x14ac:dyDescent="0.3">
      <c r="B27" s="100"/>
      <c r="C27" s="100"/>
      <c r="D27" s="100"/>
      <c r="E27" s="100"/>
      <c r="F27" s="100"/>
      <c r="G27" s="100"/>
      <c r="H27" s="100"/>
    </row>
    <row r="28" spans="2:8" x14ac:dyDescent="0.3">
      <c r="B28" s="100"/>
      <c r="C28" s="100"/>
      <c r="D28" s="100"/>
      <c r="E28" s="100"/>
      <c r="F28" s="100"/>
      <c r="G28" s="100"/>
      <c r="H28" s="100"/>
    </row>
    <row r="29" spans="2:8" x14ac:dyDescent="0.3">
      <c r="B29" s="100"/>
      <c r="C29" s="100"/>
      <c r="D29" s="100"/>
      <c r="E29" s="100"/>
      <c r="F29" s="100"/>
      <c r="G29" s="100"/>
      <c r="H29" s="100"/>
    </row>
    <row r="30" spans="2:8" x14ac:dyDescent="0.3">
      <c r="B30" s="100"/>
      <c r="C30" s="100"/>
      <c r="D30" s="100"/>
      <c r="E30" s="100"/>
      <c r="F30" s="100"/>
      <c r="G30" s="100"/>
      <c r="H30" s="100"/>
    </row>
    <row r="31" spans="2:8" x14ac:dyDescent="0.3">
      <c r="B31" s="100"/>
      <c r="C31" s="100"/>
      <c r="D31" s="100"/>
      <c r="E31" s="100"/>
      <c r="F31" s="100"/>
      <c r="G31" s="100"/>
      <c r="H31" s="100"/>
    </row>
    <row r="32" spans="2:8" x14ac:dyDescent="0.3">
      <c r="B32" s="100"/>
      <c r="C32" s="100"/>
      <c r="D32" s="100"/>
      <c r="E32" s="100"/>
      <c r="F32" s="100"/>
      <c r="G32" s="100"/>
      <c r="H32" s="100"/>
    </row>
    <row r="33" spans="2:8" x14ac:dyDescent="0.3">
      <c r="B33" s="100"/>
      <c r="C33" s="100"/>
      <c r="D33" s="100"/>
      <c r="E33" s="100"/>
      <c r="F33" s="100"/>
      <c r="G33" s="100"/>
      <c r="H33" s="100"/>
    </row>
    <row r="34" spans="2:8" x14ac:dyDescent="0.3">
      <c r="B34" s="100"/>
      <c r="C34" s="100"/>
      <c r="D34" s="100"/>
      <c r="E34" s="100"/>
      <c r="F34" s="100"/>
      <c r="G34" s="100"/>
      <c r="H34" s="100"/>
    </row>
    <row r="35" spans="2:8" x14ac:dyDescent="0.3">
      <c r="B35" s="100"/>
      <c r="C35" s="100"/>
      <c r="D35" s="100"/>
      <c r="E35" s="100"/>
      <c r="F35" s="100"/>
      <c r="G35" s="100"/>
      <c r="H35" s="100"/>
    </row>
    <row r="36" spans="2:8" x14ac:dyDescent="0.3">
      <c r="B36" s="100"/>
      <c r="C36" s="100"/>
      <c r="D36" s="100"/>
      <c r="E36" s="100"/>
      <c r="F36" s="100"/>
      <c r="G36" s="100"/>
      <c r="H36" s="100"/>
    </row>
    <row r="37" spans="2:8" x14ac:dyDescent="0.3">
      <c r="B37" s="100"/>
      <c r="C37" s="100"/>
      <c r="D37" s="100"/>
      <c r="E37" s="100"/>
      <c r="F37" s="100"/>
      <c r="G37" s="100"/>
      <c r="H37" s="100"/>
    </row>
    <row r="38" spans="2:8" x14ac:dyDescent="0.3">
      <c r="B38" s="100"/>
      <c r="C38" s="100"/>
      <c r="D38" s="100"/>
      <c r="E38" s="100"/>
      <c r="F38" s="100"/>
      <c r="G38" s="100"/>
      <c r="H38" s="100"/>
    </row>
    <row r="39" spans="2:8" x14ac:dyDescent="0.3">
      <c r="B39" s="100"/>
      <c r="C39" s="100"/>
      <c r="D39" s="100"/>
      <c r="E39" s="100"/>
      <c r="F39" s="100"/>
      <c r="G39" s="100"/>
      <c r="H39" s="100"/>
    </row>
    <row r="40" spans="2:8" x14ac:dyDescent="0.3">
      <c r="B40" s="100"/>
      <c r="C40" s="100"/>
      <c r="D40" s="100"/>
      <c r="E40" s="100"/>
      <c r="F40" s="100"/>
      <c r="G40" s="100"/>
      <c r="H40" s="100"/>
    </row>
    <row r="41" spans="2:8" x14ac:dyDescent="0.3">
      <c r="B41" s="100"/>
      <c r="C41" s="100"/>
      <c r="D41" s="100"/>
      <c r="E41" s="100"/>
      <c r="F41" s="100"/>
      <c r="G41" s="100"/>
      <c r="H41" s="100"/>
    </row>
    <row r="42" spans="2:8" x14ac:dyDescent="0.3">
      <c r="B42" s="100"/>
      <c r="C42" s="100"/>
      <c r="D42" s="100"/>
      <c r="E42" s="100"/>
      <c r="F42" s="100"/>
      <c r="G42" s="100"/>
      <c r="H42" s="100"/>
    </row>
    <row r="43" spans="2:8" x14ac:dyDescent="0.3">
      <c r="B43" s="100"/>
      <c r="C43" s="100"/>
      <c r="D43" s="100"/>
      <c r="E43" s="100"/>
      <c r="F43" s="100"/>
      <c r="G43" s="100"/>
      <c r="H43" s="100"/>
    </row>
    <row r="44" spans="2:8" x14ac:dyDescent="0.3">
      <c r="B44" s="100"/>
      <c r="C44" s="100"/>
      <c r="D44" s="100"/>
      <c r="E44" s="100"/>
      <c r="F44" s="100"/>
      <c r="G44" s="100"/>
      <c r="H44" s="100"/>
    </row>
    <row r="45" spans="2:8" x14ac:dyDescent="0.3">
      <c r="B45" s="100"/>
      <c r="C45" s="100"/>
      <c r="D45" s="100"/>
      <c r="E45" s="100"/>
      <c r="F45" s="100"/>
      <c r="G45" s="100"/>
      <c r="H45" s="100"/>
    </row>
    <row r="46" spans="2:8" x14ac:dyDescent="0.3">
      <c r="B46" s="100"/>
      <c r="C46" s="100"/>
      <c r="D46" s="100"/>
      <c r="E46" s="100"/>
      <c r="F46" s="100"/>
      <c r="G46" s="100"/>
      <c r="H46" s="100"/>
    </row>
    <row r="47" spans="2:8" x14ac:dyDescent="0.3">
      <c r="B47" s="100"/>
      <c r="C47" s="100"/>
      <c r="D47" s="100"/>
      <c r="E47" s="100"/>
      <c r="F47" s="100"/>
      <c r="G47" s="100"/>
      <c r="H47" s="100"/>
    </row>
    <row r="48" spans="2:8" x14ac:dyDescent="0.3">
      <c r="B48" s="100"/>
      <c r="C48" s="100"/>
      <c r="D48" s="100"/>
      <c r="E48" s="100"/>
      <c r="F48" s="100"/>
      <c r="G48" s="100"/>
      <c r="H48" s="100"/>
    </row>
    <row r="49" spans="2:8" x14ac:dyDescent="0.3">
      <c r="B49" s="100"/>
      <c r="C49" s="100"/>
      <c r="D49" s="100"/>
      <c r="E49" s="100"/>
      <c r="F49" s="100"/>
      <c r="G49" s="100"/>
      <c r="H49" s="100"/>
    </row>
    <row r="50" spans="2:8" x14ac:dyDescent="0.3">
      <c r="B50" s="100"/>
      <c r="C50" s="100"/>
      <c r="D50" s="100"/>
      <c r="E50" s="100"/>
      <c r="F50" s="100"/>
      <c r="G50" s="100"/>
      <c r="H50" s="100"/>
    </row>
    <row r="51" spans="2:8" x14ac:dyDescent="0.3">
      <c r="B51" s="100"/>
      <c r="C51" s="100"/>
      <c r="D51" s="100"/>
      <c r="E51" s="100"/>
      <c r="F51" s="100"/>
      <c r="G51" s="100"/>
      <c r="H51" s="100"/>
    </row>
    <row r="52" spans="2:8" x14ac:dyDescent="0.3">
      <c r="B52" s="100"/>
      <c r="C52" s="100"/>
      <c r="D52" s="100"/>
      <c r="E52" s="100"/>
      <c r="F52" s="100"/>
      <c r="G52" s="100"/>
      <c r="H52" s="100"/>
    </row>
    <row r="53" spans="2:8" x14ac:dyDescent="0.3">
      <c r="B53" s="100"/>
      <c r="C53" s="100"/>
      <c r="D53" s="100"/>
      <c r="E53" s="100"/>
      <c r="F53" s="100"/>
      <c r="G53" s="100"/>
      <c r="H53" s="100"/>
    </row>
    <row r="54" spans="2:8" x14ac:dyDescent="0.3">
      <c r="B54" s="100"/>
      <c r="C54" s="100"/>
      <c r="D54" s="100"/>
      <c r="E54" s="100"/>
      <c r="F54" s="100"/>
      <c r="G54" s="100"/>
      <c r="H54" s="100"/>
    </row>
    <row r="55" spans="2:8" x14ac:dyDescent="0.3">
      <c r="B55" s="100"/>
      <c r="C55" s="100"/>
      <c r="D55" s="100"/>
      <c r="E55" s="100"/>
      <c r="F55" s="100"/>
      <c r="G55" s="100"/>
      <c r="H55" s="100"/>
    </row>
    <row r="56" spans="2:8" x14ac:dyDescent="0.3">
      <c r="B56" s="100"/>
      <c r="C56" s="100"/>
      <c r="D56" s="100"/>
      <c r="E56" s="100"/>
      <c r="F56" s="100"/>
      <c r="G56" s="100"/>
      <c r="H56" s="100"/>
    </row>
    <row r="57" spans="2:8" x14ac:dyDescent="0.3">
      <c r="B57" s="100"/>
      <c r="C57" s="100"/>
      <c r="D57" s="100"/>
      <c r="E57" s="100"/>
      <c r="F57" s="100"/>
      <c r="G57" s="100"/>
      <c r="H57" s="100"/>
    </row>
    <row r="58" spans="2:8" x14ac:dyDescent="0.3">
      <c r="B58" s="100"/>
      <c r="C58" s="100"/>
      <c r="D58" s="100"/>
      <c r="E58" s="100"/>
      <c r="F58" s="100"/>
      <c r="G58" s="100"/>
      <c r="H58" s="100"/>
    </row>
    <row r="59" spans="2:8" x14ac:dyDescent="0.3">
      <c r="B59" s="100"/>
      <c r="C59" s="100"/>
      <c r="D59" s="100"/>
      <c r="E59" s="100"/>
      <c r="F59" s="100"/>
      <c r="G59" s="100"/>
      <c r="H59" s="100"/>
    </row>
    <row r="60" spans="2:8" x14ac:dyDescent="0.3">
      <c r="B60" s="100"/>
      <c r="C60" s="100"/>
      <c r="D60" s="100"/>
      <c r="E60" s="100"/>
      <c r="F60" s="100"/>
      <c r="G60" s="100"/>
      <c r="H60" s="100"/>
    </row>
    <row r="61" spans="2:8" x14ac:dyDescent="0.3">
      <c r="B61" s="100"/>
      <c r="C61" s="100"/>
      <c r="D61" s="100"/>
      <c r="E61" s="100"/>
      <c r="F61" s="100"/>
      <c r="G61" s="100"/>
      <c r="H61" s="100"/>
    </row>
    <row r="62" spans="2:8" x14ac:dyDescent="0.3">
      <c r="B62" s="100"/>
      <c r="C62" s="100"/>
      <c r="D62" s="100"/>
      <c r="E62" s="100"/>
      <c r="F62" s="100"/>
      <c r="G62" s="100"/>
      <c r="H62" s="100"/>
    </row>
    <row r="63" spans="2:8" x14ac:dyDescent="0.3">
      <c r="B63" s="100"/>
      <c r="C63" s="100"/>
      <c r="D63" s="100"/>
      <c r="E63" s="100"/>
      <c r="F63" s="100"/>
      <c r="G63" s="100"/>
      <c r="H63" s="100"/>
    </row>
    <row r="64" spans="2:8" x14ac:dyDescent="0.3">
      <c r="B64" s="100"/>
      <c r="C64" s="100"/>
      <c r="D64" s="100"/>
      <c r="E64" s="100"/>
      <c r="F64" s="100"/>
      <c r="G64" s="100"/>
      <c r="H64" s="100"/>
    </row>
    <row r="65" spans="2:8" x14ac:dyDescent="0.3">
      <c r="B65" s="100"/>
      <c r="C65" s="100"/>
      <c r="D65" s="100"/>
      <c r="E65" s="100"/>
      <c r="F65" s="100"/>
      <c r="G65" s="100"/>
      <c r="H65" s="100"/>
    </row>
    <row r="66" spans="2:8" x14ac:dyDescent="0.3">
      <c r="B66" s="100"/>
      <c r="C66" s="100"/>
      <c r="D66" s="100"/>
      <c r="E66" s="100"/>
      <c r="F66" s="100"/>
      <c r="G66" s="100"/>
      <c r="H66" s="100"/>
    </row>
    <row r="67" spans="2:8" x14ac:dyDescent="0.3">
      <c r="B67" s="100"/>
      <c r="C67" s="100"/>
      <c r="D67" s="100"/>
      <c r="E67" s="100"/>
      <c r="F67" s="100"/>
      <c r="G67" s="100"/>
      <c r="H67" s="100"/>
    </row>
    <row r="68" spans="2:8" x14ac:dyDescent="0.3">
      <c r="B68" s="100"/>
      <c r="C68" s="100"/>
      <c r="D68" s="100"/>
      <c r="E68" s="100"/>
      <c r="F68" s="100"/>
      <c r="G68" s="100"/>
      <c r="H68" s="100"/>
    </row>
    <row r="69" spans="2:8" x14ac:dyDescent="0.3">
      <c r="B69" s="100"/>
      <c r="C69" s="100"/>
      <c r="D69" s="100"/>
      <c r="E69" s="100"/>
      <c r="F69" s="100"/>
      <c r="G69" s="100"/>
      <c r="H69" s="100"/>
    </row>
    <row r="70" spans="2:8" x14ac:dyDescent="0.3">
      <c r="B70" s="100"/>
      <c r="C70" s="100"/>
      <c r="D70" s="100"/>
      <c r="E70" s="100"/>
      <c r="F70" s="100"/>
      <c r="G70" s="100"/>
      <c r="H70" s="100"/>
    </row>
    <row r="71" spans="2:8" x14ac:dyDescent="0.3">
      <c r="B71" s="100"/>
      <c r="C71" s="100"/>
      <c r="D71" s="100"/>
      <c r="E71" s="100"/>
      <c r="F71" s="100"/>
      <c r="G71" s="100"/>
      <c r="H71" s="100"/>
    </row>
    <row r="72" spans="2:8" x14ac:dyDescent="0.3">
      <c r="B72" s="100"/>
      <c r="C72" s="100"/>
      <c r="D72" s="100"/>
      <c r="E72" s="100"/>
      <c r="F72" s="100"/>
      <c r="G72" s="100"/>
      <c r="H72" s="100"/>
    </row>
    <row r="73" spans="2:8" x14ac:dyDescent="0.3">
      <c r="B73" s="100"/>
      <c r="C73" s="100"/>
      <c r="D73" s="100"/>
      <c r="E73" s="100"/>
      <c r="F73" s="100"/>
      <c r="G73" s="100"/>
      <c r="H73" s="100"/>
    </row>
    <row r="74" spans="2:8" x14ac:dyDescent="0.3">
      <c r="B74" s="100"/>
      <c r="C74" s="100"/>
      <c r="D74" s="100"/>
      <c r="E74" s="100"/>
      <c r="F74" s="100"/>
      <c r="G74" s="100"/>
      <c r="H74" s="100"/>
    </row>
    <row r="75" spans="2:8" x14ac:dyDescent="0.3">
      <c r="B75" s="100"/>
      <c r="C75" s="100"/>
      <c r="D75" s="100"/>
      <c r="E75" s="100"/>
      <c r="F75" s="100"/>
      <c r="G75" s="100"/>
      <c r="H75" s="100"/>
    </row>
    <row r="76" spans="2:8" x14ac:dyDescent="0.3">
      <c r="B76" s="100"/>
      <c r="C76" s="100"/>
      <c r="D76" s="100"/>
      <c r="E76" s="100"/>
      <c r="F76" s="100"/>
      <c r="G76" s="100"/>
      <c r="H76" s="100"/>
    </row>
    <row r="77" spans="2:8" x14ac:dyDescent="0.3">
      <c r="B77" s="100"/>
      <c r="C77" s="100"/>
      <c r="D77" s="100"/>
      <c r="E77" s="100"/>
      <c r="F77" s="100"/>
      <c r="G77" s="100"/>
      <c r="H77" s="100"/>
    </row>
    <row r="78" spans="2:8" x14ac:dyDescent="0.3">
      <c r="B78" s="100"/>
      <c r="C78" s="100"/>
      <c r="D78" s="100"/>
      <c r="E78" s="100"/>
      <c r="F78" s="100"/>
      <c r="G78" s="100"/>
      <c r="H78" s="100"/>
    </row>
    <row r="79" spans="2:8" x14ac:dyDescent="0.3">
      <c r="B79" s="100"/>
      <c r="C79" s="100"/>
      <c r="D79" s="100"/>
      <c r="E79" s="100"/>
      <c r="F79" s="100"/>
      <c r="G79" s="100"/>
      <c r="H79" s="100"/>
    </row>
    <row r="80" spans="2:8" x14ac:dyDescent="0.3">
      <c r="B80" s="100"/>
      <c r="C80" s="100"/>
      <c r="D80" s="100"/>
      <c r="E80" s="100"/>
      <c r="F80" s="100"/>
      <c r="G80" s="100"/>
      <c r="H80" s="100"/>
    </row>
    <row r="81" spans="2:8" x14ac:dyDescent="0.3">
      <c r="B81" s="100"/>
      <c r="C81" s="100"/>
      <c r="D81" s="100"/>
      <c r="E81" s="100"/>
      <c r="F81" s="100"/>
      <c r="G81" s="100"/>
      <c r="H81" s="100"/>
    </row>
    <row r="82" spans="2:8" x14ac:dyDescent="0.3">
      <c r="B82" s="100"/>
      <c r="C82" s="100"/>
      <c r="D82" s="100"/>
      <c r="E82" s="100"/>
      <c r="F82" s="100"/>
      <c r="G82" s="100"/>
      <c r="H82" s="100"/>
    </row>
    <row r="83" spans="2:8" x14ac:dyDescent="0.3">
      <c r="B83" s="100"/>
      <c r="C83" s="100"/>
      <c r="D83" s="100"/>
      <c r="E83" s="100"/>
      <c r="F83" s="100"/>
      <c r="G83" s="100"/>
      <c r="H83" s="100"/>
    </row>
    <row r="84" spans="2:8" x14ac:dyDescent="0.3">
      <c r="B84" s="100"/>
      <c r="C84" s="100"/>
      <c r="D84" s="100"/>
      <c r="E84" s="100"/>
      <c r="F84" s="100"/>
      <c r="G84" s="100"/>
      <c r="H84" s="100"/>
    </row>
    <row r="85" spans="2:8" x14ac:dyDescent="0.3">
      <c r="B85" s="100"/>
      <c r="C85" s="100"/>
      <c r="D85" s="100"/>
      <c r="E85" s="100"/>
      <c r="F85" s="100"/>
      <c r="G85" s="100"/>
      <c r="H85" s="100"/>
    </row>
    <row r="86" spans="2:8" x14ac:dyDescent="0.3">
      <c r="B86" s="100"/>
      <c r="C86" s="100"/>
      <c r="D86" s="100"/>
      <c r="E86" s="100"/>
      <c r="F86" s="100"/>
      <c r="G86" s="100"/>
      <c r="H86" s="100"/>
    </row>
    <row r="87" spans="2:8" x14ac:dyDescent="0.3">
      <c r="B87" s="100"/>
      <c r="C87" s="100"/>
      <c r="D87" s="100"/>
      <c r="E87" s="100"/>
      <c r="F87" s="100"/>
      <c r="G87" s="100"/>
      <c r="H87" s="100"/>
    </row>
    <row r="88" spans="2:8" x14ac:dyDescent="0.3">
      <c r="B88" s="100"/>
      <c r="C88" s="100"/>
      <c r="D88" s="100"/>
      <c r="E88" s="100"/>
      <c r="F88" s="100"/>
      <c r="G88" s="100"/>
      <c r="H88" s="100"/>
    </row>
    <row r="89" spans="2:8" x14ac:dyDescent="0.3">
      <c r="B89" s="100"/>
      <c r="C89" s="100"/>
      <c r="D89" s="100"/>
      <c r="E89" s="100"/>
      <c r="F89" s="100"/>
      <c r="G89" s="100"/>
      <c r="H89" s="100"/>
    </row>
    <row r="90" spans="2:8" x14ac:dyDescent="0.3">
      <c r="B90" s="100"/>
      <c r="C90" s="100"/>
      <c r="D90" s="100"/>
      <c r="E90" s="100"/>
      <c r="F90" s="100"/>
      <c r="G90" s="100"/>
      <c r="H90" s="100"/>
    </row>
    <row r="91" spans="2:8" x14ac:dyDescent="0.3">
      <c r="B91" s="100"/>
      <c r="C91" s="100"/>
      <c r="D91" s="100"/>
      <c r="E91" s="100"/>
      <c r="F91" s="100"/>
      <c r="G91" s="100"/>
      <c r="H91" s="100"/>
    </row>
    <row r="92" spans="2:8" x14ac:dyDescent="0.3">
      <c r="B92" s="100"/>
      <c r="C92" s="100"/>
      <c r="D92" s="100"/>
      <c r="E92" s="100"/>
      <c r="F92" s="100"/>
      <c r="G92" s="100"/>
      <c r="H92" s="100"/>
    </row>
    <row r="93" spans="2:8" x14ac:dyDescent="0.3">
      <c r="B93" s="100"/>
      <c r="C93" s="100"/>
      <c r="D93" s="100"/>
      <c r="E93" s="100"/>
      <c r="F93" s="100"/>
      <c r="G93" s="100"/>
      <c r="H93" s="100"/>
    </row>
    <row r="94" spans="2:8" x14ac:dyDescent="0.3">
      <c r="B94" s="100"/>
      <c r="C94" s="100"/>
      <c r="D94" s="100"/>
      <c r="E94" s="100"/>
      <c r="F94" s="100"/>
      <c r="G94" s="100"/>
      <c r="H94" s="100"/>
    </row>
    <row r="95" spans="2:8" x14ac:dyDescent="0.3">
      <c r="B95" s="100"/>
      <c r="C95" s="100"/>
      <c r="D95" s="100"/>
      <c r="E95" s="100"/>
      <c r="F95" s="100"/>
      <c r="G95" s="100"/>
      <c r="H95" s="100"/>
    </row>
    <row r="96" spans="2:8" x14ac:dyDescent="0.3">
      <c r="B96" s="100"/>
      <c r="C96" s="100"/>
      <c r="D96" s="100"/>
      <c r="E96" s="100"/>
      <c r="F96" s="100"/>
      <c r="G96" s="100"/>
      <c r="H96" s="100"/>
    </row>
    <row r="97" spans="2:8" x14ac:dyDescent="0.3">
      <c r="B97" s="100"/>
      <c r="C97" s="100"/>
      <c r="D97" s="100"/>
      <c r="E97" s="100"/>
      <c r="F97" s="100"/>
      <c r="G97" s="100"/>
      <c r="H97" s="100"/>
    </row>
    <row r="98" spans="2:8" x14ac:dyDescent="0.3">
      <c r="B98" s="100"/>
      <c r="C98" s="100"/>
      <c r="D98" s="100"/>
      <c r="E98" s="100"/>
      <c r="F98" s="100"/>
      <c r="G98" s="100"/>
      <c r="H98" s="100"/>
    </row>
    <row r="99" spans="2:8" x14ac:dyDescent="0.3">
      <c r="B99" s="100"/>
      <c r="C99" s="100"/>
      <c r="D99" s="100"/>
      <c r="E99" s="100"/>
      <c r="F99" s="100"/>
      <c r="G99" s="100"/>
      <c r="H99" s="100"/>
    </row>
    <row r="100" spans="2:8" x14ac:dyDescent="0.3">
      <c r="B100" s="100"/>
      <c r="C100" s="100"/>
      <c r="D100" s="100"/>
      <c r="E100" s="100"/>
      <c r="F100" s="100"/>
      <c r="G100" s="100"/>
      <c r="H100" s="100"/>
    </row>
    <row r="101" spans="2:8" x14ac:dyDescent="0.3">
      <c r="B101" s="100"/>
      <c r="C101" s="100"/>
      <c r="D101" s="100"/>
      <c r="E101" s="100"/>
      <c r="F101" s="100"/>
      <c r="G101" s="100"/>
      <c r="H101" s="100"/>
    </row>
    <row r="102" spans="2:8" x14ac:dyDescent="0.3">
      <c r="B102" s="100"/>
      <c r="C102" s="100"/>
      <c r="D102" s="100"/>
      <c r="E102" s="100"/>
      <c r="F102" s="100"/>
      <c r="G102" s="100"/>
      <c r="H102" s="100"/>
    </row>
    <row r="103" spans="2:8" x14ac:dyDescent="0.3">
      <c r="B103" s="100"/>
      <c r="C103" s="100"/>
      <c r="D103" s="100"/>
      <c r="E103" s="100"/>
      <c r="F103" s="100"/>
      <c r="G103" s="100"/>
      <c r="H103" s="100"/>
    </row>
    <row r="104" spans="2:8" x14ac:dyDescent="0.3">
      <c r="B104" s="100"/>
      <c r="C104" s="100"/>
      <c r="D104" s="100"/>
      <c r="E104" s="100"/>
      <c r="F104" s="100"/>
      <c r="G104" s="100"/>
      <c r="H104" s="100"/>
    </row>
    <row r="105" spans="2:8" x14ac:dyDescent="0.3">
      <c r="B105" s="100"/>
      <c r="C105" s="100"/>
      <c r="D105" s="100"/>
      <c r="E105" s="100"/>
      <c r="F105" s="100"/>
      <c r="G105" s="100"/>
      <c r="H105" s="100"/>
    </row>
    <row r="106" spans="2:8" x14ac:dyDescent="0.3">
      <c r="B106" s="100"/>
      <c r="C106" s="100"/>
      <c r="D106" s="100"/>
      <c r="E106" s="100"/>
      <c r="F106" s="100"/>
      <c r="G106" s="100"/>
      <c r="H106" s="100"/>
    </row>
    <row r="107" spans="2:8" x14ac:dyDescent="0.3">
      <c r="B107" s="100"/>
      <c r="C107" s="100"/>
      <c r="D107" s="100"/>
      <c r="E107" s="100"/>
      <c r="F107" s="100"/>
      <c r="G107" s="100"/>
      <c r="H107" s="100"/>
    </row>
    <row r="108" spans="2:8" x14ac:dyDescent="0.3">
      <c r="B108" s="100"/>
      <c r="C108" s="100"/>
      <c r="D108" s="100"/>
      <c r="E108" s="100"/>
      <c r="F108" s="100"/>
      <c r="G108" s="100"/>
      <c r="H108" s="100"/>
    </row>
    <row r="109" spans="2:8" x14ac:dyDescent="0.3">
      <c r="B109" s="100"/>
      <c r="C109" s="100"/>
      <c r="D109" s="100"/>
      <c r="E109" s="100"/>
      <c r="F109" s="100"/>
      <c r="G109" s="100"/>
      <c r="H109" s="100"/>
    </row>
    <row r="110" spans="2:8" x14ac:dyDescent="0.3">
      <c r="B110" s="100"/>
      <c r="C110" s="100"/>
      <c r="D110" s="100"/>
      <c r="E110" s="100"/>
      <c r="F110" s="100"/>
      <c r="G110" s="100"/>
      <c r="H110" s="100"/>
    </row>
    <row r="111" spans="2:8" x14ac:dyDescent="0.3">
      <c r="B111" s="100"/>
      <c r="C111" s="100"/>
      <c r="D111" s="100"/>
      <c r="E111" s="100"/>
      <c r="F111" s="100"/>
      <c r="G111" s="100"/>
      <c r="H111" s="100"/>
    </row>
    <row r="112" spans="2:8" x14ac:dyDescent="0.3">
      <c r="B112" s="100"/>
      <c r="C112" s="100"/>
      <c r="D112" s="100"/>
      <c r="E112" s="100"/>
      <c r="F112" s="100"/>
      <c r="G112" s="100"/>
      <c r="H112" s="100"/>
    </row>
    <row r="113" spans="2:8" x14ac:dyDescent="0.3">
      <c r="B113" s="100"/>
      <c r="C113" s="100"/>
      <c r="D113" s="100"/>
      <c r="E113" s="100"/>
      <c r="F113" s="100"/>
      <c r="G113" s="100"/>
      <c r="H113" s="100"/>
    </row>
    <row r="114" spans="2:8" x14ac:dyDescent="0.3">
      <c r="B114" s="100"/>
      <c r="C114" s="100"/>
      <c r="D114" s="100"/>
      <c r="E114" s="100"/>
      <c r="F114" s="100"/>
      <c r="G114" s="100"/>
      <c r="H114" s="100"/>
    </row>
    <row r="115" spans="2:8" x14ac:dyDescent="0.3">
      <c r="B115" s="100"/>
      <c r="C115" s="100"/>
      <c r="D115" s="100"/>
      <c r="E115" s="100"/>
      <c r="F115" s="100"/>
      <c r="G115" s="100"/>
      <c r="H115" s="100"/>
    </row>
    <row r="116" spans="2:8" x14ac:dyDescent="0.3">
      <c r="B116" s="100"/>
      <c r="C116" s="100"/>
      <c r="D116" s="100"/>
      <c r="E116" s="100"/>
      <c r="F116" s="100"/>
      <c r="G116" s="100"/>
      <c r="H116" s="100"/>
    </row>
    <row r="117" spans="2:8" x14ac:dyDescent="0.3">
      <c r="B117" s="100"/>
      <c r="C117" s="100"/>
      <c r="D117" s="100"/>
      <c r="E117" s="100"/>
      <c r="F117" s="100"/>
      <c r="G117" s="100"/>
      <c r="H117" s="100"/>
    </row>
    <row r="118" spans="2:8" x14ac:dyDescent="0.3">
      <c r="B118" s="100"/>
      <c r="C118" s="100"/>
      <c r="D118" s="100"/>
      <c r="E118" s="100"/>
      <c r="F118" s="100"/>
      <c r="G118" s="100"/>
      <c r="H118" s="100"/>
    </row>
    <row r="119" spans="2:8" x14ac:dyDescent="0.3">
      <c r="B119" s="100"/>
      <c r="C119" s="100"/>
      <c r="D119" s="100"/>
      <c r="E119" s="100"/>
      <c r="F119" s="100"/>
      <c r="G119" s="100"/>
      <c r="H119" s="100"/>
    </row>
    <row r="120" spans="2:8" x14ac:dyDescent="0.3">
      <c r="B120" s="100"/>
      <c r="C120" s="100"/>
      <c r="D120" s="100"/>
      <c r="E120" s="100"/>
      <c r="F120" s="100"/>
      <c r="G120" s="100"/>
      <c r="H120" s="100"/>
    </row>
    <row r="121" spans="2:8" x14ac:dyDescent="0.3">
      <c r="B121" s="100"/>
      <c r="C121" s="100"/>
      <c r="D121" s="100"/>
      <c r="E121" s="100"/>
      <c r="F121" s="100"/>
      <c r="G121" s="100"/>
      <c r="H121" s="100"/>
    </row>
    <row r="122" spans="2:8" x14ac:dyDescent="0.3">
      <c r="B122" s="100"/>
      <c r="C122" s="100"/>
      <c r="D122" s="100"/>
      <c r="E122" s="100"/>
      <c r="F122" s="100"/>
      <c r="G122" s="100"/>
      <c r="H122" s="100"/>
    </row>
    <row r="123" spans="2:8" x14ac:dyDescent="0.3">
      <c r="B123" s="100"/>
      <c r="C123" s="100"/>
      <c r="D123" s="100"/>
      <c r="E123" s="100"/>
      <c r="F123" s="100"/>
      <c r="G123" s="100"/>
      <c r="H123" s="100"/>
    </row>
    <row r="124" spans="2:8" x14ac:dyDescent="0.3">
      <c r="B124" s="100"/>
      <c r="C124" s="100"/>
      <c r="D124" s="100"/>
      <c r="E124" s="100"/>
      <c r="F124" s="100"/>
      <c r="G124" s="100"/>
      <c r="H124" s="100"/>
    </row>
    <row r="125" spans="2:8" x14ac:dyDescent="0.3">
      <c r="B125" s="100"/>
      <c r="C125" s="100"/>
      <c r="D125" s="100"/>
      <c r="E125" s="100"/>
      <c r="F125" s="100"/>
      <c r="G125" s="100"/>
      <c r="H125" s="100"/>
    </row>
    <row r="126" spans="2:8" x14ac:dyDescent="0.3">
      <c r="B126" s="100"/>
      <c r="C126" s="100"/>
      <c r="D126" s="100"/>
      <c r="E126" s="100"/>
      <c r="F126" s="100"/>
      <c r="G126" s="100"/>
      <c r="H126" s="100"/>
    </row>
    <row r="127" spans="2:8" x14ac:dyDescent="0.3">
      <c r="B127" s="100"/>
      <c r="C127" s="100"/>
      <c r="D127" s="100"/>
      <c r="E127" s="100"/>
      <c r="F127" s="100"/>
      <c r="G127" s="100"/>
      <c r="H127" s="100"/>
    </row>
    <row r="128" spans="2:8" x14ac:dyDescent="0.3">
      <c r="B128" s="100"/>
      <c r="C128" s="100"/>
      <c r="D128" s="100"/>
      <c r="E128" s="100"/>
      <c r="F128" s="100"/>
      <c r="G128" s="100"/>
      <c r="H128" s="100"/>
    </row>
    <row r="129" spans="2:8" x14ac:dyDescent="0.3">
      <c r="B129" s="100"/>
      <c r="C129" s="100"/>
      <c r="D129" s="100"/>
      <c r="E129" s="100"/>
      <c r="F129" s="100"/>
      <c r="G129" s="100"/>
      <c r="H129" s="100"/>
    </row>
    <row r="130" spans="2:8" x14ac:dyDescent="0.3">
      <c r="B130" s="100"/>
      <c r="C130" s="100"/>
      <c r="D130" s="100"/>
      <c r="E130" s="100"/>
      <c r="F130" s="100"/>
      <c r="G130" s="100"/>
      <c r="H130" s="100"/>
    </row>
    <row r="131" spans="2:8" x14ac:dyDescent="0.3">
      <c r="B131" s="100"/>
      <c r="C131" s="100"/>
      <c r="D131" s="100"/>
      <c r="E131" s="100"/>
      <c r="F131" s="100"/>
      <c r="G131" s="100"/>
      <c r="H131" s="100"/>
    </row>
    <row r="132" spans="2:8" x14ac:dyDescent="0.3">
      <c r="B132" s="100"/>
      <c r="C132" s="100"/>
      <c r="D132" s="100"/>
      <c r="E132" s="100"/>
      <c r="F132" s="100"/>
      <c r="G132" s="100"/>
      <c r="H132" s="100"/>
    </row>
    <row r="133" spans="2:8" x14ac:dyDescent="0.3">
      <c r="B133" s="100"/>
      <c r="C133" s="100"/>
      <c r="D133" s="100"/>
      <c r="E133" s="100"/>
      <c r="F133" s="100"/>
      <c r="G133" s="100"/>
      <c r="H133" s="100"/>
    </row>
    <row r="134" spans="2:8" x14ac:dyDescent="0.3">
      <c r="B134" s="100"/>
      <c r="C134" s="100"/>
      <c r="D134" s="100"/>
      <c r="E134" s="100"/>
      <c r="F134" s="100"/>
      <c r="G134" s="100"/>
      <c r="H134" s="100"/>
    </row>
    <row r="135" spans="2:8" x14ac:dyDescent="0.3">
      <c r="B135" s="100"/>
      <c r="C135" s="100"/>
      <c r="D135" s="100"/>
      <c r="E135" s="100"/>
      <c r="F135" s="100"/>
      <c r="G135" s="100"/>
      <c r="H135" s="100"/>
    </row>
    <row r="136" spans="2:8" x14ac:dyDescent="0.3">
      <c r="B136" s="100"/>
      <c r="C136" s="100"/>
      <c r="D136" s="100"/>
      <c r="E136" s="100"/>
      <c r="F136" s="100"/>
      <c r="G136" s="100"/>
      <c r="H136" s="100"/>
    </row>
    <row r="137" spans="2:8" x14ac:dyDescent="0.3">
      <c r="B137" s="100"/>
      <c r="C137" s="100"/>
      <c r="D137" s="100"/>
      <c r="E137" s="100"/>
      <c r="F137" s="100"/>
      <c r="G137" s="100"/>
      <c r="H137" s="100"/>
    </row>
    <row r="138" spans="2:8" x14ac:dyDescent="0.3">
      <c r="B138" s="100"/>
      <c r="C138" s="100"/>
      <c r="D138" s="100"/>
      <c r="E138" s="100"/>
      <c r="F138" s="100"/>
      <c r="G138" s="100"/>
      <c r="H138" s="100"/>
    </row>
    <row r="139" spans="2:8" x14ac:dyDescent="0.3">
      <c r="B139" s="100"/>
      <c r="C139" s="100"/>
      <c r="D139" s="100"/>
      <c r="E139" s="100"/>
      <c r="F139" s="100"/>
      <c r="G139" s="100"/>
      <c r="H139" s="100"/>
    </row>
    <row r="140" spans="2:8" x14ac:dyDescent="0.3">
      <c r="B140" s="100"/>
      <c r="C140" s="100"/>
      <c r="D140" s="100"/>
      <c r="E140" s="100"/>
      <c r="F140" s="100"/>
      <c r="G140" s="100"/>
      <c r="H140" s="100"/>
    </row>
    <row r="141" spans="2:8" x14ac:dyDescent="0.3">
      <c r="B141" s="100"/>
      <c r="C141" s="100"/>
      <c r="D141" s="100"/>
      <c r="E141" s="100"/>
      <c r="F141" s="100"/>
      <c r="G141" s="100"/>
      <c r="H141" s="100"/>
    </row>
    <row r="142" spans="2:8" x14ac:dyDescent="0.3">
      <c r="B142" s="100"/>
      <c r="C142" s="100"/>
      <c r="D142" s="100"/>
      <c r="E142" s="100"/>
      <c r="F142" s="100"/>
      <c r="G142" s="100"/>
      <c r="H142" s="100"/>
    </row>
    <row r="143" spans="2:8" x14ac:dyDescent="0.3">
      <c r="B143" s="100"/>
      <c r="C143" s="100"/>
      <c r="D143" s="100"/>
      <c r="E143" s="100"/>
      <c r="F143" s="100"/>
      <c r="G143" s="100"/>
      <c r="H143" s="100"/>
    </row>
    <row r="144" spans="2:8" x14ac:dyDescent="0.3">
      <c r="B144" s="100"/>
      <c r="C144" s="100"/>
      <c r="D144" s="100"/>
      <c r="E144" s="100"/>
      <c r="F144" s="100"/>
      <c r="G144" s="100"/>
      <c r="H144" s="100"/>
    </row>
    <row r="145" spans="2:8" x14ac:dyDescent="0.3">
      <c r="B145" s="100"/>
      <c r="C145" s="100"/>
      <c r="D145" s="100"/>
      <c r="E145" s="100"/>
      <c r="F145" s="100"/>
      <c r="G145" s="100"/>
      <c r="H145" s="100"/>
    </row>
    <row r="146" spans="2:8" x14ac:dyDescent="0.3">
      <c r="B146" s="100"/>
      <c r="C146" s="100"/>
      <c r="D146" s="100"/>
      <c r="E146" s="100"/>
      <c r="F146" s="100"/>
      <c r="G146" s="100"/>
      <c r="H146" s="100"/>
    </row>
    <row r="147" spans="2:8" x14ac:dyDescent="0.3">
      <c r="B147" s="100"/>
      <c r="C147" s="100"/>
      <c r="D147" s="100"/>
      <c r="E147" s="100"/>
      <c r="F147" s="100"/>
      <c r="G147" s="100"/>
      <c r="H147" s="100"/>
    </row>
    <row r="148" spans="2:8" x14ac:dyDescent="0.3">
      <c r="B148" s="100"/>
      <c r="C148" s="100"/>
      <c r="D148" s="100"/>
      <c r="E148" s="100"/>
      <c r="F148" s="100"/>
      <c r="G148" s="100"/>
      <c r="H148" s="100"/>
    </row>
    <row r="149" spans="2:8" x14ac:dyDescent="0.3">
      <c r="B149" s="100"/>
      <c r="C149" s="100"/>
      <c r="D149" s="100"/>
      <c r="E149" s="100"/>
      <c r="F149" s="100"/>
      <c r="G149" s="100"/>
      <c r="H149" s="100"/>
    </row>
    <row r="150" spans="2:8" x14ac:dyDescent="0.3">
      <c r="B150" s="100"/>
      <c r="C150" s="100"/>
      <c r="D150" s="100"/>
      <c r="E150" s="100"/>
      <c r="F150" s="100"/>
      <c r="G150" s="100"/>
      <c r="H150" s="100"/>
    </row>
    <row r="151" spans="2:8" x14ac:dyDescent="0.3">
      <c r="B151" s="100"/>
      <c r="C151" s="100"/>
      <c r="D151" s="100"/>
      <c r="E151" s="100"/>
      <c r="F151" s="100"/>
      <c r="G151" s="100"/>
      <c r="H151" s="100"/>
    </row>
    <row r="152" spans="2:8" x14ac:dyDescent="0.3">
      <c r="B152" s="100"/>
      <c r="C152" s="100"/>
      <c r="D152" s="100"/>
      <c r="E152" s="100"/>
      <c r="F152" s="100"/>
      <c r="G152" s="100"/>
      <c r="H152" s="100"/>
    </row>
    <row r="153" spans="2:8" x14ac:dyDescent="0.3">
      <c r="B153" s="100"/>
      <c r="C153" s="100"/>
      <c r="D153" s="100"/>
      <c r="E153" s="100"/>
      <c r="F153" s="100"/>
      <c r="G153" s="100"/>
      <c r="H153" s="100"/>
    </row>
    <row r="154" spans="2:8" x14ac:dyDescent="0.3">
      <c r="B154" s="100"/>
      <c r="C154" s="100"/>
      <c r="D154" s="100"/>
      <c r="E154" s="100"/>
      <c r="F154" s="100"/>
      <c r="G154" s="100"/>
      <c r="H154" s="100"/>
    </row>
    <row r="155" spans="2:8" x14ac:dyDescent="0.3">
      <c r="B155" s="100"/>
      <c r="C155" s="100"/>
      <c r="D155" s="100"/>
      <c r="E155" s="100"/>
      <c r="F155" s="100"/>
      <c r="G155" s="100"/>
      <c r="H155" s="100"/>
    </row>
    <row r="156" spans="2:8" x14ac:dyDescent="0.3">
      <c r="B156" s="100"/>
      <c r="C156" s="100"/>
      <c r="D156" s="100"/>
      <c r="E156" s="100"/>
      <c r="F156" s="100"/>
      <c r="G156" s="100"/>
      <c r="H156" s="100"/>
    </row>
    <row r="157" spans="2:8" x14ac:dyDescent="0.3">
      <c r="B157" s="100"/>
      <c r="C157" s="100"/>
      <c r="D157" s="100"/>
      <c r="E157" s="100"/>
      <c r="F157" s="100"/>
      <c r="G157" s="100"/>
      <c r="H157" s="100"/>
    </row>
    <row r="158" spans="2:8" x14ac:dyDescent="0.3">
      <c r="B158" s="100"/>
      <c r="C158" s="100"/>
      <c r="D158" s="100"/>
      <c r="E158" s="100"/>
      <c r="F158" s="100"/>
      <c r="G158" s="100"/>
      <c r="H158" s="100"/>
    </row>
    <row r="159" spans="2:8" x14ac:dyDescent="0.3">
      <c r="B159" s="100"/>
      <c r="C159" s="100"/>
      <c r="D159" s="100"/>
      <c r="E159" s="100"/>
      <c r="F159" s="100"/>
      <c r="G159" s="100"/>
      <c r="H159" s="100"/>
    </row>
    <row r="160" spans="2:8" x14ac:dyDescent="0.3">
      <c r="B160" s="100"/>
      <c r="C160" s="100"/>
      <c r="D160" s="100"/>
      <c r="E160" s="100"/>
      <c r="F160" s="100"/>
      <c r="G160" s="100"/>
      <c r="H160" s="100"/>
    </row>
    <row r="161" spans="2:8" x14ac:dyDescent="0.3">
      <c r="B161" s="100"/>
      <c r="C161" s="100"/>
      <c r="D161" s="100"/>
      <c r="E161" s="100"/>
      <c r="F161" s="100"/>
      <c r="G161" s="100"/>
      <c r="H161" s="100"/>
    </row>
    <row r="162" spans="2:8" x14ac:dyDescent="0.3">
      <c r="B162" s="100"/>
      <c r="C162" s="100"/>
      <c r="D162" s="100"/>
      <c r="E162" s="100"/>
      <c r="F162" s="100"/>
      <c r="G162" s="100"/>
      <c r="H162" s="100"/>
    </row>
    <row r="163" spans="2:8" x14ac:dyDescent="0.3">
      <c r="B163" s="100"/>
      <c r="C163" s="100"/>
      <c r="D163" s="100"/>
      <c r="E163" s="100"/>
      <c r="F163" s="100"/>
      <c r="G163" s="100"/>
      <c r="H163" s="100"/>
    </row>
    <row r="164" spans="2:8" x14ac:dyDescent="0.3">
      <c r="B164" s="100"/>
      <c r="C164" s="100"/>
      <c r="D164" s="100"/>
      <c r="E164" s="100"/>
      <c r="F164" s="100"/>
      <c r="G164" s="100"/>
      <c r="H164" s="100"/>
    </row>
    <row r="165" spans="2:8" x14ac:dyDescent="0.3">
      <c r="B165" s="100"/>
      <c r="C165" s="100"/>
      <c r="D165" s="100"/>
      <c r="E165" s="100"/>
      <c r="F165" s="100"/>
      <c r="G165" s="100"/>
      <c r="H165" s="100"/>
    </row>
    <row r="166" spans="2:8" x14ac:dyDescent="0.3">
      <c r="B166" s="100"/>
      <c r="C166" s="100"/>
      <c r="D166" s="100"/>
      <c r="E166" s="100"/>
      <c r="F166" s="100"/>
      <c r="G166" s="100"/>
      <c r="H166" s="100"/>
    </row>
    <row r="167" spans="2:8" x14ac:dyDescent="0.3">
      <c r="B167" s="100"/>
      <c r="C167" s="100"/>
      <c r="D167" s="100"/>
      <c r="E167" s="100"/>
      <c r="F167" s="100"/>
      <c r="G167" s="100"/>
      <c r="H167" s="100"/>
    </row>
    <row r="168" spans="2:8" x14ac:dyDescent="0.3">
      <c r="B168" s="100"/>
      <c r="C168" s="100"/>
      <c r="D168" s="100"/>
      <c r="E168" s="100"/>
      <c r="F168" s="100"/>
      <c r="G168" s="100"/>
      <c r="H168" s="100"/>
    </row>
    <row r="169" spans="2:8" x14ac:dyDescent="0.3">
      <c r="B169" s="100"/>
      <c r="C169" s="100"/>
      <c r="D169" s="100"/>
      <c r="E169" s="100"/>
      <c r="F169" s="100"/>
      <c r="G169" s="100"/>
      <c r="H169" s="100"/>
    </row>
    <row r="170" spans="2:8" x14ac:dyDescent="0.3">
      <c r="B170" s="100"/>
      <c r="C170" s="100"/>
      <c r="D170" s="100"/>
      <c r="E170" s="100"/>
      <c r="F170" s="100"/>
      <c r="G170" s="100"/>
      <c r="H170" s="100"/>
    </row>
    <row r="171" spans="2:8" x14ac:dyDescent="0.3">
      <c r="B171" s="100"/>
      <c r="C171" s="100"/>
      <c r="D171" s="100"/>
      <c r="E171" s="100"/>
      <c r="F171" s="100"/>
      <c r="G171" s="100"/>
      <c r="H171" s="100"/>
    </row>
    <row r="172" spans="2:8" x14ac:dyDescent="0.3">
      <c r="B172" s="100"/>
      <c r="C172" s="100"/>
      <c r="D172" s="100"/>
      <c r="E172" s="100"/>
      <c r="F172" s="100"/>
      <c r="G172" s="100"/>
      <c r="H172" s="100"/>
    </row>
    <row r="173" spans="2:8" x14ac:dyDescent="0.3">
      <c r="B173" s="100"/>
      <c r="C173" s="100"/>
      <c r="D173" s="100"/>
      <c r="E173" s="100"/>
      <c r="F173" s="100"/>
      <c r="G173" s="100"/>
      <c r="H173" s="100"/>
    </row>
    <row r="174" spans="2:8" x14ac:dyDescent="0.3">
      <c r="B174" s="100"/>
      <c r="C174" s="100"/>
      <c r="D174" s="100"/>
      <c r="E174" s="100"/>
      <c r="F174" s="100"/>
      <c r="G174" s="100"/>
      <c r="H174" s="100"/>
    </row>
    <row r="175" spans="2:8" x14ac:dyDescent="0.3">
      <c r="B175" s="100"/>
      <c r="C175" s="100"/>
      <c r="D175" s="100"/>
      <c r="E175" s="100"/>
      <c r="F175" s="100"/>
      <c r="G175" s="100"/>
      <c r="H175" s="100"/>
    </row>
    <row r="176" spans="2:8" x14ac:dyDescent="0.3">
      <c r="B176" s="100"/>
      <c r="C176" s="100"/>
      <c r="D176" s="100"/>
      <c r="E176" s="100"/>
      <c r="F176" s="100"/>
      <c r="G176" s="100"/>
      <c r="H176" s="100"/>
    </row>
    <row r="177" spans="2:8" x14ac:dyDescent="0.3">
      <c r="B177" s="100"/>
      <c r="C177" s="100"/>
      <c r="D177" s="100"/>
      <c r="E177" s="100"/>
      <c r="F177" s="100"/>
      <c r="G177" s="100"/>
      <c r="H177" s="100"/>
    </row>
    <row r="178" spans="2:8" x14ac:dyDescent="0.3">
      <c r="B178" s="100"/>
      <c r="C178" s="100"/>
      <c r="D178" s="100"/>
      <c r="E178" s="100"/>
      <c r="F178" s="100"/>
      <c r="G178" s="100"/>
      <c r="H178" s="100"/>
    </row>
    <row r="179" spans="2:8" x14ac:dyDescent="0.3">
      <c r="B179" s="100"/>
      <c r="C179" s="100"/>
      <c r="D179" s="100"/>
      <c r="E179" s="100"/>
      <c r="F179" s="100"/>
      <c r="G179" s="100"/>
      <c r="H179" s="100"/>
    </row>
    <row r="180" spans="2:8" x14ac:dyDescent="0.3">
      <c r="B180" s="100"/>
      <c r="C180" s="100"/>
      <c r="D180" s="100"/>
      <c r="E180" s="100"/>
      <c r="F180" s="100"/>
      <c r="G180" s="100"/>
      <c r="H180" s="100"/>
    </row>
    <row r="181" spans="2:8" x14ac:dyDescent="0.3">
      <c r="B181" s="100"/>
      <c r="C181" s="100"/>
      <c r="D181" s="100"/>
      <c r="E181" s="100"/>
      <c r="F181" s="100"/>
      <c r="G181" s="100"/>
      <c r="H181" s="100"/>
    </row>
    <row r="182" spans="2:8" x14ac:dyDescent="0.3">
      <c r="B182" s="100"/>
      <c r="C182" s="100"/>
      <c r="D182" s="100"/>
      <c r="E182" s="100"/>
      <c r="F182" s="100"/>
      <c r="G182" s="100"/>
      <c r="H182" s="100"/>
    </row>
    <row r="183" spans="2:8" x14ac:dyDescent="0.3">
      <c r="B183" s="100"/>
      <c r="C183" s="100"/>
      <c r="D183" s="100"/>
      <c r="E183" s="100"/>
      <c r="F183" s="100"/>
      <c r="G183" s="100"/>
      <c r="H183" s="100"/>
    </row>
    <row r="184" spans="2:8" x14ac:dyDescent="0.3">
      <c r="B184" s="100"/>
      <c r="C184" s="100"/>
      <c r="D184" s="100"/>
      <c r="E184" s="100"/>
      <c r="F184" s="100"/>
      <c r="G184" s="100"/>
      <c r="H184" s="100"/>
    </row>
    <row r="185" spans="2:8" x14ac:dyDescent="0.3">
      <c r="B185" s="100"/>
      <c r="C185" s="100"/>
      <c r="D185" s="100"/>
      <c r="E185" s="100"/>
      <c r="F185" s="100"/>
      <c r="G185" s="100"/>
      <c r="H185" s="100"/>
    </row>
    <row r="186" spans="2:8" x14ac:dyDescent="0.3">
      <c r="B186" s="100"/>
      <c r="C186" s="100"/>
      <c r="D186" s="100"/>
      <c r="E186" s="100"/>
      <c r="F186" s="100"/>
      <c r="G186" s="100"/>
      <c r="H186" s="100"/>
    </row>
    <row r="187" spans="2:8" x14ac:dyDescent="0.3">
      <c r="B187" s="100"/>
      <c r="C187" s="100"/>
      <c r="D187" s="100"/>
      <c r="E187" s="100"/>
      <c r="F187" s="100"/>
      <c r="G187" s="100"/>
      <c r="H187" s="100"/>
    </row>
    <row r="188" spans="2:8" x14ac:dyDescent="0.3">
      <c r="B188" s="100"/>
      <c r="C188" s="100"/>
      <c r="D188" s="100"/>
      <c r="E188" s="100"/>
      <c r="F188" s="100"/>
      <c r="G188" s="100"/>
      <c r="H188" s="100"/>
    </row>
    <row r="189" spans="2:8" x14ac:dyDescent="0.3">
      <c r="B189" s="100"/>
      <c r="C189" s="100"/>
      <c r="D189" s="100"/>
      <c r="E189" s="100"/>
      <c r="F189" s="100"/>
      <c r="G189" s="100"/>
      <c r="H189" s="100"/>
    </row>
    <row r="190" spans="2:8" x14ac:dyDescent="0.3">
      <c r="B190" s="100"/>
      <c r="C190" s="100"/>
      <c r="D190" s="100"/>
      <c r="E190" s="100"/>
      <c r="F190" s="100"/>
      <c r="G190" s="100"/>
      <c r="H190" s="100"/>
    </row>
    <row r="191" spans="2:8" x14ac:dyDescent="0.3">
      <c r="B191" s="100"/>
      <c r="C191" s="100"/>
      <c r="D191" s="100"/>
      <c r="E191" s="100"/>
      <c r="F191" s="100"/>
      <c r="G191" s="100"/>
      <c r="H191" s="100"/>
    </row>
    <row r="192" spans="2:8" x14ac:dyDescent="0.3">
      <c r="B192" s="100"/>
      <c r="C192" s="100"/>
      <c r="D192" s="100"/>
      <c r="E192" s="100"/>
      <c r="F192" s="100"/>
      <c r="G192" s="100"/>
      <c r="H192" s="100"/>
    </row>
    <row r="193" spans="2:8" x14ac:dyDescent="0.3">
      <c r="B193" s="100"/>
      <c r="C193" s="100"/>
      <c r="D193" s="100"/>
      <c r="E193" s="100"/>
      <c r="F193" s="100"/>
      <c r="G193" s="100"/>
      <c r="H193" s="100"/>
    </row>
    <row r="194" spans="2:8" x14ac:dyDescent="0.3">
      <c r="B194" s="100"/>
      <c r="C194" s="100"/>
      <c r="D194" s="100"/>
      <c r="E194" s="100"/>
      <c r="F194" s="100"/>
      <c r="G194" s="100"/>
      <c r="H194" s="100"/>
    </row>
    <row r="195" spans="2:8" x14ac:dyDescent="0.3">
      <c r="B195" s="100"/>
      <c r="C195" s="100"/>
      <c r="D195" s="100"/>
      <c r="E195" s="100"/>
      <c r="F195" s="100"/>
      <c r="G195" s="100"/>
      <c r="H195" s="100"/>
    </row>
    <row r="196" spans="2:8" x14ac:dyDescent="0.3">
      <c r="B196" s="100"/>
      <c r="C196" s="100"/>
      <c r="D196" s="100"/>
      <c r="E196" s="100"/>
      <c r="F196" s="100"/>
      <c r="G196" s="100"/>
      <c r="H196" s="100"/>
    </row>
    <row r="197" spans="2:8" x14ac:dyDescent="0.3">
      <c r="B197" s="100"/>
      <c r="C197" s="100"/>
      <c r="D197" s="100"/>
      <c r="E197" s="100"/>
      <c r="F197" s="100"/>
      <c r="G197" s="100"/>
      <c r="H197" s="100"/>
    </row>
    <row r="198" spans="2:8" x14ac:dyDescent="0.3">
      <c r="B198" s="100"/>
      <c r="C198" s="100"/>
      <c r="D198" s="100"/>
      <c r="E198" s="100"/>
      <c r="F198" s="100"/>
      <c r="G198" s="100"/>
      <c r="H198" s="100"/>
    </row>
    <row r="199" spans="2:8" x14ac:dyDescent="0.3">
      <c r="B199" s="100"/>
      <c r="C199" s="100"/>
      <c r="D199" s="100"/>
      <c r="E199" s="100"/>
      <c r="F199" s="100"/>
      <c r="G199" s="100"/>
      <c r="H199" s="100"/>
    </row>
    <row r="200" spans="2:8" x14ac:dyDescent="0.3">
      <c r="B200" s="100"/>
      <c r="C200" s="100"/>
      <c r="D200" s="100"/>
      <c r="E200" s="100"/>
      <c r="F200" s="100"/>
      <c r="G200" s="100"/>
      <c r="H200" s="100"/>
    </row>
    <row r="201" spans="2:8" x14ac:dyDescent="0.3">
      <c r="B201" s="100"/>
      <c r="C201" s="100"/>
      <c r="D201" s="100"/>
      <c r="E201" s="100"/>
      <c r="F201" s="100"/>
      <c r="G201" s="100"/>
      <c r="H201" s="100"/>
    </row>
    <row r="202" spans="2:8" x14ac:dyDescent="0.3">
      <c r="B202" s="100"/>
      <c r="C202" s="100"/>
      <c r="D202" s="100"/>
      <c r="E202" s="100"/>
      <c r="F202" s="100"/>
      <c r="G202" s="100"/>
      <c r="H202" s="100"/>
    </row>
    <row r="203" spans="2:8" x14ac:dyDescent="0.3">
      <c r="B203" s="100"/>
      <c r="C203" s="100"/>
      <c r="D203" s="100"/>
      <c r="E203" s="100"/>
      <c r="F203" s="100"/>
      <c r="G203" s="100"/>
      <c r="H203" s="100"/>
    </row>
    <row r="204" spans="2:8" x14ac:dyDescent="0.3">
      <c r="B204" s="100"/>
      <c r="C204" s="100"/>
      <c r="D204" s="100"/>
      <c r="E204" s="100"/>
      <c r="F204" s="100"/>
      <c r="G204" s="100"/>
      <c r="H204" s="100"/>
    </row>
    <row r="205" spans="2:8" x14ac:dyDescent="0.3">
      <c r="B205" s="100"/>
      <c r="C205" s="100"/>
      <c r="D205" s="100"/>
      <c r="E205" s="100"/>
      <c r="F205" s="100"/>
      <c r="G205" s="100"/>
      <c r="H205" s="100"/>
    </row>
    <row r="206" spans="2:8" x14ac:dyDescent="0.3">
      <c r="B206" s="100"/>
      <c r="C206" s="100"/>
      <c r="D206" s="100"/>
      <c r="E206" s="100"/>
      <c r="F206" s="100"/>
      <c r="G206" s="100"/>
      <c r="H206" s="100"/>
    </row>
    <row r="207" spans="2:8" x14ac:dyDescent="0.3">
      <c r="B207" s="100"/>
      <c r="C207" s="100"/>
      <c r="D207" s="100"/>
      <c r="E207" s="100"/>
      <c r="F207" s="100"/>
      <c r="G207" s="100"/>
      <c r="H207" s="100"/>
    </row>
    <row r="208" spans="2:8" x14ac:dyDescent="0.3">
      <c r="B208" s="100"/>
      <c r="C208" s="100"/>
      <c r="D208" s="100"/>
      <c r="E208" s="100"/>
      <c r="F208" s="100"/>
      <c r="G208" s="100"/>
      <c r="H208" s="100"/>
    </row>
    <row r="209" spans="2:8" x14ac:dyDescent="0.3">
      <c r="B209" s="100"/>
      <c r="C209" s="100"/>
      <c r="D209" s="100"/>
      <c r="E209" s="100"/>
      <c r="F209" s="100"/>
      <c r="G209" s="100"/>
      <c r="H209" s="100"/>
    </row>
    <row r="210" spans="2:8" x14ac:dyDescent="0.3">
      <c r="B210" s="100"/>
      <c r="C210" s="100"/>
      <c r="D210" s="100"/>
      <c r="E210" s="100"/>
      <c r="F210" s="100"/>
      <c r="G210" s="100"/>
      <c r="H210" s="100"/>
    </row>
    <row r="211" spans="2:8" x14ac:dyDescent="0.3">
      <c r="B211" s="100"/>
      <c r="C211" s="100"/>
      <c r="D211" s="100"/>
      <c r="E211" s="100"/>
      <c r="F211" s="100"/>
      <c r="G211" s="100"/>
      <c r="H211" s="100"/>
    </row>
    <row r="212" spans="2:8" x14ac:dyDescent="0.3">
      <c r="B212" s="100"/>
      <c r="C212" s="100"/>
      <c r="D212" s="100"/>
      <c r="E212" s="100"/>
      <c r="F212" s="100"/>
      <c r="G212" s="100"/>
      <c r="H212" s="100"/>
    </row>
    <row r="213" spans="2:8" x14ac:dyDescent="0.3">
      <c r="B213" s="100"/>
      <c r="C213" s="100"/>
      <c r="D213" s="100"/>
      <c r="E213" s="100"/>
      <c r="F213" s="100"/>
      <c r="G213" s="100"/>
      <c r="H213" s="100"/>
    </row>
    <row r="214" spans="2:8" x14ac:dyDescent="0.3">
      <c r="B214" s="100"/>
      <c r="C214" s="100"/>
      <c r="D214" s="100"/>
      <c r="E214" s="100"/>
      <c r="F214" s="100"/>
      <c r="G214" s="100"/>
      <c r="H214" s="100"/>
    </row>
    <row r="215" spans="2:8" x14ac:dyDescent="0.3">
      <c r="B215" s="100"/>
      <c r="C215" s="100"/>
      <c r="D215" s="100"/>
      <c r="E215" s="100"/>
      <c r="F215" s="100"/>
      <c r="G215" s="100"/>
      <c r="H215" s="100"/>
    </row>
    <row r="216" spans="2:8" x14ac:dyDescent="0.3">
      <c r="B216" s="100"/>
      <c r="C216" s="100"/>
      <c r="D216" s="100"/>
      <c r="E216" s="100"/>
      <c r="F216" s="100"/>
      <c r="G216" s="100"/>
      <c r="H216" s="100"/>
    </row>
    <row r="217" spans="2:8" x14ac:dyDescent="0.3">
      <c r="B217" s="100"/>
      <c r="C217" s="100"/>
      <c r="D217" s="100"/>
      <c r="E217" s="100"/>
      <c r="F217" s="100"/>
      <c r="G217" s="100"/>
      <c r="H217" s="100"/>
    </row>
    <row r="218" spans="2:8" x14ac:dyDescent="0.3">
      <c r="B218" s="100"/>
      <c r="C218" s="100"/>
      <c r="D218" s="100"/>
      <c r="E218" s="100"/>
      <c r="F218" s="100"/>
      <c r="G218" s="100"/>
      <c r="H218" s="100"/>
    </row>
    <row r="219" spans="2:8" x14ac:dyDescent="0.3">
      <c r="B219" s="100"/>
      <c r="C219" s="100"/>
      <c r="D219" s="100"/>
      <c r="E219" s="100"/>
      <c r="F219" s="100"/>
      <c r="G219" s="100"/>
      <c r="H219" s="100"/>
    </row>
    <row r="220" spans="2:8" x14ac:dyDescent="0.3">
      <c r="B220" s="100"/>
      <c r="C220" s="100"/>
      <c r="D220" s="100"/>
      <c r="E220" s="100"/>
      <c r="F220" s="100"/>
      <c r="G220" s="100"/>
      <c r="H220" s="100"/>
    </row>
    <row r="221" spans="2:8" x14ac:dyDescent="0.3">
      <c r="B221" s="100"/>
      <c r="C221" s="100"/>
      <c r="D221" s="100"/>
      <c r="E221" s="100"/>
      <c r="F221" s="100"/>
      <c r="G221" s="100"/>
      <c r="H221" s="100"/>
    </row>
    <row r="222" spans="2:8" x14ac:dyDescent="0.3">
      <c r="B222" s="100"/>
      <c r="C222" s="100"/>
      <c r="D222" s="100"/>
      <c r="E222" s="100"/>
      <c r="F222" s="100"/>
      <c r="G222" s="100"/>
      <c r="H222" s="100"/>
    </row>
    <row r="223" spans="2:8" x14ac:dyDescent="0.3">
      <c r="B223" s="100"/>
      <c r="C223" s="100"/>
      <c r="D223" s="100"/>
      <c r="E223" s="100"/>
      <c r="F223" s="100"/>
      <c r="G223" s="100"/>
      <c r="H223" s="100"/>
    </row>
    <row r="224" spans="2:8" x14ac:dyDescent="0.3">
      <c r="B224" s="100"/>
      <c r="C224" s="100"/>
      <c r="D224" s="100"/>
      <c r="E224" s="100"/>
      <c r="F224" s="100"/>
      <c r="G224" s="100"/>
      <c r="H224" s="100"/>
    </row>
    <row r="225" spans="2:8" x14ac:dyDescent="0.3">
      <c r="B225" s="100"/>
      <c r="C225" s="100"/>
      <c r="D225" s="100"/>
      <c r="E225" s="100"/>
      <c r="F225" s="100"/>
      <c r="G225" s="100"/>
      <c r="H225" s="100"/>
    </row>
    <row r="226" spans="2:8" x14ac:dyDescent="0.3">
      <c r="B226" s="100"/>
      <c r="C226" s="100"/>
      <c r="D226" s="100"/>
      <c r="E226" s="100"/>
      <c r="F226" s="100"/>
      <c r="G226" s="100"/>
      <c r="H226" s="100"/>
    </row>
    <row r="227" spans="2:8" x14ac:dyDescent="0.3">
      <c r="B227" s="100"/>
      <c r="C227" s="100"/>
      <c r="D227" s="100"/>
      <c r="E227" s="100"/>
      <c r="F227" s="100"/>
      <c r="G227" s="100"/>
      <c r="H227" s="100"/>
    </row>
    <row r="228" spans="2:8" x14ac:dyDescent="0.3">
      <c r="B228" s="100"/>
      <c r="C228" s="100"/>
      <c r="D228" s="100"/>
      <c r="E228" s="100"/>
      <c r="F228" s="100"/>
      <c r="G228" s="100"/>
      <c r="H228" s="100"/>
    </row>
    <row r="229" spans="2:8" x14ac:dyDescent="0.3">
      <c r="B229" s="100"/>
      <c r="C229" s="100"/>
      <c r="D229" s="100"/>
      <c r="E229" s="100"/>
      <c r="F229" s="100"/>
      <c r="G229" s="100"/>
      <c r="H229" s="100"/>
    </row>
    <row r="230" spans="2:8" x14ac:dyDescent="0.3">
      <c r="B230" s="100"/>
      <c r="C230" s="100"/>
      <c r="D230" s="100"/>
      <c r="E230" s="100"/>
      <c r="F230" s="100"/>
      <c r="G230" s="100"/>
      <c r="H230" s="100"/>
    </row>
    <row r="231" spans="2:8" x14ac:dyDescent="0.3">
      <c r="B231" s="100"/>
      <c r="C231" s="100"/>
      <c r="D231" s="100"/>
      <c r="E231" s="100"/>
      <c r="F231" s="100"/>
      <c r="G231" s="100"/>
      <c r="H231" s="100"/>
    </row>
    <row r="232" spans="2:8" x14ac:dyDescent="0.3">
      <c r="B232" s="100"/>
      <c r="C232" s="100"/>
      <c r="D232" s="100"/>
      <c r="E232" s="100"/>
      <c r="F232" s="100"/>
      <c r="G232" s="100"/>
      <c r="H232" s="100"/>
    </row>
    <row r="233" spans="2:8" x14ac:dyDescent="0.3">
      <c r="B233" s="100"/>
      <c r="C233" s="100"/>
      <c r="D233" s="100"/>
      <c r="E233" s="100"/>
      <c r="F233" s="100"/>
      <c r="G233" s="100"/>
      <c r="H233" s="100"/>
    </row>
    <row r="234" spans="2:8" x14ac:dyDescent="0.3">
      <c r="B234" s="100"/>
      <c r="C234" s="100"/>
      <c r="D234" s="100"/>
      <c r="E234" s="100"/>
      <c r="F234" s="100"/>
      <c r="G234" s="100"/>
      <c r="H234" s="100"/>
    </row>
    <row r="235" spans="2:8" x14ac:dyDescent="0.3">
      <c r="B235" s="100"/>
      <c r="C235" s="100"/>
      <c r="D235" s="100"/>
      <c r="E235" s="100"/>
      <c r="F235" s="100"/>
      <c r="G235" s="100"/>
      <c r="H235" s="100"/>
    </row>
    <row r="236" spans="2:8" x14ac:dyDescent="0.3">
      <c r="B236" s="100"/>
      <c r="C236" s="100"/>
      <c r="D236" s="100"/>
      <c r="E236" s="100"/>
      <c r="F236" s="100"/>
      <c r="G236" s="100"/>
      <c r="H236" s="100"/>
    </row>
    <row r="237" spans="2:8" x14ac:dyDescent="0.3">
      <c r="B237" s="100"/>
      <c r="C237" s="100"/>
      <c r="D237" s="100"/>
      <c r="E237" s="100"/>
      <c r="F237" s="100"/>
      <c r="G237" s="100"/>
      <c r="H237" s="100"/>
    </row>
    <row r="238" spans="2:8" x14ac:dyDescent="0.3">
      <c r="B238" s="100"/>
      <c r="C238" s="100"/>
      <c r="D238" s="100"/>
      <c r="E238" s="100"/>
      <c r="F238" s="100"/>
      <c r="G238" s="100"/>
      <c r="H238" s="100"/>
    </row>
    <row r="239" spans="2:8" x14ac:dyDescent="0.3">
      <c r="B239" s="100"/>
      <c r="C239" s="100"/>
      <c r="D239" s="100"/>
      <c r="E239" s="100"/>
      <c r="F239" s="100"/>
      <c r="G239" s="100"/>
      <c r="H239" s="100"/>
    </row>
    <row r="240" spans="2:8" x14ac:dyDescent="0.3">
      <c r="B240" s="100"/>
      <c r="C240" s="100"/>
      <c r="D240" s="100"/>
      <c r="E240" s="100"/>
      <c r="F240" s="100"/>
      <c r="G240" s="100"/>
      <c r="H240" s="100"/>
    </row>
    <row r="241" spans="2:8" x14ac:dyDescent="0.3">
      <c r="B241" s="100"/>
      <c r="C241" s="100"/>
      <c r="D241" s="100"/>
      <c r="E241" s="100"/>
      <c r="F241" s="100"/>
      <c r="G241" s="100"/>
      <c r="H241" s="100"/>
    </row>
    <row r="242" spans="2:8" x14ac:dyDescent="0.3">
      <c r="B242" s="100"/>
      <c r="C242" s="100"/>
      <c r="D242" s="100"/>
      <c r="E242" s="100"/>
      <c r="F242" s="100"/>
      <c r="G242" s="100"/>
      <c r="H242" s="100"/>
    </row>
    <row r="243" spans="2:8" x14ac:dyDescent="0.3">
      <c r="B243" s="100"/>
      <c r="C243" s="100"/>
      <c r="D243" s="100"/>
      <c r="E243" s="100"/>
      <c r="F243" s="100"/>
      <c r="G243" s="100"/>
      <c r="H243" s="100"/>
    </row>
    <row r="244" spans="2:8" x14ac:dyDescent="0.3">
      <c r="B244" s="100"/>
      <c r="C244" s="100"/>
      <c r="D244" s="100"/>
      <c r="E244" s="100"/>
      <c r="F244" s="100"/>
      <c r="G244" s="100"/>
      <c r="H244" s="100"/>
    </row>
    <row r="245" spans="2:8" x14ac:dyDescent="0.3">
      <c r="B245" s="100"/>
      <c r="C245" s="100"/>
      <c r="D245" s="100"/>
      <c r="E245" s="100"/>
      <c r="F245" s="100"/>
      <c r="G245" s="100"/>
      <c r="H245" s="100"/>
    </row>
    <row r="246" spans="2:8" x14ac:dyDescent="0.3">
      <c r="B246" s="100"/>
      <c r="C246" s="100"/>
      <c r="D246" s="100"/>
      <c r="E246" s="100"/>
      <c r="F246" s="100"/>
      <c r="G246" s="100"/>
      <c r="H246" s="100"/>
    </row>
    <row r="247" spans="2:8" x14ac:dyDescent="0.3">
      <c r="B247" s="100"/>
      <c r="C247" s="100"/>
      <c r="D247" s="100"/>
      <c r="E247" s="100"/>
      <c r="F247" s="100"/>
      <c r="G247" s="100"/>
      <c r="H247" s="100"/>
    </row>
    <row r="248" spans="2:8" x14ac:dyDescent="0.3">
      <c r="B248" s="100"/>
      <c r="C248" s="100"/>
      <c r="D248" s="100"/>
      <c r="E248" s="100"/>
      <c r="F248" s="100"/>
      <c r="G248" s="100"/>
      <c r="H248" s="100"/>
    </row>
    <row r="249" spans="2:8" x14ac:dyDescent="0.3">
      <c r="B249" s="100"/>
      <c r="C249" s="100"/>
      <c r="D249" s="100"/>
      <c r="E249" s="100"/>
      <c r="F249" s="100"/>
      <c r="G249" s="100"/>
      <c r="H249" s="100"/>
    </row>
    <row r="250" spans="2:8" x14ac:dyDescent="0.3">
      <c r="B250" s="100"/>
      <c r="C250" s="100"/>
      <c r="D250" s="100"/>
      <c r="E250" s="100"/>
      <c r="F250" s="100"/>
      <c r="G250" s="100"/>
      <c r="H250" s="100"/>
    </row>
    <row r="251" spans="2:8" x14ac:dyDescent="0.3">
      <c r="B251" s="100"/>
      <c r="C251" s="100"/>
      <c r="D251" s="100"/>
      <c r="E251" s="100"/>
      <c r="F251" s="100"/>
      <c r="G251" s="100"/>
      <c r="H251" s="100"/>
    </row>
    <row r="252" spans="2:8" x14ac:dyDescent="0.3">
      <c r="B252" s="100"/>
      <c r="C252" s="100"/>
      <c r="D252" s="100"/>
      <c r="E252" s="100"/>
      <c r="F252" s="100"/>
      <c r="G252" s="100"/>
      <c r="H252" s="100"/>
    </row>
    <row r="253" spans="2:8" x14ac:dyDescent="0.3">
      <c r="B253" s="100"/>
      <c r="C253" s="100"/>
      <c r="D253" s="100"/>
      <c r="E253" s="100"/>
      <c r="F253" s="100"/>
      <c r="G253" s="100"/>
      <c r="H253" s="100"/>
    </row>
    <row r="254" spans="2:8" x14ac:dyDescent="0.3">
      <c r="B254" s="100"/>
      <c r="C254" s="100"/>
      <c r="D254" s="100"/>
      <c r="E254" s="100"/>
      <c r="F254" s="100"/>
      <c r="G254" s="100"/>
      <c r="H254" s="100"/>
    </row>
    <row r="255" spans="2:8" x14ac:dyDescent="0.3">
      <c r="B255" s="100"/>
      <c r="C255" s="100"/>
      <c r="D255" s="100"/>
      <c r="E255" s="100"/>
      <c r="F255" s="100"/>
      <c r="G255" s="100"/>
      <c r="H255" s="100"/>
    </row>
    <row r="256" spans="2:8" x14ac:dyDescent="0.3">
      <c r="B256" s="100"/>
      <c r="C256" s="100"/>
      <c r="D256" s="100"/>
      <c r="E256" s="100"/>
      <c r="F256" s="100"/>
      <c r="G256" s="100"/>
      <c r="H256" s="100"/>
    </row>
    <row r="257" spans="2:8" x14ac:dyDescent="0.3">
      <c r="B257" s="100"/>
      <c r="C257" s="100"/>
      <c r="D257" s="100"/>
      <c r="E257" s="100"/>
      <c r="F257" s="100"/>
      <c r="G257" s="100"/>
      <c r="H257" s="100"/>
    </row>
    <row r="258" spans="2:8" x14ac:dyDescent="0.3">
      <c r="B258" s="100"/>
      <c r="C258" s="100"/>
      <c r="D258" s="100"/>
      <c r="E258" s="100"/>
      <c r="F258" s="100"/>
      <c r="G258" s="100"/>
      <c r="H258" s="100"/>
    </row>
    <row r="259" spans="2:8" x14ac:dyDescent="0.3">
      <c r="B259" s="100"/>
      <c r="C259" s="100"/>
      <c r="D259" s="100"/>
      <c r="E259" s="100"/>
      <c r="F259" s="100"/>
      <c r="G259" s="100"/>
      <c r="H259" s="100"/>
    </row>
    <row r="260" spans="2:8" x14ac:dyDescent="0.3">
      <c r="B260" s="100"/>
      <c r="C260" s="100"/>
      <c r="D260" s="100"/>
      <c r="E260" s="100"/>
      <c r="F260" s="100"/>
      <c r="G260" s="100"/>
      <c r="H260" s="100"/>
    </row>
    <row r="261" spans="2:8" x14ac:dyDescent="0.3">
      <c r="B261" s="100"/>
      <c r="C261" s="100"/>
      <c r="D261" s="100"/>
      <c r="E261" s="100"/>
      <c r="F261" s="100"/>
      <c r="G261" s="100"/>
      <c r="H261" s="100"/>
    </row>
    <row r="262" spans="2:8" x14ac:dyDescent="0.3">
      <c r="B262" s="100"/>
      <c r="C262" s="100"/>
      <c r="D262" s="100"/>
      <c r="E262" s="100"/>
      <c r="F262" s="100"/>
      <c r="G262" s="100"/>
      <c r="H262" s="100"/>
    </row>
    <row r="263" spans="2:8" x14ac:dyDescent="0.3">
      <c r="B263" s="100"/>
      <c r="C263" s="100"/>
      <c r="D263" s="100"/>
      <c r="E263" s="100"/>
      <c r="F263" s="100"/>
      <c r="G263" s="100"/>
      <c r="H263" s="100"/>
    </row>
    <row r="264" spans="2:8" x14ac:dyDescent="0.3">
      <c r="B264" s="100"/>
      <c r="C264" s="100"/>
      <c r="D264" s="100"/>
      <c r="E264" s="100"/>
      <c r="F264" s="100"/>
      <c r="G264" s="100"/>
      <c r="H264" s="100"/>
    </row>
    <row r="265" spans="2:8" x14ac:dyDescent="0.3">
      <c r="B265" s="100"/>
      <c r="C265" s="100"/>
      <c r="D265" s="100"/>
      <c r="E265" s="100"/>
      <c r="F265" s="100"/>
      <c r="G265" s="100"/>
      <c r="H265" s="100"/>
    </row>
    <row r="266" spans="2:8" x14ac:dyDescent="0.3">
      <c r="B266" s="100"/>
      <c r="C266" s="100"/>
      <c r="D266" s="100"/>
      <c r="E266" s="100"/>
      <c r="F266" s="100"/>
      <c r="G266" s="100"/>
      <c r="H266" s="100"/>
    </row>
    <row r="267" spans="2:8" x14ac:dyDescent="0.3">
      <c r="B267" s="100"/>
      <c r="C267" s="100"/>
      <c r="D267" s="100"/>
      <c r="E267" s="100"/>
      <c r="F267" s="100"/>
      <c r="G267" s="100"/>
      <c r="H267" s="100"/>
    </row>
    <row r="268" spans="2:8" x14ac:dyDescent="0.3">
      <c r="B268" s="100"/>
      <c r="C268" s="100"/>
      <c r="D268" s="100"/>
      <c r="E268" s="100"/>
      <c r="F268" s="100"/>
      <c r="G268" s="100"/>
      <c r="H268" s="100"/>
    </row>
    <row r="269" spans="2:8" x14ac:dyDescent="0.3">
      <c r="B269" s="100"/>
      <c r="C269" s="100"/>
      <c r="D269" s="100"/>
      <c r="E269" s="100"/>
      <c r="F269" s="100"/>
      <c r="G269" s="100"/>
      <c r="H269" s="100"/>
    </row>
    <row r="270" spans="2:8" x14ac:dyDescent="0.3">
      <c r="B270" s="100"/>
      <c r="C270" s="100"/>
      <c r="D270" s="100"/>
      <c r="E270" s="100"/>
      <c r="F270" s="100"/>
      <c r="G270" s="100"/>
      <c r="H270" s="100"/>
    </row>
    <row r="271" spans="2:8" x14ac:dyDescent="0.3">
      <c r="B271" s="100"/>
      <c r="C271" s="100"/>
      <c r="D271" s="100"/>
      <c r="E271" s="100"/>
      <c r="F271" s="100"/>
      <c r="G271" s="100"/>
      <c r="H271" s="100"/>
    </row>
    <row r="272" spans="2:8" x14ac:dyDescent="0.3">
      <c r="B272" s="100"/>
      <c r="C272" s="100"/>
      <c r="D272" s="100"/>
      <c r="E272" s="100"/>
      <c r="F272" s="100"/>
      <c r="G272" s="100"/>
      <c r="H272" s="100"/>
    </row>
    <row r="273" spans="2:8" x14ac:dyDescent="0.3">
      <c r="B273" s="100"/>
      <c r="C273" s="100"/>
      <c r="D273" s="100"/>
      <c r="E273" s="100"/>
      <c r="F273" s="100"/>
      <c r="G273" s="100"/>
      <c r="H273" s="100"/>
    </row>
    <row r="274" spans="2:8" x14ac:dyDescent="0.3">
      <c r="B274" s="100"/>
      <c r="C274" s="100"/>
      <c r="D274" s="100"/>
      <c r="E274" s="100"/>
      <c r="F274" s="100"/>
      <c r="G274" s="100"/>
      <c r="H274" s="100"/>
    </row>
    <row r="275" spans="2:8" x14ac:dyDescent="0.3">
      <c r="B275" s="100"/>
      <c r="C275" s="100"/>
      <c r="D275" s="100"/>
      <c r="E275" s="100"/>
      <c r="F275" s="100"/>
      <c r="G275" s="100"/>
      <c r="H275" s="100"/>
    </row>
    <row r="276" spans="2:8" x14ac:dyDescent="0.3">
      <c r="B276" s="100"/>
      <c r="C276" s="100"/>
      <c r="D276" s="100"/>
      <c r="E276" s="100"/>
      <c r="F276" s="100"/>
      <c r="G276" s="100"/>
      <c r="H276" s="100"/>
    </row>
    <row r="277" spans="2:8" x14ac:dyDescent="0.3">
      <c r="B277" s="100"/>
      <c r="C277" s="100"/>
      <c r="D277" s="100"/>
      <c r="E277" s="100"/>
      <c r="F277" s="100"/>
      <c r="G277" s="100"/>
      <c r="H277" s="100"/>
    </row>
    <row r="278" spans="2:8" x14ac:dyDescent="0.3">
      <c r="B278" s="100"/>
      <c r="C278" s="100"/>
      <c r="D278" s="100"/>
      <c r="E278" s="100"/>
      <c r="F278" s="100"/>
      <c r="G278" s="100"/>
      <c r="H278" s="100"/>
    </row>
    <row r="279" spans="2:8" x14ac:dyDescent="0.3">
      <c r="B279" s="100"/>
      <c r="C279" s="100"/>
      <c r="D279" s="100"/>
      <c r="E279" s="100"/>
      <c r="F279" s="100"/>
      <c r="G279" s="100"/>
      <c r="H279" s="100"/>
    </row>
    <row r="280" spans="2:8" x14ac:dyDescent="0.3">
      <c r="B280" s="100"/>
      <c r="C280" s="100"/>
      <c r="D280" s="100"/>
      <c r="E280" s="100"/>
      <c r="F280" s="100"/>
      <c r="G280" s="100"/>
      <c r="H280" s="100"/>
    </row>
    <row r="281" spans="2:8" x14ac:dyDescent="0.3">
      <c r="B281" s="100"/>
      <c r="C281" s="100"/>
      <c r="D281" s="100"/>
      <c r="E281" s="100"/>
      <c r="F281" s="100"/>
      <c r="G281" s="100"/>
      <c r="H281" s="100"/>
    </row>
    <row r="282" spans="2:8" x14ac:dyDescent="0.3">
      <c r="B282" s="100"/>
      <c r="C282" s="100"/>
      <c r="D282" s="100"/>
      <c r="E282" s="100"/>
      <c r="F282" s="100"/>
      <c r="G282" s="100"/>
      <c r="H282" s="100"/>
    </row>
    <row r="283" spans="2:8" x14ac:dyDescent="0.3">
      <c r="B283" s="100"/>
      <c r="C283" s="100"/>
      <c r="D283" s="100"/>
      <c r="E283" s="100"/>
      <c r="F283" s="100"/>
      <c r="G283" s="100"/>
      <c r="H283" s="100"/>
    </row>
    <row r="284" spans="2:8" x14ac:dyDescent="0.3">
      <c r="B284" s="100"/>
      <c r="C284" s="100"/>
      <c r="D284" s="100"/>
      <c r="E284" s="100"/>
      <c r="F284" s="100"/>
      <c r="G284" s="100"/>
      <c r="H284" s="100"/>
    </row>
    <row r="285" spans="2:8" x14ac:dyDescent="0.3">
      <c r="B285" s="100"/>
      <c r="C285" s="100"/>
      <c r="D285" s="100"/>
      <c r="E285" s="100"/>
      <c r="F285" s="100"/>
      <c r="G285" s="100"/>
      <c r="H285" s="100"/>
    </row>
    <row r="286" spans="2:8" x14ac:dyDescent="0.3">
      <c r="B286" s="100"/>
      <c r="C286" s="100"/>
      <c r="D286" s="100"/>
      <c r="E286" s="100"/>
      <c r="F286" s="100"/>
      <c r="G286" s="100"/>
      <c r="H286" s="100"/>
    </row>
    <row r="287" spans="2:8" x14ac:dyDescent="0.3">
      <c r="B287" s="100"/>
      <c r="C287" s="100"/>
      <c r="D287" s="100"/>
      <c r="E287" s="100"/>
      <c r="F287" s="100"/>
      <c r="G287" s="100"/>
      <c r="H287" s="100"/>
    </row>
    <row r="288" spans="2:8" x14ac:dyDescent="0.3">
      <c r="B288" s="100"/>
      <c r="C288" s="100"/>
      <c r="D288" s="100"/>
      <c r="E288" s="100"/>
      <c r="F288" s="100"/>
      <c r="G288" s="100"/>
      <c r="H288" s="100"/>
    </row>
    <row r="289" spans="2:8" x14ac:dyDescent="0.3">
      <c r="B289" s="100"/>
      <c r="C289" s="100"/>
      <c r="D289" s="100"/>
      <c r="E289" s="100"/>
      <c r="F289" s="100"/>
      <c r="G289" s="100"/>
      <c r="H289" s="100"/>
    </row>
    <row r="290" spans="2:8" x14ac:dyDescent="0.3">
      <c r="B290" s="100"/>
      <c r="C290" s="100"/>
      <c r="D290" s="100"/>
      <c r="E290" s="100"/>
      <c r="F290" s="100"/>
      <c r="G290" s="100"/>
      <c r="H290" s="100"/>
    </row>
    <row r="291" spans="2:8" x14ac:dyDescent="0.3">
      <c r="B291" s="100"/>
      <c r="C291" s="100"/>
      <c r="D291" s="100"/>
      <c r="E291" s="100"/>
      <c r="F291" s="100"/>
      <c r="G291" s="100"/>
      <c r="H291" s="100"/>
    </row>
    <row r="292" spans="2:8" x14ac:dyDescent="0.3">
      <c r="B292" s="100"/>
      <c r="C292" s="100"/>
      <c r="D292" s="100"/>
      <c r="E292" s="100"/>
      <c r="F292" s="100"/>
      <c r="G292" s="100"/>
      <c r="H292" s="100"/>
    </row>
    <row r="293" spans="2:8" x14ac:dyDescent="0.3">
      <c r="B293" s="100"/>
      <c r="C293" s="100"/>
      <c r="D293" s="100"/>
      <c r="E293" s="100"/>
      <c r="F293" s="100"/>
      <c r="G293" s="100"/>
      <c r="H293" s="100"/>
    </row>
    <row r="294" spans="2:8" x14ac:dyDescent="0.3">
      <c r="B294" s="100"/>
      <c r="C294" s="100"/>
      <c r="D294" s="100"/>
      <c r="E294" s="100"/>
      <c r="F294" s="100"/>
      <c r="G294" s="100"/>
      <c r="H294" s="100"/>
    </row>
    <row r="295" spans="2:8" x14ac:dyDescent="0.3">
      <c r="B295" s="100"/>
      <c r="C295" s="100"/>
      <c r="D295" s="100"/>
      <c r="E295" s="100"/>
      <c r="F295" s="100"/>
      <c r="G295" s="100"/>
      <c r="H295" s="100"/>
    </row>
    <row r="296" spans="2:8" x14ac:dyDescent="0.3">
      <c r="B296" s="100"/>
      <c r="C296" s="100"/>
      <c r="D296" s="100"/>
      <c r="E296" s="100"/>
      <c r="F296" s="100"/>
      <c r="G296" s="100"/>
      <c r="H296" s="100"/>
    </row>
    <row r="297" spans="2:8" x14ac:dyDescent="0.3">
      <c r="B297" s="100"/>
      <c r="C297" s="100"/>
      <c r="D297" s="100"/>
      <c r="E297" s="100"/>
      <c r="F297" s="100"/>
      <c r="G297" s="100"/>
      <c r="H297" s="100"/>
    </row>
    <row r="298" spans="2:8" x14ac:dyDescent="0.3">
      <c r="B298" s="100"/>
      <c r="C298" s="100"/>
      <c r="D298" s="100"/>
      <c r="E298" s="100"/>
      <c r="F298" s="100"/>
      <c r="G298" s="100"/>
      <c r="H298" s="100"/>
    </row>
    <row r="299" spans="2:8" x14ac:dyDescent="0.3">
      <c r="B299" s="100"/>
      <c r="C299" s="100"/>
      <c r="D299" s="100"/>
      <c r="E299" s="100"/>
      <c r="F299" s="100"/>
      <c r="G299" s="100"/>
      <c r="H299" s="100"/>
    </row>
    <row r="300" spans="2:8" x14ac:dyDescent="0.3">
      <c r="B300" s="100"/>
      <c r="C300" s="100"/>
      <c r="D300" s="100"/>
      <c r="E300" s="100"/>
      <c r="F300" s="100"/>
      <c r="G300" s="100"/>
      <c r="H300" s="100"/>
    </row>
    <row r="301" spans="2:8" x14ac:dyDescent="0.3">
      <c r="B301" s="100"/>
      <c r="C301" s="100"/>
      <c r="D301" s="100"/>
      <c r="E301" s="100"/>
      <c r="F301" s="100"/>
      <c r="G301" s="100"/>
      <c r="H301" s="100"/>
    </row>
    <row r="302" spans="2:8" x14ac:dyDescent="0.3">
      <c r="B302" s="100"/>
      <c r="C302" s="100"/>
      <c r="D302" s="100"/>
      <c r="E302" s="100"/>
      <c r="F302" s="100"/>
      <c r="G302" s="100"/>
      <c r="H302" s="100"/>
    </row>
    <row r="303" spans="2:8" x14ac:dyDescent="0.3">
      <c r="B303" s="100"/>
      <c r="C303" s="100"/>
      <c r="D303" s="100"/>
      <c r="E303" s="100"/>
      <c r="F303" s="100"/>
      <c r="G303" s="100"/>
      <c r="H303" s="100"/>
    </row>
    <row r="304" spans="2:8" x14ac:dyDescent="0.3">
      <c r="B304" s="100"/>
      <c r="C304" s="100"/>
      <c r="D304" s="100"/>
      <c r="E304" s="100"/>
      <c r="F304" s="100"/>
      <c r="G304" s="100"/>
      <c r="H304" s="100"/>
    </row>
    <row r="305" spans="2:8" x14ac:dyDescent="0.3">
      <c r="B305" s="100"/>
      <c r="C305" s="100"/>
      <c r="D305" s="100"/>
      <c r="E305" s="100"/>
      <c r="F305" s="100"/>
      <c r="G305" s="100"/>
      <c r="H305" s="100"/>
    </row>
    <row r="306" spans="2:8" x14ac:dyDescent="0.3">
      <c r="B306" s="100"/>
      <c r="C306" s="100"/>
      <c r="D306" s="100"/>
      <c r="E306" s="100"/>
      <c r="F306" s="100"/>
      <c r="G306" s="100"/>
      <c r="H306" s="100"/>
    </row>
    <row r="307" spans="2:8" x14ac:dyDescent="0.3">
      <c r="B307" s="100"/>
      <c r="C307" s="100"/>
      <c r="D307" s="100"/>
      <c r="E307" s="100"/>
      <c r="F307" s="100"/>
      <c r="G307" s="100"/>
      <c r="H307" s="100"/>
    </row>
    <row r="308" spans="2:8" x14ac:dyDescent="0.3">
      <c r="B308" s="100"/>
      <c r="C308" s="100"/>
      <c r="D308" s="100"/>
      <c r="E308" s="100"/>
      <c r="F308" s="100"/>
      <c r="G308" s="100"/>
      <c r="H308" s="100"/>
    </row>
    <row r="309" spans="2:8" x14ac:dyDescent="0.3">
      <c r="B309" s="100"/>
      <c r="C309" s="100"/>
      <c r="D309" s="100"/>
      <c r="E309" s="100"/>
      <c r="F309" s="100"/>
      <c r="G309" s="100"/>
      <c r="H309" s="100"/>
    </row>
    <row r="310" spans="2:8" x14ac:dyDescent="0.3">
      <c r="B310" s="100"/>
      <c r="C310" s="100"/>
      <c r="D310" s="100"/>
      <c r="E310" s="100"/>
      <c r="F310" s="100"/>
      <c r="G310" s="100"/>
      <c r="H310" s="100"/>
    </row>
    <row r="311" spans="2:8" x14ac:dyDescent="0.3">
      <c r="B311" s="100"/>
      <c r="C311" s="100"/>
      <c r="D311" s="100"/>
      <c r="E311" s="100"/>
      <c r="F311" s="100"/>
      <c r="G311" s="100"/>
      <c r="H311" s="100"/>
    </row>
    <row r="312" spans="2:8" x14ac:dyDescent="0.3">
      <c r="B312" s="100"/>
      <c r="C312" s="100"/>
      <c r="D312" s="100"/>
      <c r="E312" s="100"/>
      <c r="F312" s="100"/>
      <c r="G312" s="100"/>
      <c r="H312" s="100"/>
    </row>
    <row r="313" spans="2:8" x14ac:dyDescent="0.3">
      <c r="B313" s="100"/>
      <c r="C313" s="100"/>
      <c r="D313" s="100"/>
      <c r="E313" s="100"/>
      <c r="F313" s="100"/>
      <c r="G313" s="100"/>
      <c r="H313" s="100"/>
    </row>
    <row r="314" spans="2:8" x14ac:dyDescent="0.3">
      <c r="B314" s="100"/>
      <c r="C314" s="100"/>
      <c r="D314" s="100"/>
      <c r="E314" s="100"/>
      <c r="F314" s="100"/>
      <c r="G314" s="100"/>
      <c r="H314" s="100"/>
    </row>
    <row r="315" spans="2:8" x14ac:dyDescent="0.3">
      <c r="B315" s="100"/>
      <c r="C315" s="100"/>
      <c r="D315" s="100"/>
      <c r="E315" s="100"/>
      <c r="F315" s="100"/>
      <c r="G315" s="100"/>
      <c r="H315" s="100"/>
    </row>
    <row r="316" spans="2:8" x14ac:dyDescent="0.3">
      <c r="B316" s="100"/>
      <c r="C316" s="100"/>
      <c r="D316" s="100"/>
      <c r="E316" s="100"/>
      <c r="F316" s="100"/>
      <c r="G316" s="100"/>
      <c r="H316" s="100"/>
    </row>
    <row r="317" spans="2:8" x14ac:dyDescent="0.3">
      <c r="B317" s="100"/>
      <c r="C317" s="100"/>
      <c r="D317" s="100"/>
      <c r="E317" s="100"/>
      <c r="F317" s="100"/>
      <c r="G317" s="100"/>
      <c r="H317" s="100"/>
    </row>
    <row r="318" spans="2:8" x14ac:dyDescent="0.3">
      <c r="B318" s="100"/>
      <c r="C318" s="100"/>
      <c r="D318" s="100"/>
      <c r="E318" s="100"/>
      <c r="F318" s="100"/>
      <c r="G318" s="100"/>
      <c r="H318" s="100"/>
    </row>
    <row r="319" spans="2:8" x14ac:dyDescent="0.3">
      <c r="B319" s="100"/>
      <c r="C319" s="100"/>
      <c r="D319" s="100"/>
      <c r="E319" s="100"/>
      <c r="F319" s="100"/>
      <c r="G319" s="100"/>
      <c r="H319" s="100"/>
    </row>
    <row r="320" spans="2:8" x14ac:dyDescent="0.3">
      <c r="B320" s="100"/>
      <c r="C320" s="100"/>
      <c r="D320" s="100"/>
      <c r="E320" s="100"/>
      <c r="F320" s="100"/>
      <c r="G320" s="100"/>
      <c r="H320" s="100"/>
    </row>
    <row r="321" spans="2:8" x14ac:dyDescent="0.3">
      <c r="B321" s="100"/>
      <c r="C321" s="100"/>
      <c r="D321" s="100"/>
      <c r="E321" s="100"/>
      <c r="F321" s="100"/>
      <c r="G321" s="100"/>
      <c r="H321" s="100"/>
    </row>
    <row r="322" spans="2:8" x14ac:dyDescent="0.3">
      <c r="B322" s="100"/>
      <c r="C322" s="100"/>
      <c r="D322" s="100"/>
      <c r="E322" s="100"/>
      <c r="F322" s="100"/>
      <c r="G322" s="100"/>
      <c r="H322" s="100"/>
    </row>
    <row r="323" spans="2:8" x14ac:dyDescent="0.3">
      <c r="B323" s="100"/>
      <c r="C323" s="100"/>
      <c r="D323" s="100"/>
      <c r="E323" s="100"/>
      <c r="F323" s="100"/>
      <c r="G323" s="100"/>
      <c r="H323" s="100"/>
    </row>
    <row r="324" spans="2:8" x14ac:dyDescent="0.3">
      <c r="B324" s="100"/>
      <c r="C324" s="100"/>
      <c r="D324" s="100"/>
      <c r="E324" s="100"/>
      <c r="F324" s="100"/>
      <c r="G324" s="100"/>
      <c r="H324" s="100"/>
    </row>
    <row r="325" spans="2:8" x14ac:dyDescent="0.3">
      <c r="B325" s="100"/>
      <c r="C325" s="100"/>
      <c r="D325" s="100"/>
      <c r="E325" s="100"/>
      <c r="F325" s="100"/>
      <c r="G325" s="100"/>
      <c r="H325" s="100"/>
    </row>
    <row r="326" spans="2:8" x14ac:dyDescent="0.3">
      <c r="B326" s="100"/>
      <c r="C326" s="100"/>
      <c r="D326" s="100"/>
      <c r="E326" s="100"/>
      <c r="F326" s="100"/>
      <c r="G326" s="100"/>
      <c r="H326" s="100"/>
    </row>
    <row r="327" spans="2:8" x14ac:dyDescent="0.3">
      <c r="B327" s="100"/>
      <c r="C327" s="100"/>
      <c r="D327" s="100"/>
      <c r="E327" s="100"/>
      <c r="F327" s="100"/>
      <c r="G327" s="100"/>
      <c r="H327" s="100"/>
    </row>
    <row r="328" spans="2:8" x14ac:dyDescent="0.3">
      <c r="B328" s="100"/>
      <c r="C328" s="100"/>
      <c r="D328" s="100"/>
      <c r="E328" s="100"/>
      <c r="F328" s="100"/>
      <c r="G328" s="100"/>
      <c r="H328" s="100"/>
    </row>
    <row r="329" spans="2:8" x14ac:dyDescent="0.3">
      <c r="B329" s="100"/>
      <c r="C329" s="100"/>
      <c r="D329" s="100"/>
      <c r="E329" s="100"/>
      <c r="F329" s="100"/>
      <c r="G329" s="100"/>
      <c r="H329" s="100"/>
    </row>
    <row r="330" spans="2:8" x14ac:dyDescent="0.3">
      <c r="B330" s="100"/>
      <c r="C330" s="100"/>
      <c r="D330" s="100"/>
      <c r="E330" s="100"/>
      <c r="F330" s="100"/>
      <c r="G330" s="100"/>
      <c r="H330" s="100"/>
    </row>
    <row r="331" spans="2:8" x14ac:dyDescent="0.3">
      <c r="B331" s="100"/>
      <c r="C331" s="100"/>
      <c r="D331" s="100"/>
      <c r="E331" s="100"/>
      <c r="F331" s="100"/>
      <c r="G331" s="100"/>
      <c r="H331" s="100"/>
    </row>
    <row r="332" spans="2:8" x14ac:dyDescent="0.3">
      <c r="B332" s="100"/>
      <c r="C332" s="100"/>
      <c r="D332" s="100"/>
      <c r="E332" s="100"/>
      <c r="F332" s="100"/>
      <c r="G332" s="100"/>
      <c r="H332" s="100"/>
    </row>
    <row r="333" spans="2:8" x14ac:dyDescent="0.3">
      <c r="B333" s="100"/>
      <c r="C333" s="100"/>
      <c r="D333" s="100"/>
      <c r="E333" s="100"/>
      <c r="F333" s="100"/>
      <c r="G333" s="100"/>
      <c r="H333" s="100"/>
    </row>
    <row r="334" spans="2:8" x14ac:dyDescent="0.3">
      <c r="B334" s="100"/>
      <c r="C334" s="100"/>
      <c r="D334" s="100"/>
      <c r="E334" s="100"/>
      <c r="F334" s="100"/>
      <c r="G334" s="100"/>
      <c r="H334" s="100"/>
    </row>
    <row r="335" spans="2:8" x14ac:dyDescent="0.3">
      <c r="B335" s="100"/>
      <c r="C335" s="100"/>
      <c r="D335" s="100"/>
      <c r="E335" s="100"/>
      <c r="F335" s="100"/>
      <c r="G335" s="100"/>
      <c r="H335" s="100"/>
    </row>
    <row r="336" spans="2:8" x14ac:dyDescent="0.3">
      <c r="B336" s="100"/>
      <c r="C336" s="100"/>
      <c r="D336" s="100"/>
      <c r="E336" s="100"/>
      <c r="F336" s="100"/>
      <c r="G336" s="100"/>
      <c r="H336" s="100"/>
    </row>
    <row r="337" spans="2:8" x14ac:dyDescent="0.3">
      <c r="B337" s="100"/>
      <c r="C337" s="100"/>
      <c r="D337" s="100"/>
      <c r="E337" s="100"/>
      <c r="F337" s="100"/>
      <c r="G337" s="100"/>
      <c r="H337" s="100"/>
    </row>
    <row r="338" spans="2:8" x14ac:dyDescent="0.3">
      <c r="B338" s="100"/>
      <c r="C338" s="100"/>
      <c r="D338" s="100"/>
      <c r="E338" s="100"/>
      <c r="F338" s="100"/>
      <c r="G338" s="100"/>
      <c r="H338" s="100"/>
    </row>
    <row r="339" spans="2:8" x14ac:dyDescent="0.3">
      <c r="B339" s="100"/>
      <c r="C339" s="100"/>
      <c r="D339" s="100"/>
      <c r="E339" s="100"/>
      <c r="F339" s="100"/>
      <c r="G339" s="100"/>
      <c r="H339" s="100"/>
    </row>
    <row r="340" spans="2:8" x14ac:dyDescent="0.3">
      <c r="B340" s="100"/>
      <c r="C340" s="100"/>
      <c r="D340" s="100"/>
      <c r="E340" s="100"/>
      <c r="F340" s="100"/>
      <c r="G340" s="100"/>
      <c r="H340" s="100"/>
    </row>
    <row r="341" spans="2:8" x14ac:dyDescent="0.3">
      <c r="B341" s="100"/>
      <c r="C341" s="100"/>
      <c r="D341" s="100"/>
      <c r="E341" s="100"/>
      <c r="F341" s="100"/>
      <c r="G341" s="100"/>
      <c r="H341" s="100"/>
    </row>
    <row r="342" spans="2:8" x14ac:dyDescent="0.3">
      <c r="B342" s="100"/>
      <c r="C342" s="100"/>
      <c r="D342" s="100"/>
      <c r="E342" s="100"/>
      <c r="F342" s="100"/>
      <c r="G342" s="100"/>
      <c r="H342" s="100"/>
    </row>
    <row r="343" spans="2:8" x14ac:dyDescent="0.3">
      <c r="B343" s="100"/>
      <c r="C343" s="100"/>
      <c r="D343" s="100"/>
      <c r="E343" s="100"/>
      <c r="F343" s="100"/>
      <c r="G343" s="100"/>
      <c r="H343" s="100"/>
    </row>
    <row r="344" spans="2:8" x14ac:dyDescent="0.3">
      <c r="B344" s="100"/>
      <c r="C344" s="100"/>
      <c r="D344" s="100"/>
      <c r="E344" s="100"/>
      <c r="F344" s="100"/>
      <c r="G344" s="100"/>
      <c r="H344" s="100"/>
    </row>
    <row r="345" spans="2:8" x14ac:dyDescent="0.3">
      <c r="B345" s="100"/>
      <c r="C345" s="100"/>
      <c r="D345" s="100"/>
      <c r="E345" s="100"/>
      <c r="F345" s="100"/>
      <c r="G345" s="100"/>
      <c r="H345" s="100"/>
    </row>
    <row r="346" spans="2:8" x14ac:dyDescent="0.3">
      <c r="B346" s="100"/>
      <c r="C346" s="100"/>
      <c r="D346" s="100"/>
      <c r="E346" s="100"/>
      <c r="F346" s="100"/>
      <c r="G346" s="100"/>
      <c r="H346" s="100"/>
    </row>
    <row r="347" spans="2:8" x14ac:dyDescent="0.3">
      <c r="B347" s="100"/>
      <c r="C347" s="100"/>
      <c r="D347" s="100"/>
      <c r="E347" s="100"/>
      <c r="F347" s="100"/>
      <c r="G347" s="100"/>
      <c r="H347" s="100"/>
    </row>
    <row r="348" spans="2:8" x14ac:dyDescent="0.3">
      <c r="B348" s="100"/>
      <c r="C348" s="100"/>
      <c r="D348" s="100"/>
      <c r="E348" s="100"/>
      <c r="F348" s="100"/>
      <c r="G348" s="100"/>
      <c r="H348" s="100"/>
    </row>
    <row r="349" spans="2:8" x14ac:dyDescent="0.3">
      <c r="B349" s="100"/>
      <c r="C349" s="100"/>
      <c r="D349" s="100"/>
      <c r="E349" s="100"/>
      <c r="F349" s="100"/>
      <c r="G349" s="100"/>
      <c r="H349" s="100"/>
    </row>
    <row r="350" spans="2:8" x14ac:dyDescent="0.3">
      <c r="B350" s="100"/>
      <c r="C350" s="100"/>
      <c r="D350" s="100"/>
      <c r="E350" s="100"/>
      <c r="F350" s="100"/>
      <c r="G350" s="100"/>
      <c r="H350" s="100"/>
    </row>
    <row r="351" spans="2:8" x14ac:dyDescent="0.3">
      <c r="B351" s="100"/>
      <c r="C351" s="100"/>
      <c r="D351" s="100"/>
      <c r="E351" s="100"/>
      <c r="F351" s="100"/>
      <c r="G351" s="100"/>
      <c r="H351" s="100"/>
    </row>
    <row r="352" spans="2:8" x14ac:dyDescent="0.3">
      <c r="B352" s="100"/>
      <c r="C352" s="100"/>
      <c r="D352" s="100"/>
      <c r="E352" s="100"/>
      <c r="F352" s="100"/>
      <c r="G352" s="100"/>
      <c r="H352" s="100"/>
    </row>
    <row r="353" spans="2:8" x14ac:dyDescent="0.3">
      <c r="B353" s="100"/>
      <c r="C353" s="100"/>
      <c r="D353" s="100"/>
      <c r="E353" s="100"/>
      <c r="F353" s="100"/>
      <c r="G353" s="100"/>
      <c r="H353" s="100"/>
    </row>
    <row r="354" spans="2:8" x14ac:dyDescent="0.3">
      <c r="B354" s="100"/>
      <c r="C354" s="100"/>
      <c r="D354" s="100"/>
      <c r="E354" s="100"/>
      <c r="F354" s="100"/>
      <c r="G354" s="100"/>
      <c r="H354" s="100"/>
    </row>
    <row r="355" spans="2:8" x14ac:dyDescent="0.3">
      <c r="B355" s="100"/>
      <c r="C355" s="100"/>
      <c r="D355" s="100"/>
      <c r="E355" s="100"/>
      <c r="F355" s="100"/>
      <c r="G355" s="100"/>
      <c r="H355" s="100"/>
    </row>
    <row r="356" spans="2:8" x14ac:dyDescent="0.3">
      <c r="B356" s="100"/>
      <c r="C356" s="100"/>
      <c r="D356" s="100"/>
      <c r="E356" s="100"/>
      <c r="F356" s="100"/>
      <c r="G356" s="100"/>
      <c r="H356" s="100"/>
    </row>
    <row r="357" spans="2:8" x14ac:dyDescent="0.3">
      <c r="B357" s="100"/>
      <c r="C357" s="100"/>
      <c r="D357" s="100"/>
      <c r="E357" s="100"/>
      <c r="F357" s="100"/>
      <c r="G357" s="100"/>
      <c r="H357" s="100"/>
    </row>
    <row r="358" spans="2:8" x14ac:dyDescent="0.3">
      <c r="B358" s="100"/>
      <c r="C358" s="100"/>
      <c r="D358" s="100"/>
      <c r="E358" s="100"/>
      <c r="F358" s="100"/>
      <c r="G358" s="100"/>
      <c r="H358" s="100"/>
    </row>
    <row r="359" spans="2:8" x14ac:dyDescent="0.3">
      <c r="B359" s="100"/>
      <c r="C359" s="100"/>
      <c r="D359" s="100"/>
      <c r="E359" s="100"/>
      <c r="F359" s="100"/>
      <c r="G359" s="100"/>
      <c r="H359" s="100"/>
    </row>
    <row r="360" spans="2:8" x14ac:dyDescent="0.3">
      <c r="B360" s="100"/>
      <c r="C360" s="100"/>
      <c r="D360" s="100"/>
      <c r="E360" s="100"/>
      <c r="F360" s="100"/>
      <c r="G360" s="100"/>
      <c r="H360" s="100"/>
    </row>
    <row r="361" spans="2:8" x14ac:dyDescent="0.3">
      <c r="B361" s="100"/>
      <c r="C361" s="100"/>
      <c r="D361" s="100"/>
      <c r="E361" s="100"/>
      <c r="F361" s="100"/>
      <c r="G361" s="100"/>
      <c r="H361" s="100"/>
    </row>
    <row r="362" spans="2:8" x14ac:dyDescent="0.3">
      <c r="B362" s="100"/>
      <c r="C362" s="100"/>
      <c r="D362" s="100"/>
      <c r="E362" s="100"/>
      <c r="F362" s="100"/>
      <c r="G362" s="100"/>
      <c r="H362" s="100"/>
    </row>
    <row r="363" spans="2:8" x14ac:dyDescent="0.3">
      <c r="B363" s="100"/>
      <c r="C363" s="100"/>
      <c r="D363" s="100"/>
      <c r="E363" s="100"/>
      <c r="F363" s="100"/>
      <c r="G363" s="100"/>
      <c r="H363" s="100"/>
    </row>
    <row r="364" spans="2:8" x14ac:dyDescent="0.3">
      <c r="B364" s="100"/>
      <c r="C364" s="100"/>
      <c r="D364" s="100"/>
      <c r="E364" s="100"/>
      <c r="F364" s="100"/>
      <c r="G364" s="100"/>
      <c r="H364" s="100"/>
    </row>
    <row r="365" spans="2:8" x14ac:dyDescent="0.3">
      <c r="B365" s="100"/>
      <c r="C365" s="100"/>
      <c r="D365" s="100"/>
      <c r="E365" s="100"/>
      <c r="F365" s="100"/>
      <c r="G365" s="100"/>
      <c r="H365" s="100"/>
    </row>
    <row r="366" spans="2:8" x14ac:dyDescent="0.3">
      <c r="B366" s="100"/>
      <c r="C366" s="100"/>
      <c r="D366" s="100"/>
      <c r="E366" s="100"/>
      <c r="F366" s="100"/>
      <c r="G366" s="100"/>
      <c r="H366" s="100"/>
    </row>
    <row r="367" spans="2:8" x14ac:dyDescent="0.3">
      <c r="B367" s="100"/>
      <c r="C367" s="100"/>
      <c r="D367" s="100"/>
      <c r="E367" s="100"/>
      <c r="F367" s="100"/>
      <c r="G367" s="100"/>
      <c r="H367" s="100"/>
    </row>
    <row r="368" spans="2:8" x14ac:dyDescent="0.3">
      <c r="B368" s="100"/>
      <c r="C368" s="100"/>
      <c r="D368" s="100"/>
      <c r="E368" s="100"/>
      <c r="F368" s="100"/>
      <c r="G368" s="100"/>
      <c r="H368" s="100"/>
    </row>
    <row r="369" spans="2:8" x14ac:dyDescent="0.3">
      <c r="B369" s="100"/>
      <c r="C369" s="100"/>
      <c r="D369" s="100"/>
      <c r="E369" s="100"/>
      <c r="F369" s="100"/>
      <c r="G369" s="100"/>
      <c r="H369" s="100"/>
    </row>
    <row r="370" spans="2:8" x14ac:dyDescent="0.3">
      <c r="B370" s="100"/>
      <c r="C370" s="100"/>
      <c r="D370" s="100"/>
      <c r="E370" s="100"/>
      <c r="F370" s="100"/>
      <c r="G370" s="100"/>
      <c r="H370" s="100"/>
    </row>
    <row r="371" spans="2:8" x14ac:dyDescent="0.3">
      <c r="B371" s="100"/>
      <c r="C371" s="100"/>
      <c r="D371" s="100"/>
      <c r="E371" s="100"/>
      <c r="F371" s="100"/>
      <c r="G371" s="100"/>
      <c r="H371" s="100"/>
    </row>
    <row r="372" spans="2:8" x14ac:dyDescent="0.3">
      <c r="B372" s="100"/>
      <c r="C372" s="100"/>
      <c r="D372" s="100"/>
      <c r="E372" s="100"/>
      <c r="F372" s="100"/>
      <c r="G372" s="100"/>
      <c r="H372" s="100"/>
    </row>
    <row r="373" spans="2:8" x14ac:dyDescent="0.3">
      <c r="B373" s="100"/>
      <c r="C373" s="100"/>
      <c r="D373" s="100"/>
      <c r="E373" s="100"/>
      <c r="F373" s="100"/>
      <c r="G373" s="100"/>
      <c r="H373" s="100"/>
    </row>
    <row r="374" spans="2:8" x14ac:dyDescent="0.3">
      <c r="B374" s="100"/>
      <c r="C374" s="100"/>
      <c r="D374" s="100"/>
      <c r="E374" s="100"/>
      <c r="F374" s="100"/>
      <c r="G374" s="100"/>
      <c r="H374" s="100"/>
    </row>
    <row r="375" spans="2:8" x14ac:dyDescent="0.3">
      <c r="B375" s="100"/>
      <c r="C375" s="100"/>
      <c r="D375" s="100"/>
      <c r="E375" s="100"/>
      <c r="F375" s="100"/>
      <c r="G375" s="100"/>
      <c r="H375" s="100"/>
    </row>
    <row r="376" spans="2:8" x14ac:dyDescent="0.3">
      <c r="B376" s="100"/>
      <c r="C376" s="100"/>
      <c r="D376" s="100"/>
      <c r="E376" s="100"/>
      <c r="F376" s="100"/>
      <c r="G376" s="100"/>
      <c r="H376" s="100"/>
    </row>
    <row r="377" spans="2:8" x14ac:dyDescent="0.3">
      <c r="B377" s="100"/>
      <c r="C377" s="100"/>
      <c r="D377" s="100"/>
      <c r="E377" s="100"/>
      <c r="F377" s="100"/>
      <c r="G377" s="100"/>
      <c r="H377" s="100"/>
    </row>
    <row r="378" spans="2:8" x14ac:dyDescent="0.3">
      <c r="B378" s="100"/>
      <c r="C378" s="100"/>
      <c r="D378" s="100"/>
      <c r="E378" s="100"/>
      <c r="F378" s="100"/>
      <c r="G378" s="100"/>
      <c r="H378" s="100"/>
    </row>
    <row r="379" spans="2:8" x14ac:dyDescent="0.3">
      <c r="B379" s="100"/>
      <c r="C379" s="100"/>
      <c r="D379" s="100"/>
      <c r="E379" s="100"/>
      <c r="F379" s="100"/>
      <c r="G379" s="100"/>
      <c r="H379" s="100"/>
    </row>
    <row r="380" spans="2:8" x14ac:dyDescent="0.3">
      <c r="B380" s="100"/>
      <c r="C380" s="100"/>
      <c r="D380" s="100"/>
      <c r="E380" s="100"/>
      <c r="F380" s="100"/>
      <c r="G380" s="100"/>
      <c r="H380" s="100"/>
    </row>
    <row r="381" spans="2:8" x14ac:dyDescent="0.3">
      <c r="B381" s="100"/>
      <c r="C381" s="100"/>
      <c r="D381" s="100"/>
      <c r="E381" s="100"/>
      <c r="F381" s="100"/>
      <c r="G381" s="100"/>
      <c r="H381" s="100"/>
    </row>
    <row r="382" spans="2:8" x14ac:dyDescent="0.3">
      <c r="B382" s="100"/>
      <c r="C382" s="100"/>
      <c r="D382" s="100"/>
      <c r="E382" s="100"/>
      <c r="F382" s="100"/>
      <c r="G382" s="100"/>
      <c r="H382" s="100"/>
    </row>
    <row r="383" spans="2:8" x14ac:dyDescent="0.3">
      <c r="B383" s="100"/>
      <c r="C383" s="100"/>
      <c r="D383" s="100"/>
      <c r="E383" s="100"/>
      <c r="F383" s="100"/>
      <c r="G383" s="100"/>
      <c r="H383" s="100"/>
    </row>
    <row r="384" spans="2:8" x14ac:dyDescent="0.3">
      <c r="B384" s="100"/>
      <c r="C384" s="100"/>
      <c r="D384" s="100"/>
      <c r="E384" s="100"/>
      <c r="F384" s="100"/>
      <c r="G384" s="100"/>
      <c r="H384" s="100"/>
    </row>
    <row r="385" spans="2:8" x14ac:dyDescent="0.3">
      <c r="B385" s="100"/>
      <c r="C385" s="100"/>
      <c r="D385" s="100"/>
      <c r="E385" s="100"/>
      <c r="F385" s="100"/>
      <c r="G385" s="100"/>
      <c r="H385" s="100"/>
    </row>
    <row r="386" spans="2:8" x14ac:dyDescent="0.3">
      <c r="B386" s="100"/>
      <c r="C386" s="100"/>
      <c r="D386" s="100"/>
      <c r="E386" s="100"/>
      <c r="F386" s="100"/>
      <c r="G386" s="100"/>
      <c r="H386" s="100"/>
    </row>
    <row r="387" spans="2:8" x14ac:dyDescent="0.3">
      <c r="B387" s="100"/>
      <c r="C387" s="100"/>
      <c r="D387" s="100"/>
      <c r="E387" s="100"/>
      <c r="F387" s="100"/>
      <c r="G387" s="100"/>
      <c r="H387" s="100"/>
    </row>
    <row r="388" spans="2:8" x14ac:dyDescent="0.3">
      <c r="B388" s="100"/>
      <c r="C388" s="100"/>
      <c r="D388" s="100"/>
      <c r="E388" s="100"/>
      <c r="F388" s="100"/>
      <c r="G388" s="100"/>
      <c r="H388" s="100"/>
    </row>
    <row r="389" spans="2:8" x14ac:dyDescent="0.3">
      <c r="B389" s="100"/>
      <c r="C389" s="100"/>
      <c r="D389" s="100"/>
      <c r="E389" s="100"/>
      <c r="F389" s="100"/>
      <c r="G389" s="100"/>
      <c r="H389" s="100"/>
    </row>
    <row r="390" spans="2:8" x14ac:dyDescent="0.3">
      <c r="B390" s="100"/>
      <c r="C390" s="100"/>
      <c r="D390" s="100"/>
      <c r="E390" s="100"/>
      <c r="F390" s="100"/>
      <c r="G390" s="100"/>
      <c r="H390" s="100"/>
    </row>
    <row r="391" spans="2:8" x14ac:dyDescent="0.3">
      <c r="B391" s="100"/>
      <c r="C391" s="100"/>
      <c r="D391" s="100"/>
      <c r="E391" s="100"/>
      <c r="F391" s="100"/>
      <c r="G391" s="100"/>
      <c r="H391" s="100"/>
    </row>
    <row r="392" spans="2:8" x14ac:dyDescent="0.3">
      <c r="B392" s="100"/>
      <c r="C392" s="100"/>
      <c r="D392" s="100"/>
      <c r="E392" s="100"/>
      <c r="F392" s="100"/>
      <c r="G392" s="100"/>
      <c r="H392" s="100"/>
    </row>
    <row r="393" spans="2:8" x14ac:dyDescent="0.3">
      <c r="B393" s="100"/>
      <c r="C393" s="100"/>
      <c r="D393" s="100"/>
      <c r="E393" s="100"/>
      <c r="F393" s="100"/>
      <c r="G393" s="100"/>
      <c r="H393" s="100"/>
    </row>
    <row r="394" spans="2:8" x14ac:dyDescent="0.3">
      <c r="B394" s="100"/>
      <c r="C394" s="100"/>
      <c r="D394" s="100"/>
      <c r="E394" s="100"/>
      <c r="F394" s="100"/>
      <c r="G394" s="100"/>
      <c r="H394" s="100"/>
    </row>
    <row r="395" spans="2:8" x14ac:dyDescent="0.3">
      <c r="B395" s="100"/>
      <c r="C395" s="100"/>
      <c r="D395" s="100"/>
      <c r="E395" s="100"/>
      <c r="F395" s="100"/>
      <c r="G395" s="100"/>
      <c r="H395" s="100"/>
    </row>
    <row r="396" spans="2:8" x14ac:dyDescent="0.3">
      <c r="B396" s="100"/>
      <c r="C396" s="100"/>
      <c r="D396" s="100"/>
      <c r="E396" s="100"/>
      <c r="F396" s="100"/>
      <c r="G396" s="100"/>
      <c r="H396" s="100"/>
    </row>
    <row r="397" spans="2:8" x14ac:dyDescent="0.3">
      <c r="B397" s="100"/>
      <c r="C397" s="100"/>
      <c r="D397" s="100"/>
      <c r="E397" s="100"/>
      <c r="F397" s="100"/>
      <c r="G397" s="100"/>
      <c r="H397" s="100"/>
    </row>
    <row r="398" spans="2:8" x14ac:dyDescent="0.3">
      <c r="B398" s="100"/>
      <c r="C398" s="100"/>
      <c r="D398" s="100"/>
      <c r="E398" s="100"/>
      <c r="F398" s="100"/>
      <c r="G398" s="100"/>
      <c r="H398" s="100"/>
    </row>
    <row r="399" spans="2:8" x14ac:dyDescent="0.3">
      <c r="B399" s="100"/>
      <c r="C399" s="100"/>
      <c r="D399" s="100"/>
      <c r="E399" s="100"/>
      <c r="F399" s="100"/>
      <c r="G399" s="100"/>
      <c r="H399" s="100"/>
    </row>
    <row r="400" spans="2:8" x14ac:dyDescent="0.3">
      <c r="B400" s="100"/>
      <c r="C400" s="100"/>
      <c r="D400" s="100"/>
      <c r="E400" s="100"/>
      <c r="F400" s="100"/>
      <c r="G400" s="100"/>
      <c r="H400" s="100"/>
    </row>
    <row r="401" spans="2:8" x14ac:dyDescent="0.3">
      <c r="B401" s="100"/>
      <c r="C401" s="100"/>
      <c r="D401" s="100"/>
      <c r="E401" s="100"/>
      <c r="F401" s="100"/>
      <c r="G401" s="100"/>
      <c r="H401" s="100"/>
    </row>
    <row r="402" spans="2:8" x14ac:dyDescent="0.3">
      <c r="B402" s="100"/>
      <c r="C402" s="100"/>
      <c r="D402" s="100"/>
      <c r="E402" s="100"/>
      <c r="F402" s="100"/>
      <c r="G402" s="100"/>
      <c r="H402" s="100"/>
    </row>
    <row r="403" spans="2:8" x14ac:dyDescent="0.3">
      <c r="B403" s="100"/>
      <c r="C403" s="100"/>
      <c r="D403" s="100"/>
      <c r="E403" s="100"/>
      <c r="F403" s="100"/>
      <c r="G403" s="100"/>
      <c r="H403" s="100"/>
    </row>
    <row r="404" spans="2:8" x14ac:dyDescent="0.3">
      <c r="B404" s="100"/>
      <c r="C404" s="100"/>
      <c r="D404" s="100"/>
      <c r="E404" s="100"/>
      <c r="F404" s="100"/>
      <c r="G404" s="100"/>
      <c r="H404" s="100"/>
    </row>
    <row r="405" spans="2:8" x14ac:dyDescent="0.3">
      <c r="B405" s="100"/>
      <c r="C405" s="100"/>
      <c r="D405" s="100"/>
      <c r="E405" s="100"/>
      <c r="F405" s="100"/>
      <c r="G405" s="100"/>
      <c r="H405" s="100"/>
    </row>
    <row r="406" spans="2:8" x14ac:dyDescent="0.3">
      <c r="B406" s="100"/>
      <c r="C406" s="100"/>
      <c r="D406" s="100"/>
      <c r="E406" s="100"/>
      <c r="F406" s="100"/>
      <c r="G406" s="100"/>
      <c r="H406" s="100"/>
    </row>
    <row r="407" spans="2:8" x14ac:dyDescent="0.3">
      <c r="B407" s="100"/>
      <c r="C407" s="100"/>
      <c r="D407" s="100"/>
      <c r="E407" s="100"/>
      <c r="F407" s="100"/>
      <c r="G407" s="100"/>
      <c r="H407" s="100"/>
    </row>
    <row r="408" spans="2:8" x14ac:dyDescent="0.3">
      <c r="B408" s="100"/>
      <c r="C408" s="100"/>
      <c r="D408" s="100"/>
      <c r="E408" s="100"/>
      <c r="F408" s="100"/>
      <c r="G408" s="100"/>
      <c r="H408" s="100"/>
    </row>
    <row r="409" spans="2:8" x14ac:dyDescent="0.3">
      <c r="B409" s="100"/>
      <c r="C409" s="100"/>
      <c r="D409" s="100"/>
      <c r="E409" s="100"/>
      <c r="F409" s="100"/>
      <c r="G409" s="100"/>
      <c r="H409" s="100"/>
    </row>
    <row r="410" spans="2:8" x14ac:dyDescent="0.3">
      <c r="B410" s="100"/>
      <c r="C410" s="100"/>
      <c r="D410" s="100"/>
      <c r="E410" s="100"/>
      <c r="F410" s="100"/>
      <c r="G410" s="100"/>
      <c r="H410" s="100"/>
    </row>
    <row r="411" spans="2:8" x14ac:dyDescent="0.3">
      <c r="B411" s="100"/>
      <c r="C411" s="100"/>
      <c r="D411" s="100"/>
      <c r="E411" s="100"/>
      <c r="F411" s="100"/>
      <c r="G411" s="100"/>
      <c r="H411" s="100"/>
    </row>
    <row r="412" spans="2:8" x14ac:dyDescent="0.3">
      <c r="B412" s="100"/>
      <c r="C412" s="100"/>
      <c r="D412" s="100"/>
      <c r="E412" s="100"/>
      <c r="F412" s="100"/>
      <c r="G412" s="100"/>
      <c r="H412" s="100"/>
    </row>
    <row r="413" spans="2:8" x14ac:dyDescent="0.3">
      <c r="B413" s="100"/>
      <c r="C413" s="100"/>
      <c r="D413" s="100"/>
      <c r="E413" s="100"/>
      <c r="F413" s="100"/>
      <c r="G413" s="100"/>
      <c r="H413" s="100"/>
    </row>
    <row r="414" spans="2:8" x14ac:dyDescent="0.3">
      <c r="B414" s="100"/>
      <c r="C414" s="100"/>
      <c r="D414" s="100"/>
      <c r="E414" s="100"/>
      <c r="F414" s="100"/>
      <c r="G414" s="100"/>
      <c r="H414" s="100"/>
    </row>
    <row r="415" spans="2:8" x14ac:dyDescent="0.3">
      <c r="B415" s="100"/>
      <c r="C415" s="100"/>
      <c r="D415" s="100"/>
      <c r="E415" s="100"/>
      <c r="F415" s="100"/>
      <c r="G415" s="100"/>
      <c r="H415" s="100"/>
    </row>
    <row r="416" spans="2:8" x14ac:dyDescent="0.3">
      <c r="B416" s="100"/>
      <c r="C416" s="100"/>
      <c r="D416" s="100"/>
      <c r="E416" s="100"/>
      <c r="F416" s="100"/>
      <c r="G416" s="100"/>
      <c r="H416" s="100"/>
    </row>
    <row r="417" spans="2:8" x14ac:dyDescent="0.3">
      <c r="B417" s="100"/>
      <c r="C417" s="100"/>
      <c r="D417" s="100"/>
      <c r="E417" s="100"/>
      <c r="F417" s="100"/>
      <c r="G417" s="100"/>
      <c r="H417" s="100"/>
    </row>
    <row r="418" spans="2:8" x14ac:dyDescent="0.3">
      <c r="B418" s="100"/>
      <c r="C418" s="100"/>
      <c r="D418" s="100"/>
      <c r="E418" s="100"/>
      <c r="F418" s="100"/>
      <c r="G418" s="100"/>
      <c r="H418" s="100"/>
    </row>
    <row r="419" spans="2:8" x14ac:dyDescent="0.3">
      <c r="B419" s="100"/>
      <c r="C419" s="100"/>
      <c r="D419" s="100"/>
      <c r="E419" s="100"/>
      <c r="F419" s="100"/>
      <c r="G419" s="100"/>
      <c r="H419" s="100"/>
    </row>
    <row r="420" spans="2:8" x14ac:dyDescent="0.3">
      <c r="B420" s="100"/>
      <c r="C420" s="100"/>
      <c r="D420" s="100"/>
      <c r="E420" s="100"/>
      <c r="F420" s="100"/>
      <c r="G420" s="100"/>
      <c r="H420" s="100"/>
    </row>
    <row r="421" spans="2:8" x14ac:dyDescent="0.3">
      <c r="B421" s="100"/>
      <c r="C421" s="100"/>
      <c r="D421" s="100"/>
      <c r="E421" s="100"/>
      <c r="F421" s="100"/>
      <c r="G421" s="100"/>
      <c r="H421" s="100"/>
    </row>
    <row r="422" spans="2:8" x14ac:dyDescent="0.3">
      <c r="B422" s="100"/>
      <c r="C422" s="100"/>
      <c r="D422" s="100"/>
      <c r="E422" s="100"/>
      <c r="F422" s="100"/>
      <c r="G422" s="100"/>
      <c r="H422" s="100"/>
    </row>
    <row r="423" spans="2:8" x14ac:dyDescent="0.3">
      <c r="B423" s="100"/>
      <c r="C423" s="100"/>
      <c r="D423" s="100"/>
      <c r="E423" s="100"/>
      <c r="F423" s="100"/>
      <c r="G423" s="100"/>
      <c r="H423" s="100"/>
    </row>
    <row r="424" spans="2:8" x14ac:dyDescent="0.3">
      <c r="B424" s="100"/>
      <c r="C424" s="100"/>
      <c r="D424" s="100"/>
      <c r="E424" s="100"/>
      <c r="F424" s="100"/>
      <c r="G424" s="100"/>
      <c r="H424" s="100"/>
    </row>
    <row r="425" spans="2:8" x14ac:dyDescent="0.3">
      <c r="B425" s="100"/>
      <c r="C425" s="100"/>
      <c r="D425" s="100"/>
      <c r="E425" s="100"/>
      <c r="F425" s="100"/>
      <c r="G425" s="100"/>
      <c r="H425" s="100"/>
    </row>
    <row r="426" spans="2:8" x14ac:dyDescent="0.3">
      <c r="B426" s="100"/>
      <c r="C426" s="100"/>
      <c r="D426" s="100"/>
      <c r="E426" s="100"/>
      <c r="F426" s="100"/>
      <c r="G426" s="100"/>
      <c r="H426" s="100"/>
    </row>
    <row r="427" spans="2:8" x14ac:dyDescent="0.3">
      <c r="B427" s="100"/>
      <c r="C427" s="100"/>
      <c r="D427" s="100"/>
      <c r="E427" s="100"/>
      <c r="F427" s="100"/>
      <c r="G427" s="100"/>
      <c r="H427" s="100"/>
    </row>
    <row r="428" spans="2:8" x14ac:dyDescent="0.3">
      <c r="B428" s="100"/>
      <c r="C428" s="100"/>
      <c r="D428" s="100"/>
      <c r="E428" s="100"/>
      <c r="F428" s="100"/>
      <c r="G428" s="100"/>
      <c r="H428" s="100"/>
    </row>
    <row r="429" spans="2:8" x14ac:dyDescent="0.3">
      <c r="B429" s="100"/>
      <c r="C429" s="100"/>
      <c r="D429" s="100"/>
      <c r="E429" s="100"/>
      <c r="F429" s="100"/>
      <c r="G429" s="100"/>
      <c r="H429" s="100"/>
    </row>
    <row r="430" spans="2:8" x14ac:dyDescent="0.3">
      <c r="B430" s="100"/>
      <c r="C430" s="100"/>
      <c r="D430" s="100"/>
      <c r="E430" s="100"/>
      <c r="F430" s="100"/>
      <c r="G430" s="100"/>
      <c r="H430" s="100"/>
    </row>
    <row r="431" spans="2:8" x14ac:dyDescent="0.3">
      <c r="B431" s="100"/>
      <c r="C431" s="100"/>
      <c r="D431" s="100"/>
      <c r="E431" s="100"/>
      <c r="F431" s="100"/>
      <c r="G431" s="100"/>
      <c r="H431" s="100"/>
    </row>
    <row r="432" spans="2:8" x14ac:dyDescent="0.3">
      <c r="B432" s="100"/>
      <c r="C432" s="100"/>
      <c r="D432" s="100"/>
      <c r="E432" s="100"/>
      <c r="F432" s="100"/>
      <c r="G432" s="100"/>
      <c r="H432" s="100"/>
    </row>
    <row r="433" spans="2:8" x14ac:dyDescent="0.3">
      <c r="B433" s="100"/>
      <c r="C433" s="100"/>
      <c r="D433" s="100"/>
      <c r="E433" s="100"/>
      <c r="F433" s="100"/>
      <c r="G433" s="100"/>
      <c r="H433" s="100"/>
    </row>
    <row r="434" spans="2:8" x14ac:dyDescent="0.3">
      <c r="B434" s="100"/>
      <c r="C434" s="100"/>
      <c r="D434" s="100"/>
      <c r="E434" s="100"/>
      <c r="F434" s="100"/>
      <c r="G434" s="100"/>
      <c r="H434" s="100"/>
    </row>
    <row r="435" spans="2:8" x14ac:dyDescent="0.3">
      <c r="B435" s="100"/>
      <c r="C435" s="100"/>
      <c r="D435" s="100"/>
      <c r="E435" s="100"/>
      <c r="F435" s="100"/>
      <c r="G435" s="100"/>
      <c r="H435" s="100"/>
    </row>
    <row r="436" spans="2:8" x14ac:dyDescent="0.3">
      <c r="B436" s="100"/>
      <c r="C436" s="100"/>
      <c r="D436" s="100"/>
      <c r="E436" s="100"/>
      <c r="F436" s="100"/>
      <c r="G436" s="100"/>
      <c r="H436" s="100"/>
    </row>
    <row r="437" spans="2:8" x14ac:dyDescent="0.3">
      <c r="B437" s="100"/>
      <c r="C437" s="100"/>
      <c r="D437" s="100"/>
      <c r="E437" s="100"/>
      <c r="F437" s="100"/>
      <c r="G437" s="100"/>
      <c r="H437" s="100"/>
    </row>
    <row r="438" spans="2:8" x14ac:dyDescent="0.3">
      <c r="B438" s="100"/>
      <c r="C438" s="100"/>
      <c r="D438" s="100"/>
      <c r="E438" s="100"/>
      <c r="F438" s="100"/>
      <c r="G438" s="100"/>
      <c r="H438" s="100"/>
    </row>
    <row r="439" spans="2:8" x14ac:dyDescent="0.3">
      <c r="B439" s="100"/>
      <c r="C439" s="100"/>
      <c r="D439" s="100"/>
      <c r="E439" s="100"/>
      <c r="F439" s="100"/>
      <c r="G439" s="100"/>
      <c r="H439" s="100"/>
    </row>
    <row r="440" spans="2:8" x14ac:dyDescent="0.3">
      <c r="B440" s="100"/>
      <c r="C440" s="100"/>
      <c r="D440" s="100"/>
      <c r="E440" s="100"/>
      <c r="F440" s="100"/>
      <c r="G440" s="100"/>
      <c r="H440" s="100"/>
    </row>
    <row r="441" spans="2:8" x14ac:dyDescent="0.3">
      <c r="B441" s="100"/>
      <c r="C441" s="100"/>
      <c r="D441" s="100"/>
      <c r="E441" s="100"/>
      <c r="F441" s="100"/>
      <c r="G441" s="100"/>
      <c r="H441" s="100"/>
    </row>
    <row r="442" spans="2:8" x14ac:dyDescent="0.3">
      <c r="B442" s="100"/>
      <c r="C442" s="100"/>
      <c r="D442" s="100"/>
      <c r="E442" s="100"/>
      <c r="F442" s="100"/>
      <c r="G442" s="100"/>
      <c r="H442" s="100"/>
    </row>
    <row r="443" spans="2:8" x14ac:dyDescent="0.3">
      <c r="B443" s="100"/>
      <c r="C443" s="100"/>
      <c r="D443" s="100"/>
      <c r="E443" s="100"/>
      <c r="F443" s="100"/>
      <c r="G443" s="100"/>
      <c r="H443" s="100"/>
    </row>
    <row r="444" spans="2:8" x14ac:dyDescent="0.3">
      <c r="B444" s="100"/>
      <c r="C444" s="100"/>
      <c r="D444" s="100"/>
      <c r="E444" s="100"/>
      <c r="F444" s="100"/>
      <c r="G444" s="100"/>
      <c r="H444" s="100"/>
    </row>
    <row r="445" spans="2:8" x14ac:dyDescent="0.3">
      <c r="B445" s="100"/>
      <c r="C445" s="100"/>
      <c r="D445" s="100"/>
      <c r="E445" s="100"/>
      <c r="F445" s="100"/>
      <c r="G445" s="100"/>
      <c r="H445" s="100"/>
    </row>
    <row r="446" spans="2:8" x14ac:dyDescent="0.3">
      <c r="B446" s="100"/>
      <c r="C446" s="100"/>
      <c r="D446" s="100"/>
      <c r="E446" s="100"/>
      <c r="F446" s="100"/>
      <c r="G446" s="100"/>
      <c r="H446" s="100"/>
    </row>
    <row r="447" spans="2:8" x14ac:dyDescent="0.3">
      <c r="B447" s="100"/>
      <c r="C447" s="100"/>
      <c r="D447" s="100"/>
      <c r="E447" s="100"/>
      <c r="F447" s="100"/>
      <c r="G447" s="100"/>
      <c r="H447" s="100"/>
    </row>
    <row r="448" spans="2:8" x14ac:dyDescent="0.3">
      <c r="B448" s="100"/>
      <c r="C448" s="100"/>
      <c r="D448" s="100"/>
      <c r="E448" s="100"/>
      <c r="F448" s="100"/>
      <c r="G448" s="100"/>
      <c r="H448" s="100"/>
    </row>
    <row r="449" spans="2:8" x14ac:dyDescent="0.3">
      <c r="B449" s="100"/>
      <c r="C449" s="100"/>
      <c r="D449" s="100"/>
      <c r="E449" s="100"/>
      <c r="F449" s="100"/>
      <c r="G449" s="100"/>
      <c r="H449" s="100"/>
    </row>
    <row r="450" spans="2:8" x14ac:dyDescent="0.3">
      <c r="B450" s="100"/>
      <c r="C450" s="100"/>
      <c r="D450" s="100"/>
      <c r="E450" s="100"/>
      <c r="F450" s="100"/>
      <c r="G450" s="100"/>
      <c r="H450" s="100"/>
    </row>
    <row r="451" spans="2:8" x14ac:dyDescent="0.3">
      <c r="B451" s="100"/>
      <c r="C451" s="100"/>
      <c r="D451" s="100"/>
      <c r="E451" s="100"/>
      <c r="F451" s="100"/>
      <c r="G451" s="100"/>
      <c r="H451" s="100"/>
    </row>
    <row r="452" spans="2:8" x14ac:dyDescent="0.3">
      <c r="B452" s="100"/>
      <c r="C452" s="100"/>
      <c r="D452" s="100"/>
      <c r="E452" s="100"/>
      <c r="F452" s="100"/>
      <c r="G452" s="100"/>
      <c r="H452" s="100"/>
    </row>
    <row r="453" spans="2:8" x14ac:dyDescent="0.3">
      <c r="B453" s="100"/>
      <c r="C453" s="100"/>
      <c r="D453" s="100"/>
      <c r="E453" s="100"/>
      <c r="F453" s="100"/>
      <c r="G453" s="100"/>
      <c r="H453" s="100"/>
    </row>
    <row r="454" spans="2:8" x14ac:dyDescent="0.3">
      <c r="B454" s="100"/>
      <c r="C454" s="100"/>
      <c r="D454" s="100"/>
      <c r="E454" s="100"/>
      <c r="F454" s="100"/>
      <c r="G454" s="100"/>
      <c r="H454" s="100"/>
    </row>
    <row r="455" spans="2:8" x14ac:dyDescent="0.3">
      <c r="B455" s="100"/>
      <c r="C455" s="100"/>
      <c r="D455" s="100"/>
      <c r="E455" s="100"/>
      <c r="F455" s="100"/>
      <c r="G455" s="100"/>
      <c r="H455" s="100"/>
    </row>
    <row r="456" spans="2:8" x14ac:dyDescent="0.3">
      <c r="B456" s="100"/>
      <c r="C456" s="100"/>
      <c r="D456" s="100"/>
      <c r="E456" s="100"/>
      <c r="F456" s="100"/>
      <c r="G456" s="100"/>
      <c r="H456" s="100"/>
    </row>
    <row r="457" spans="2:8" x14ac:dyDescent="0.3">
      <c r="B457" s="100"/>
      <c r="C457" s="100"/>
      <c r="D457" s="100"/>
      <c r="E457" s="100"/>
      <c r="F457" s="100"/>
      <c r="G457" s="100"/>
      <c r="H457" s="100"/>
    </row>
    <row r="458" spans="2:8" x14ac:dyDescent="0.3">
      <c r="B458" s="100"/>
      <c r="C458" s="100"/>
      <c r="D458" s="100"/>
      <c r="E458" s="100"/>
      <c r="F458" s="100"/>
      <c r="G458" s="100"/>
      <c r="H458" s="100"/>
    </row>
    <row r="459" spans="2:8" x14ac:dyDescent="0.3">
      <c r="B459" s="100"/>
      <c r="C459" s="100"/>
      <c r="D459" s="100"/>
      <c r="E459" s="100"/>
      <c r="F459" s="100"/>
      <c r="G459" s="100"/>
      <c r="H459" s="100"/>
    </row>
    <row r="460" spans="2:8" x14ac:dyDescent="0.3">
      <c r="B460" s="100"/>
      <c r="C460" s="100"/>
      <c r="D460" s="100"/>
      <c r="E460" s="100"/>
      <c r="F460" s="100"/>
      <c r="G460" s="100"/>
      <c r="H460" s="100"/>
    </row>
    <row r="461" spans="2:8" x14ac:dyDescent="0.3">
      <c r="B461" s="100"/>
      <c r="C461" s="100"/>
      <c r="D461" s="100"/>
      <c r="E461" s="100"/>
      <c r="F461" s="100"/>
      <c r="G461" s="100"/>
      <c r="H461" s="100"/>
    </row>
    <row r="462" spans="2:8" x14ac:dyDescent="0.3">
      <c r="B462" s="100"/>
      <c r="C462" s="100"/>
      <c r="D462" s="100"/>
      <c r="E462" s="100"/>
      <c r="F462" s="100"/>
      <c r="G462" s="100"/>
      <c r="H462" s="100"/>
    </row>
    <row r="463" spans="2:8" x14ac:dyDescent="0.3">
      <c r="B463" s="100"/>
      <c r="C463" s="100"/>
      <c r="D463" s="100"/>
      <c r="E463" s="100"/>
      <c r="F463" s="100"/>
      <c r="G463" s="100"/>
      <c r="H463" s="100"/>
    </row>
    <row r="464" spans="2:8" x14ac:dyDescent="0.3">
      <c r="B464" s="100"/>
      <c r="C464" s="100"/>
      <c r="D464" s="100"/>
      <c r="E464" s="100"/>
      <c r="F464" s="100"/>
      <c r="G464" s="100"/>
      <c r="H464" s="100"/>
    </row>
    <row r="465" spans="2:8" x14ac:dyDescent="0.3">
      <c r="B465" s="100"/>
      <c r="C465" s="100"/>
      <c r="D465" s="100"/>
      <c r="E465" s="100"/>
      <c r="F465" s="100"/>
      <c r="G465" s="100"/>
      <c r="H465" s="100"/>
    </row>
    <row r="466" spans="2:8" x14ac:dyDescent="0.3">
      <c r="B466" s="100"/>
      <c r="C466" s="100"/>
      <c r="D466" s="100"/>
      <c r="E466" s="100"/>
      <c r="F466" s="100"/>
      <c r="G466" s="100"/>
      <c r="H466" s="100"/>
    </row>
    <row r="467" spans="2:8" x14ac:dyDescent="0.3">
      <c r="B467" s="100"/>
      <c r="C467" s="100"/>
      <c r="D467" s="100"/>
      <c r="E467" s="100"/>
      <c r="F467" s="100"/>
      <c r="G467" s="100"/>
      <c r="H467" s="100"/>
    </row>
    <row r="468" spans="2:8" x14ac:dyDescent="0.3">
      <c r="B468" s="100"/>
      <c r="C468" s="100"/>
      <c r="D468" s="100"/>
      <c r="E468" s="100"/>
      <c r="F468" s="100"/>
      <c r="G468" s="100"/>
      <c r="H468" s="100"/>
    </row>
    <row r="469" spans="2:8" x14ac:dyDescent="0.3">
      <c r="B469" s="100"/>
      <c r="C469" s="100"/>
      <c r="D469" s="100"/>
      <c r="E469" s="100"/>
      <c r="F469" s="100"/>
      <c r="G469" s="100"/>
      <c r="H469" s="100"/>
    </row>
    <row r="470" spans="2:8" x14ac:dyDescent="0.3">
      <c r="B470" s="100"/>
      <c r="C470" s="100"/>
      <c r="D470" s="100"/>
      <c r="E470" s="100"/>
      <c r="F470" s="100"/>
      <c r="G470" s="100"/>
      <c r="H470" s="100"/>
    </row>
    <row r="471" spans="2:8" x14ac:dyDescent="0.3">
      <c r="B471" s="100"/>
      <c r="C471" s="100"/>
      <c r="D471" s="100"/>
      <c r="E471" s="100"/>
      <c r="F471" s="100"/>
      <c r="G471" s="100"/>
      <c r="H471" s="100"/>
    </row>
    <row r="472" spans="2:8" x14ac:dyDescent="0.3">
      <c r="B472" s="100"/>
      <c r="C472" s="100"/>
      <c r="D472" s="100"/>
      <c r="E472" s="100"/>
      <c r="F472" s="100"/>
      <c r="G472" s="100"/>
      <c r="H472" s="100"/>
    </row>
    <row r="473" spans="2:8" x14ac:dyDescent="0.3">
      <c r="B473" s="100"/>
      <c r="C473" s="100"/>
      <c r="D473" s="100"/>
      <c r="E473" s="100"/>
      <c r="F473" s="100"/>
      <c r="G473" s="100"/>
      <c r="H473" s="100"/>
    </row>
    <row r="474" spans="2:8" x14ac:dyDescent="0.3">
      <c r="B474" s="100"/>
      <c r="C474" s="100"/>
      <c r="D474" s="100"/>
      <c r="E474" s="100"/>
      <c r="F474" s="100"/>
      <c r="G474" s="100"/>
      <c r="H474" s="100"/>
    </row>
    <row r="475" spans="2:8" x14ac:dyDescent="0.3">
      <c r="B475" s="100"/>
      <c r="C475" s="100"/>
      <c r="D475" s="100"/>
      <c r="E475" s="100"/>
      <c r="F475" s="100"/>
      <c r="G475" s="100"/>
      <c r="H475" s="100"/>
    </row>
    <row r="476" spans="2:8" x14ac:dyDescent="0.3">
      <c r="B476" s="100"/>
      <c r="C476" s="100"/>
      <c r="D476" s="100"/>
      <c r="E476" s="100"/>
      <c r="F476" s="100"/>
      <c r="G476" s="100"/>
      <c r="H476" s="100"/>
    </row>
    <row r="477" spans="2:8" x14ac:dyDescent="0.3">
      <c r="B477" s="100"/>
      <c r="C477" s="100"/>
      <c r="D477" s="100"/>
      <c r="E477" s="100"/>
      <c r="F477" s="100"/>
      <c r="G477" s="100"/>
      <c r="H477" s="100"/>
    </row>
    <row r="478" spans="2:8" x14ac:dyDescent="0.3">
      <c r="B478" s="100"/>
      <c r="C478" s="100"/>
      <c r="D478" s="100"/>
      <c r="E478" s="100"/>
      <c r="F478" s="100"/>
      <c r="G478" s="100"/>
      <c r="H478" s="100"/>
    </row>
    <row r="479" spans="2:8" x14ac:dyDescent="0.3">
      <c r="B479" s="100"/>
      <c r="C479" s="100"/>
      <c r="D479" s="100"/>
      <c r="E479" s="100"/>
      <c r="F479" s="100"/>
      <c r="G479" s="100"/>
      <c r="H479" s="100"/>
    </row>
    <row r="480" spans="2:8" x14ac:dyDescent="0.3">
      <c r="B480" s="100"/>
      <c r="C480" s="100"/>
      <c r="D480" s="100"/>
      <c r="E480" s="100"/>
      <c r="F480" s="100"/>
      <c r="G480" s="100"/>
      <c r="H480" s="100"/>
    </row>
    <row r="481" spans="2:8" x14ac:dyDescent="0.3">
      <c r="B481" s="100"/>
      <c r="C481" s="100"/>
      <c r="D481" s="100"/>
      <c r="E481" s="100"/>
      <c r="F481" s="100"/>
      <c r="G481" s="100"/>
      <c r="H481" s="100"/>
    </row>
    <row r="482" spans="2:8" x14ac:dyDescent="0.3">
      <c r="B482" s="100"/>
      <c r="C482" s="100"/>
      <c r="D482" s="100"/>
      <c r="E482" s="100"/>
      <c r="F482" s="100"/>
      <c r="G482" s="100"/>
      <c r="H482" s="100"/>
    </row>
    <row r="483" spans="2:8" x14ac:dyDescent="0.3">
      <c r="B483" s="100"/>
      <c r="C483" s="100"/>
      <c r="D483" s="100"/>
      <c r="E483" s="100"/>
      <c r="F483" s="100"/>
      <c r="G483" s="100"/>
      <c r="H483" s="100"/>
    </row>
    <row r="484" spans="2:8" x14ac:dyDescent="0.3">
      <c r="B484" s="100"/>
      <c r="C484" s="100"/>
      <c r="D484" s="100"/>
      <c r="E484" s="100"/>
      <c r="F484" s="100"/>
      <c r="G484" s="100"/>
      <c r="H484" s="100"/>
    </row>
    <row r="485" spans="2:8" x14ac:dyDescent="0.3">
      <c r="B485" s="100"/>
      <c r="C485" s="100"/>
      <c r="D485" s="100"/>
      <c r="E485" s="100"/>
      <c r="F485" s="100"/>
      <c r="G485" s="100"/>
      <c r="H485" s="100"/>
    </row>
    <row r="486" spans="2:8" x14ac:dyDescent="0.3">
      <c r="B486" s="100"/>
      <c r="C486" s="100"/>
      <c r="D486" s="100"/>
      <c r="E486" s="100"/>
      <c r="F486" s="100"/>
      <c r="G486" s="100"/>
      <c r="H486" s="100"/>
    </row>
    <row r="487" spans="2:8" x14ac:dyDescent="0.3">
      <c r="B487" s="100"/>
      <c r="C487" s="100"/>
      <c r="D487" s="100"/>
      <c r="E487" s="100"/>
      <c r="F487" s="100"/>
      <c r="G487" s="100"/>
      <c r="H487" s="100"/>
    </row>
    <row r="488" spans="2:8" x14ac:dyDescent="0.3">
      <c r="B488" s="100"/>
      <c r="C488" s="100"/>
      <c r="D488" s="100"/>
      <c r="E488" s="100"/>
      <c r="F488" s="100"/>
      <c r="G488" s="100"/>
      <c r="H488" s="100"/>
    </row>
    <row r="489" spans="2:8" x14ac:dyDescent="0.3">
      <c r="B489" s="100"/>
      <c r="C489" s="100"/>
      <c r="D489" s="100"/>
      <c r="E489" s="100"/>
      <c r="F489" s="100"/>
      <c r="G489" s="100"/>
      <c r="H489" s="100"/>
    </row>
    <row r="490" spans="2:8" x14ac:dyDescent="0.3">
      <c r="B490" s="100"/>
      <c r="C490" s="100"/>
      <c r="D490" s="100"/>
      <c r="E490" s="100"/>
      <c r="F490" s="100"/>
      <c r="G490" s="100"/>
      <c r="H490" s="100"/>
    </row>
    <row r="491" spans="2:8" x14ac:dyDescent="0.3">
      <c r="B491" s="100"/>
      <c r="C491" s="100"/>
      <c r="D491" s="100"/>
      <c r="E491" s="100"/>
      <c r="F491" s="100"/>
      <c r="G491" s="100"/>
      <c r="H491" s="100"/>
    </row>
    <row r="492" spans="2:8" x14ac:dyDescent="0.3">
      <c r="B492" s="100"/>
      <c r="C492" s="100"/>
      <c r="D492" s="100"/>
      <c r="E492" s="100"/>
      <c r="F492" s="100"/>
      <c r="G492" s="100"/>
      <c r="H492" s="100"/>
    </row>
    <row r="493" spans="2:8" x14ac:dyDescent="0.3">
      <c r="B493" s="100"/>
      <c r="C493" s="100"/>
      <c r="D493" s="100"/>
      <c r="E493" s="100"/>
      <c r="F493" s="100"/>
      <c r="G493" s="100"/>
      <c r="H493" s="100"/>
    </row>
    <row r="494" spans="2:8" x14ac:dyDescent="0.3">
      <c r="B494" s="100"/>
      <c r="C494" s="100"/>
      <c r="D494" s="100"/>
      <c r="E494" s="100"/>
      <c r="F494" s="100"/>
      <c r="G494" s="100"/>
      <c r="H494" s="100"/>
    </row>
    <row r="495" spans="2:8" x14ac:dyDescent="0.3">
      <c r="B495" s="100"/>
      <c r="C495" s="100"/>
      <c r="D495" s="100"/>
      <c r="E495" s="100"/>
      <c r="F495" s="100"/>
      <c r="G495" s="100"/>
      <c r="H495" s="100"/>
    </row>
    <row r="496" spans="2:8" x14ac:dyDescent="0.3">
      <c r="B496" s="100"/>
      <c r="C496" s="100"/>
      <c r="D496" s="100"/>
      <c r="E496" s="100"/>
      <c r="F496" s="100"/>
      <c r="G496" s="100"/>
      <c r="H496" s="100"/>
    </row>
    <row r="497" spans="2:8" x14ac:dyDescent="0.3">
      <c r="B497" s="100"/>
      <c r="C497" s="100"/>
      <c r="D497" s="100"/>
      <c r="E497" s="100"/>
      <c r="F497" s="100"/>
      <c r="G497" s="100"/>
      <c r="H497" s="100"/>
    </row>
    <row r="498" spans="2:8" x14ac:dyDescent="0.3">
      <c r="B498" s="100"/>
      <c r="C498" s="100"/>
      <c r="D498" s="100"/>
      <c r="E498" s="100"/>
      <c r="F498" s="100"/>
      <c r="G498" s="100"/>
      <c r="H498" s="100"/>
    </row>
    <row r="499" spans="2:8" x14ac:dyDescent="0.3">
      <c r="B499" s="100"/>
      <c r="C499" s="100"/>
      <c r="D499" s="100"/>
      <c r="E499" s="100"/>
      <c r="F499" s="100"/>
      <c r="G499" s="100"/>
      <c r="H499" s="100"/>
    </row>
    <row r="500" spans="2:8" x14ac:dyDescent="0.3">
      <c r="B500" s="100"/>
      <c r="C500" s="100"/>
      <c r="D500" s="100"/>
      <c r="E500" s="100"/>
      <c r="F500" s="100"/>
      <c r="G500" s="100"/>
      <c r="H500" s="100"/>
    </row>
    <row r="501" spans="2:8" x14ac:dyDescent="0.3">
      <c r="B501" s="100"/>
      <c r="C501" s="100"/>
      <c r="D501" s="100"/>
      <c r="E501" s="100"/>
      <c r="F501" s="100"/>
      <c r="G501" s="100"/>
      <c r="H501" s="100"/>
    </row>
    <row r="502" spans="2:8" x14ac:dyDescent="0.3">
      <c r="B502" s="100"/>
      <c r="C502" s="100"/>
      <c r="D502" s="100"/>
      <c r="E502" s="100"/>
      <c r="F502" s="100"/>
      <c r="G502" s="100"/>
      <c r="H502" s="100"/>
    </row>
    <row r="503" spans="2:8" x14ac:dyDescent="0.3">
      <c r="B503" s="100"/>
      <c r="C503" s="100"/>
      <c r="D503" s="100"/>
      <c r="E503" s="100"/>
      <c r="F503" s="100"/>
      <c r="G503" s="100"/>
      <c r="H503" s="100"/>
    </row>
    <row r="504" spans="2:8" x14ac:dyDescent="0.3">
      <c r="B504" s="100"/>
      <c r="C504" s="100"/>
      <c r="D504" s="100"/>
      <c r="E504" s="100"/>
      <c r="F504" s="100"/>
      <c r="G504" s="100"/>
      <c r="H504" s="100"/>
    </row>
    <row r="505" spans="2:8" x14ac:dyDescent="0.3">
      <c r="B505" s="100"/>
      <c r="C505" s="100"/>
      <c r="D505" s="100"/>
      <c r="E505" s="100"/>
      <c r="F505" s="100"/>
      <c r="G505" s="100"/>
      <c r="H505" s="100"/>
    </row>
    <row r="506" spans="2:8" x14ac:dyDescent="0.3">
      <c r="B506" s="100"/>
      <c r="C506" s="100"/>
      <c r="D506" s="100"/>
      <c r="E506" s="100"/>
      <c r="F506" s="100"/>
      <c r="G506" s="100"/>
      <c r="H506" s="100"/>
    </row>
    <row r="507" spans="2:8" x14ac:dyDescent="0.3">
      <c r="B507" s="100"/>
      <c r="C507" s="100"/>
      <c r="D507" s="100"/>
      <c r="E507" s="100"/>
      <c r="F507" s="100"/>
      <c r="G507" s="100"/>
      <c r="H507" s="100"/>
    </row>
    <row r="508" spans="2:8" x14ac:dyDescent="0.3">
      <c r="B508" s="100"/>
      <c r="C508" s="100"/>
      <c r="D508" s="100"/>
      <c r="E508" s="100"/>
      <c r="F508" s="100"/>
      <c r="G508" s="100"/>
      <c r="H508" s="100"/>
    </row>
    <row r="509" spans="2:8" x14ac:dyDescent="0.3">
      <c r="B509" s="100"/>
      <c r="C509" s="100"/>
      <c r="D509" s="100"/>
      <c r="E509" s="100"/>
      <c r="F509" s="100"/>
      <c r="G509" s="100"/>
      <c r="H509" s="100"/>
    </row>
    <row r="510" spans="2:8" x14ac:dyDescent="0.3">
      <c r="B510" s="100"/>
      <c r="C510" s="100"/>
      <c r="D510" s="100"/>
      <c r="E510" s="100"/>
      <c r="F510" s="100"/>
      <c r="G510" s="100"/>
      <c r="H510" s="100"/>
    </row>
    <row r="511" spans="2:8" x14ac:dyDescent="0.3">
      <c r="B511" s="100"/>
      <c r="C511" s="100"/>
      <c r="D511" s="100"/>
      <c r="E511" s="100"/>
      <c r="F511" s="100"/>
      <c r="G511" s="100"/>
      <c r="H511" s="100"/>
    </row>
    <row r="512" spans="2:8" x14ac:dyDescent="0.3">
      <c r="B512" s="100"/>
      <c r="C512" s="100"/>
      <c r="D512" s="100"/>
      <c r="E512" s="100"/>
      <c r="F512" s="100"/>
      <c r="G512" s="100"/>
      <c r="H512" s="100"/>
    </row>
    <row r="513" spans="2:8" x14ac:dyDescent="0.3">
      <c r="B513" s="100"/>
      <c r="C513" s="100"/>
      <c r="D513" s="100"/>
      <c r="E513" s="100"/>
      <c r="F513" s="100"/>
      <c r="G513" s="100"/>
      <c r="H513" s="100"/>
    </row>
    <row r="514" spans="2:8" x14ac:dyDescent="0.3">
      <c r="B514" s="100"/>
      <c r="C514" s="100"/>
      <c r="D514" s="100"/>
      <c r="E514" s="100"/>
      <c r="F514" s="100"/>
      <c r="G514" s="100"/>
      <c r="H514" s="100"/>
    </row>
    <row r="515" spans="2:8" x14ac:dyDescent="0.3">
      <c r="B515" s="100"/>
      <c r="C515" s="100"/>
      <c r="D515" s="100"/>
      <c r="E515" s="100"/>
      <c r="F515" s="100"/>
      <c r="G515" s="100"/>
      <c r="H515" s="100"/>
    </row>
    <row r="516" spans="2:8" x14ac:dyDescent="0.3">
      <c r="B516" s="100"/>
      <c r="C516" s="100"/>
      <c r="D516" s="100"/>
      <c r="E516" s="100"/>
      <c r="F516" s="100"/>
      <c r="G516" s="100"/>
      <c r="H516" s="100"/>
    </row>
    <row r="517" spans="2:8" x14ac:dyDescent="0.3">
      <c r="B517" s="100"/>
      <c r="C517" s="100"/>
      <c r="D517" s="100"/>
      <c r="E517" s="100"/>
      <c r="F517" s="100"/>
      <c r="G517" s="100"/>
      <c r="H517" s="100"/>
    </row>
    <row r="518" spans="2:8" x14ac:dyDescent="0.3">
      <c r="B518" s="100"/>
      <c r="C518" s="100"/>
      <c r="D518" s="100"/>
      <c r="E518" s="100"/>
      <c r="F518" s="100"/>
      <c r="G518" s="100"/>
      <c r="H518" s="100"/>
    </row>
    <row r="519" spans="2:8" x14ac:dyDescent="0.3">
      <c r="B519" s="100"/>
      <c r="C519" s="100"/>
      <c r="D519" s="100"/>
      <c r="E519" s="100"/>
      <c r="F519" s="100"/>
      <c r="G519" s="100"/>
      <c r="H519" s="100"/>
    </row>
    <row r="520" spans="2:8" x14ac:dyDescent="0.3">
      <c r="B520" s="100"/>
      <c r="C520" s="100"/>
      <c r="D520" s="100"/>
      <c r="E520" s="100"/>
      <c r="F520" s="100"/>
      <c r="G520" s="100"/>
      <c r="H520" s="100"/>
    </row>
    <row r="521" spans="2:8" x14ac:dyDescent="0.3">
      <c r="B521" s="100"/>
      <c r="C521" s="100"/>
      <c r="D521" s="100"/>
      <c r="E521" s="100"/>
      <c r="F521" s="100"/>
      <c r="G521" s="100"/>
      <c r="H521" s="100"/>
    </row>
    <row r="522" spans="2:8" x14ac:dyDescent="0.3">
      <c r="B522" s="100"/>
      <c r="C522" s="100"/>
      <c r="D522" s="100"/>
      <c r="E522" s="100"/>
      <c r="F522" s="100"/>
      <c r="G522" s="100"/>
      <c r="H522" s="100"/>
    </row>
    <row r="523" spans="2:8" x14ac:dyDescent="0.3">
      <c r="B523" s="100"/>
      <c r="C523" s="100"/>
      <c r="D523" s="100"/>
      <c r="E523" s="100"/>
      <c r="F523" s="100"/>
      <c r="G523" s="100"/>
      <c r="H523" s="100"/>
    </row>
    <row r="524" spans="2:8" x14ac:dyDescent="0.3">
      <c r="B524" s="100"/>
      <c r="C524" s="100"/>
      <c r="D524" s="100"/>
      <c r="E524" s="100"/>
      <c r="F524" s="100"/>
      <c r="G524" s="100"/>
      <c r="H524" s="100"/>
    </row>
    <row r="525" spans="2:8" x14ac:dyDescent="0.3">
      <c r="B525" s="100"/>
      <c r="C525" s="100"/>
      <c r="D525" s="100"/>
      <c r="E525" s="100"/>
      <c r="F525" s="100"/>
      <c r="G525" s="100"/>
      <c r="H525" s="100"/>
    </row>
    <row r="526" spans="2:8" x14ac:dyDescent="0.3">
      <c r="B526" s="100"/>
      <c r="C526" s="100"/>
      <c r="D526" s="100"/>
      <c r="E526" s="100"/>
      <c r="F526" s="100"/>
      <c r="G526" s="100"/>
      <c r="H526" s="100"/>
    </row>
    <row r="527" spans="2:8" x14ac:dyDescent="0.3">
      <c r="B527" s="100"/>
      <c r="C527" s="100"/>
      <c r="D527" s="100"/>
      <c r="E527" s="100"/>
      <c r="F527" s="100"/>
      <c r="G527" s="100"/>
      <c r="H527" s="100"/>
    </row>
    <row r="528" spans="2:8" x14ac:dyDescent="0.3">
      <c r="B528" s="100"/>
      <c r="C528" s="100"/>
      <c r="D528" s="100"/>
      <c r="E528" s="100"/>
      <c r="F528" s="100"/>
      <c r="G528" s="100"/>
      <c r="H528" s="100"/>
    </row>
    <row r="529" spans="2:8" x14ac:dyDescent="0.3">
      <c r="B529" s="100"/>
      <c r="C529" s="100"/>
      <c r="D529" s="100"/>
      <c r="E529" s="100"/>
      <c r="F529" s="100"/>
      <c r="G529" s="100"/>
      <c r="H529" s="100"/>
    </row>
    <row r="530" spans="2:8" x14ac:dyDescent="0.3">
      <c r="B530" s="100"/>
      <c r="C530" s="100"/>
      <c r="D530" s="100"/>
      <c r="E530" s="100"/>
      <c r="F530" s="100"/>
      <c r="G530" s="100"/>
      <c r="H530" s="100"/>
    </row>
    <row r="531" spans="2:8" x14ac:dyDescent="0.3">
      <c r="B531" s="100"/>
      <c r="C531" s="100"/>
      <c r="D531" s="100"/>
      <c r="E531" s="100"/>
      <c r="F531" s="100"/>
      <c r="G531" s="100"/>
      <c r="H531" s="100"/>
    </row>
    <row r="532" spans="2:8" x14ac:dyDescent="0.3">
      <c r="B532" s="100"/>
      <c r="C532" s="100"/>
      <c r="D532" s="100"/>
      <c r="E532" s="100"/>
      <c r="F532" s="100"/>
      <c r="G532" s="100"/>
      <c r="H532" s="100"/>
    </row>
    <row r="533" spans="2:8" x14ac:dyDescent="0.3">
      <c r="B533" s="100"/>
      <c r="C533" s="100"/>
      <c r="D533" s="100"/>
      <c r="E533" s="100"/>
      <c r="F533" s="100"/>
      <c r="G533" s="100"/>
      <c r="H533" s="100"/>
    </row>
    <row r="534" spans="2:8" x14ac:dyDescent="0.3">
      <c r="B534" s="100"/>
      <c r="C534" s="100"/>
      <c r="D534" s="100"/>
      <c r="E534" s="100"/>
      <c r="F534" s="100"/>
      <c r="G534" s="100"/>
      <c r="H534" s="100"/>
    </row>
    <row r="535" spans="2:8" x14ac:dyDescent="0.3">
      <c r="B535" s="100"/>
      <c r="C535" s="100"/>
      <c r="D535" s="100"/>
      <c r="E535" s="100"/>
      <c r="F535" s="100"/>
      <c r="G535" s="100"/>
      <c r="H535" s="100"/>
    </row>
    <row r="536" spans="2:8" x14ac:dyDescent="0.3">
      <c r="B536" s="100"/>
      <c r="C536" s="100"/>
      <c r="D536" s="100"/>
      <c r="E536" s="100"/>
      <c r="F536" s="100"/>
      <c r="G536" s="100"/>
      <c r="H536" s="100"/>
    </row>
    <row r="537" spans="2:8" x14ac:dyDescent="0.3">
      <c r="B537" s="100"/>
      <c r="C537" s="100"/>
      <c r="D537" s="100"/>
      <c r="E537" s="100"/>
      <c r="F537" s="100"/>
      <c r="G537" s="100"/>
      <c r="H537" s="100"/>
    </row>
    <row r="538" spans="2:8" x14ac:dyDescent="0.3">
      <c r="B538" s="100"/>
      <c r="C538" s="100"/>
      <c r="D538" s="100"/>
      <c r="E538" s="100"/>
      <c r="F538" s="100"/>
      <c r="G538" s="100"/>
      <c r="H538" s="100"/>
    </row>
    <row r="539" spans="2:8" x14ac:dyDescent="0.3">
      <c r="B539" s="100"/>
      <c r="C539" s="100"/>
      <c r="D539" s="100"/>
      <c r="E539" s="100"/>
      <c r="F539" s="100"/>
      <c r="G539" s="100"/>
      <c r="H539" s="100"/>
    </row>
    <row r="540" spans="2:8" x14ac:dyDescent="0.3">
      <c r="B540" s="100"/>
      <c r="C540" s="100"/>
      <c r="D540" s="100"/>
      <c r="E540" s="100"/>
      <c r="F540" s="100"/>
      <c r="G540" s="100"/>
      <c r="H540" s="100"/>
    </row>
    <row r="541" spans="2:8" x14ac:dyDescent="0.3">
      <c r="B541" s="100"/>
      <c r="C541" s="100"/>
      <c r="D541" s="100"/>
      <c r="E541" s="100"/>
      <c r="F541" s="100"/>
      <c r="G541" s="100"/>
      <c r="H541" s="100"/>
    </row>
    <row r="542" spans="2:8" x14ac:dyDescent="0.3">
      <c r="B542" s="100"/>
      <c r="C542" s="100"/>
      <c r="D542" s="100"/>
      <c r="E542" s="100"/>
      <c r="F542" s="100"/>
      <c r="G542" s="100"/>
      <c r="H542" s="100"/>
    </row>
    <row r="543" spans="2:8" x14ac:dyDescent="0.3">
      <c r="B543" s="100"/>
      <c r="C543" s="100"/>
      <c r="D543" s="100"/>
      <c r="E543" s="100"/>
      <c r="F543" s="100"/>
      <c r="G543" s="100"/>
      <c r="H543" s="100"/>
    </row>
    <row r="544" spans="2:8" x14ac:dyDescent="0.3">
      <c r="B544" s="100"/>
      <c r="C544" s="100"/>
      <c r="D544" s="100"/>
      <c r="E544" s="100"/>
      <c r="F544" s="100"/>
      <c r="G544" s="100"/>
      <c r="H544" s="100"/>
    </row>
    <row r="545" spans="2:8" x14ac:dyDescent="0.3">
      <c r="B545" s="100"/>
      <c r="C545" s="100"/>
      <c r="D545" s="100"/>
      <c r="E545" s="100"/>
      <c r="F545" s="100"/>
      <c r="G545" s="100"/>
      <c r="H545" s="100"/>
    </row>
    <row r="546" spans="2:8" x14ac:dyDescent="0.3">
      <c r="B546" s="100"/>
      <c r="C546" s="100"/>
      <c r="D546" s="100"/>
      <c r="E546" s="100"/>
      <c r="F546" s="100"/>
      <c r="G546" s="100"/>
      <c r="H546" s="100"/>
    </row>
    <row r="547" spans="2:8" x14ac:dyDescent="0.3">
      <c r="B547" s="100"/>
      <c r="C547" s="100"/>
      <c r="D547" s="100"/>
      <c r="E547" s="100"/>
      <c r="F547" s="100"/>
      <c r="G547" s="100"/>
      <c r="H547" s="100"/>
    </row>
    <row r="548" spans="2:8" x14ac:dyDescent="0.3">
      <c r="B548" s="100"/>
      <c r="C548" s="100"/>
      <c r="D548" s="100"/>
      <c r="E548" s="100"/>
      <c r="F548" s="100"/>
      <c r="G548" s="100"/>
      <c r="H548" s="100"/>
    </row>
    <row r="549" spans="2:8" x14ac:dyDescent="0.3">
      <c r="B549" s="100"/>
      <c r="C549" s="100"/>
      <c r="D549" s="100"/>
      <c r="E549" s="100"/>
      <c r="F549" s="100"/>
      <c r="G549" s="100"/>
      <c r="H549" s="100"/>
    </row>
    <row r="550" spans="2:8" x14ac:dyDescent="0.3">
      <c r="B550" s="100"/>
      <c r="C550" s="100"/>
      <c r="D550" s="100"/>
      <c r="E550" s="100"/>
      <c r="F550" s="100"/>
      <c r="G550" s="100"/>
      <c r="H550" s="100"/>
    </row>
    <row r="551" spans="2:8" x14ac:dyDescent="0.3">
      <c r="B551" s="100"/>
      <c r="C551" s="100"/>
      <c r="D551" s="100"/>
      <c r="E551" s="100"/>
      <c r="F551" s="100"/>
      <c r="G551" s="100"/>
      <c r="H551" s="100"/>
    </row>
    <row r="552" spans="2:8" x14ac:dyDescent="0.3">
      <c r="B552" s="100"/>
      <c r="C552" s="100"/>
      <c r="D552" s="100"/>
      <c r="E552" s="100"/>
      <c r="F552" s="100"/>
      <c r="G552" s="100"/>
      <c r="H552" s="100"/>
    </row>
    <row r="553" spans="2:8" x14ac:dyDescent="0.3">
      <c r="B553" s="100"/>
      <c r="C553" s="100"/>
      <c r="D553" s="100"/>
      <c r="E553" s="100"/>
      <c r="F553" s="100"/>
      <c r="G553" s="100"/>
      <c r="H553" s="100"/>
    </row>
    <row r="554" spans="2:8" x14ac:dyDescent="0.3">
      <c r="B554" s="100"/>
      <c r="C554" s="100"/>
      <c r="D554" s="100"/>
      <c r="E554" s="100"/>
      <c r="F554" s="100"/>
      <c r="G554" s="100"/>
      <c r="H554" s="100"/>
    </row>
    <row r="555" spans="2:8" x14ac:dyDescent="0.3">
      <c r="B555" s="100"/>
      <c r="C555" s="100"/>
      <c r="D555" s="100"/>
      <c r="E555" s="100"/>
      <c r="F555" s="100"/>
      <c r="G555" s="100"/>
      <c r="H555" s="100"/>
    </row>
    <row r="556" spans="2:8" x14ac:dyDescent="0.3">
      <c r="B556" s="100"/>
      <c r="C556" s="100"/>
      <c r="D556" s="100"/>
      <c r="E556" s="100"/>
      <c r="F556" s="100"/>
      <c r="G556" s="100"/>
      <c r="H556" s="100"/>
    </row>
    <row r="557" spans="2:8" x14ac:dyDescent="0.3">
      <c r="B557" s="100"/>
      <c r="C557" s="100"/>
      <c r="D557" s="100"/>
      <c r="E557" s="100"/>
      <c r="F557" s="100"/>
      <c r="G557" s="100"/>
      <c r="H557" s="100"/>
    </row>
    <row r="558" spans="2:8" x14ac:dyDescent="0.3">
      <c r="B558" s="100"/>
      <c r="C558" s="100"/>
      <c r="D558" s="100"/>
      <c r="E558" s="100"/>
      <c r="F558" s="100"/>
      <c r="G558" s="100"/>
      <c r="H558" s="100"/>
    </row>
    <row r="559" spans="2:8" x14ac:dyDescent="0.3">
      <c r="B559" s="100"/>
      <c r="C559" s="100"/>
      <c r="D559" s="100"/>
      <c r="E559" s="100"/>
      <c r="F559" s="100"/>
      <c r="G559" s="100"/>
      <c r="H559" s="100"/>
    </row>
    <row r="560" spans="2:8" x14ac:dyDescent="0.3">
      <c r="B560" s="100"/>
      <c r="C560" s="100"/>
      <c r="D560" s="100"/>
      <c r="E560" s="100"/>
      <c r="F560" s="100"/>
      <c r="G560" s="100"/>
      <c r="H560" s="100"/>
    </row>
    <row r="561" spans="2:8" x14ac:dyDescent="0.3">
      <c r="B561" s="100"/>
      <c r="C561" s="100"/>
      <c r="D561" s="100"/>
      <c r="E561" s="100"/>
      <c r="F561" s="100"/>
      <c r="G561" s="100"/>
      <c r="H561" s="100"/>
    </row>
    <row r="562" spans="2:8" x14ac:dyDescent="0.3">
      <c r="B562" s="100"/>
      <c r="C562" s="100"/>
      <c r="D562" s="100"/>
      <c r="E562" s="100"/>
      <c r="F562" s="100"/>
      <c r="G562" s="100"/>
      <c r="H562" s="100"/>
    </row>
    <row r="563" spans="2:8" x14ac:dyDescent="0.3">
      <c r="B563" s="100"/>
      <c r="C563" s="100"/>
      <c r="D563" s="100"/>
      <c r="E563" s="100"/>
      <c r="F563" s="100"/>
      <c r="G563" s="100"/>
      <c r="H563" s="100"/>
    </row>
    <row r="564" spans="2:8" x14ac:dyDescent="0.3">
      <c r="B564" s="100"/>
      <c r="C564" s="100"/>
      <c r="D564" s="100"/>
      <c r="E564" s="100"/>
      <c r="F564" s="100"/>
      <c r="G564" s="100"/>
      <c r="H564" s="100"/>
    </row>
    <row r="565" spans="2:8" x14ac:dyDescent="0.3">
      <c r="B565" s="100"/>
      <c r="C565" s="100"/>
      <c r="D565" s="100"/>
      <c r="E565" s="100"/>
      <c r="F565" s="100"/>
      <c r="G565" s="100"/>
      <c r="H565" s="100"/>
    </row>
    <row r="566" spans="2:8" x14ac:dyDescent="0.3">
      <c r="B566" s="100"/>
      <c r="C566" s="100"/>
      <c r="D566" s="100"/>
      <c r="E566" s="100"/>
      <c r="F566" s="100"/>
      <c r="G566" s="100"/>
      <c r="H566" s="100"/>
    </row>
    <row r="567" spans="2:8" x14ac:dyDescent="0.3">
      <c r="B567" s="100"/>
      <c r="C567" s="100"/>
      <c r="D567" s="100"/>
      <c r="E567" s="100"/>
      <c r="F567" s="100"/>
      <c r="G567" s="100"/>
      <c r="H567" s="100"/>
    </row>
    <row r="568" spans="2:8" x14ac:dyDescent="0.3">
      <c r="B568" s="100"/>
      <c r="C568" s="100"/>
      <c r="D568" s="100"/>
      <c r="E568" s="100"/>
      <c r="F568" s="100"/>
      <c r="G568" s="100"/>
      <c r="H568" s="100"/>
    </row>
    <row r="569" spans="2:8" x14ac:dyDescent="0.3">
      <c r="B569" s="100"/>
      <c r="C569" s="100"/>
      <c r="D569" s="100"/>
      <c r="E569" s="100"/>
      <c r="F569" s="100"/>
      <c r="G569" s="100"/>
      <c r="H569" s="100"/>
    </row>
    <row r="570" spans="2:8" x14ac:dyDescent="0.3">
      <c r="B570" s="100"/>
      <c r="C570" s="100"/>
      <c r="D570" s="100"/>
      <c r="E570" s="100"/>
      <c r="F570" s="100"/>
      <c r="G570" s="100"/>
      <c r="H570" s="100"/>
    </row>
    <row r="571" spans="2:8" x14ac:dyDescent="0.3">
      <c r="B571" s="100"/>
      <c r="C571" s="100"/>
      <c r="D571" s="100"/>
      <c r="E571" s="100"/>
      <c r="F571" s="100"/>
      <c r="G571" s="100"/>
      <c r="H571" s="100"/>
    </row>
    <row r="572" spans="2:8" x14ac:dyDescent="0.3">
      <c r="B572" s="100"/>
      <c r="C572" s="100"/>
      <c r="D572" s="100"/>
      <c r="E572" s="100"/>
      <c r="F572" s="100"/>
      <c r="G572" s="100"/>
      <c r="H572" s="100"/>
    </row>
    <row r="573" spans="2:8" x14ac:dyDescent="0.3">
      <c r="B573" s="100"/>
      <c r="C573" s="100"/>
      <c r="D573" s="100"/>
      <c r="E573" s="100"/>
      <c r="F573" s="100"/>
      <c r="G573" s="100"/>
      <c r="H573" s="100"/>
    </row>
    <row r="574" spans="2:8" x14ac:dyDescent="0.3">
      <c r="B574" s="100"/>
      <c r="C574" s="100"/>
      <c r="D574" s="100"/>
      <c r="E574" s="100"/>
      <c r="F574" s="100"/>
      <c r="G574" s="100"/>
      <c r="H574" s="100"/>
    </row>
    <row r="575" spans="2:8" x14ac:dyDescent="0.3">
      <c r="B575" s="100"/>
      <c r="C575" s="100"/>
      <c r="D575" s="100"/>
      <c r="E575" s="100"/>
      <c r="F575" s="100"/>
      <c r="G575" s="100"/>
      <c r="H575" s="100"/>
    </row>
    <row r="576" spans="2:8" x14ac:dyDescent="0.3">
      <c r="B576" s="100"/>
      <c r="C576" s="100"/>
      <c r="D576" s="100"/>
      <c r="E576" s="100"/>
      <c r="F576" s="100"/>
      <c r="G576" s="100"/>
      <c r="H576" s="100"/>
    </row>
    <row r="577" spans="2:8" x14ac:dyDescent="0.3">
      <c r="B577" s="100"/>
      <c r="C577" s="100"/>
      <c r="D577" s="100"/>
      <c r="E577" s="100"/>
      <c r="F577" s="100"/>
      <c r="G577" s="100"/>
      <c r="H577" s="100"/>
    </row>
    <row r="578" spans="2:8" x14ac:dyDescent="0.3">
      <c r="B578" s="100"/>
      <c r="C578" s="100"/>
      <c r="D578" s="100"/>
      <c r="E578" s="100"/>
      <c r="F578" s="100"/>
      <c r="G578" s="100"/>
      <c r="H578" s="100"/>
    </row>
    <row r="579" spans="2:8" x14ac:dyDescent="0.3">
      <c r="B579" s="100"/>
      <c r="C579" s="100"/>
      <c r="D579" s="100"/>
      <c r="E579" s="100"/>
      <c r="F579" s="100"/>
      <c r="G579" s="100"/>
      <c r="H579" s="100"/>
    </row>
    <row r="580" spans="2:8" x14ac:dyDescent="0.3">
      <c r="B580" s="100"/>
      <c r="C580" s="100"/>
      <c r="D580" s="100"/>
      <c r="E580" s="100"/>
      <c r="F580" s="100"/>
      <c r="G580" s="100"/>
      <c r="H580" s="100"/>
    </row>
    <row r="581" spans="2:8" x14ac:dyDescent="0.3">
      <c r="B581" s="100"/>
      <c r="C581" s="100"/>
      <c r="D581" s="100"/>
      <c r="E581" s="100"/>
      <c r="F581" s="100"/>
      <c r="G581" s="100"/>
      <c r="H581" s="100"/>
    </row>
    <row r="582" spans="2:8" x14ac:dyDescent="0.3">
      <c r="B582" s="100"/>
      <c r="C582" s="100"/>
      <c r="D582" s="100"/>
      <c r="E582" s="100"/>
      <c r="F582" s="100"/>
      <c r="G582" s="100"/>
      <c r="H582" s="100"/>
    </row>
    <row r="583" spans="2:8" x14ac:dyDescent="0.3">
      <c r="B583" s="100"/>
      <c r="C583" s="100"/>
      <c r="D583" s="100"/>
      <c r="E583" s="100"/>
      <c r="F583" s="100"/>
      <c r="G583" s="100"/>
      <c r="H583" s="100"/>
    </row>
    <row r="584" spans="2:8" x14ac:dyDescent="0.3">
      <c r="B584" s="100"/>
      <c r="C584" s="100"/>
      <c r="D584" s="100"/>
      <c r="E584" s="100"/>
      <c r="F584" s="100"/>
      <c r="G584" s="100"/>
      <c r="H584" s="100"/>
    </row>
    <row r="585" spans="2:8" x14ac:dyDescent="0.3">
      <c r="B585" s="100"/>
      <c r="C585" s="100"/>
      <c r="D585" s="100"/>
      <c r="E585" s="100"/>
      <c r="F585" s="100"/>
      <c r="G585" s="100"/>
      <c r="H585" s="100"/>
    </row>
    <row r="586" spans="2:8" x14ac:dyDescent="0.3">
      <c r="B586" s="100"/>
      <c r="C586" s="100"/>
      <c r="D586" s="100"/>
      <c r="E586" s="100"/>
      <c r="F586" s="100"/>
      <c r="G586" s="100"/>
      <c r="H586" s="100"/>
    </row>
    <row r="587" spans="2:8" x14ac:dyDescent="0.3">
      <c r="B587" s="100"/>
      <c r="C587" s="100"/>
      <c r="D587" s="100"/>
      <c r="E587" s="100"/>
      <c r="F587" s="100"/>
      <c r="G587" s="100"/>
      <c r="H587" s="100"/>
    </row>
    <row r="588" spans="2:8" x14ac:dyDescent="0.3">
      <c r="B588" s="100"/>
      <c r="C588" s="100"/>
      <c r="D588" s="100"/>
      <c r="E588" s="100"/>
      <c r="F588" s="100"/>
      <c r="G588" s="100"/>
      <c r="H588" s="100"/>
    </row>
    <row r="589" spans="2:8" x14ac:dyDescent="0.3">
      <c r="B589" s="100"/>
      <c r="C589" s="100"/>
      <c r="D589" s="100"/>
      <c r="E589" s="100"/>
      <c r="F589" s="100"/>
      <c r="G589" s="100"/>
      <c r="H589" s="100"/>
    </row>
    <row r="590" spans="2:8" x14ac:dyDescent="0.3">
      <c r="B590" s="100"/>
      <c r="C590" s="100"/>
      <c r="D590" s="100"/>
      <c r="E590" s="100"/>
      <c r="F590" s="100"/>
      <c r="G590" s="100"/>
      <c r="H590" s="100"/>
    </row>
    <row r="591" spans="2:8" x14ac:dyDescent="0.3">
      <c r="B591" s="100"/>
      <c r="C591" s="100"/>
      <c r="D591" s="100"/>
      <c r="E591" s="100"/>
      <c r="F591" s="100"/>
      <c r="G591" s="100"/>
      <c r="H591" s="100"/>
    </row>
    <row r="592" spans="2:8" x14ac:dyDescent="0.3">
      <c r="B592" s="100"/>
      <c r="C592" s="100"/>
      <c r="D592" s="100"/>
      <c r="E592" s="100"/>
      <c r="F592" s="100"/>
      <c r="G592" s="100"/>
      <c r="H592" s="100"/>
    </row>
    <row r="593" spans="2:8" x14ac:dyDescent="0.3">
      <c r="B593" s="100"/>
      <c r="C593" s="100"/>
      <c r="D593" s="100"/>
      <c r="E593" s="100"/>
      <c r="F593" s="100"/>
      <c r="G593" s="100"/>
      <c r="H593" s="100"/>
    </row>
    <row r="594" spans="2:8" x14ac:dyDescent="0.3">
      <c r="B594" s="100"/>
      <c r="C594" s="100"/>
      <c r="D594" s="100"/>
      <c r="E594" s="100"/>
      <c r="F594" s="100"/>
      <c r="G594" s="100"/>
      <c r="H594" s="100"/>
    </row>
    <row r="595" spans="2:8" x14ac:dyDescent="0.3">
      <c r="B595" s="100"/>
      <c r="C595" s="100"/>
      <c r="D595" s="100"/>
      <c r="E595" s="100"/>
      <c r="F595" s="100"/>
      <c r="G595" s="100"/>
      <c r="H595" s="100"/>
    </row>
    <row r="596" spans="2:8" x14ac:dyDescent="0.3">
      <c r="B596" s="100"/>
      <c r="C596" s="100"/>
      <c r="D596" s="100"/>
      <c r="E596" s="100"/>
      <c r="F596" s="100"/>
      <c r="G596" s="100"/>
      <c r="H596" s="100"/>
    </row>
    <row r="597" spans="2:8" x14ac:dyDescent="0.3">
      <c r="B597" s="100"/>
      <c r="C597" s="100"/>
      <c r="D597" s="100"/>
      <c r="E597" s="100"/>
      <c r="F597" s="100"/>
      <c r="G597" s="100"/>
      <c r="H597" s="100"/>
    </row>
    <row r="598" spans="2:8" x14ac:dyDescent="0.3">
      <c r="B598" s="100"/>
      <c r="C598" s="100"/>
      <c r="D598" s="100"/>
      <c r="E598" s="100"/>
      <c r="F598" s="100"/>
      <c r="G598" s="100"/>
      <c r="H598" s="100"/>
    </row>
    <row r="599" spans="2:8" x14ac:dyDescent="0.3">
      <c r="B599" s="100"/>
      <c r="C599" s="100"/>
      <c r="D599" s="100"/>
      <c r="E599" s="100"/>
      <c r="F599" s="100"/>
      <c r="G599" s="100"/>
      <c r="H599" s="100"/>
    </row>
    <row r="600" spans="2:8" x14ac:dyDescent="0.3">
      <c r="B600" s="100"/>
      <c r="C600" s="100"/>
      <c r="D600" s="100"/>
      <c r="E600" s="100"/>
      <c r="F600" s="100"/>
      <c r="G600" s="100"/>
      <c r="H600" s="100"/>
    </row>
    <row r="601" spans="2:8" x14ac:dyDescent="0.3">
      <c r="B601" s="100"/>
      <c r="C601" s="100"/>
      <c r="D601" s="100"/>
      <c r="E601" s="100"/>
      <c r="F601" s="100"/>
      <c r="G601" s="100"/>
      <c r="H601" s="100"/>
    </row>
    <row r="602" spans="2:8" x14ac:dyDescent="0.3">
      <c r="B602" s="100"/>
      <c r="C602" s="100"/>
      <c r="D602" s="100"/>
      <c r="E602" s="100"/>
      <c r="F602" s="100"/>
      <c r="G602" s="100"/>
      <c r="H602" s="100"/>
    </row>
    <row r="603" spans="2:8" x14ac:dyDescent="0.3">
      <c r="B603" s="100"/>
      <c r="C603" s="100"/>
      <c r="D603" s="100"/>
      <c r="E603" s="100"/>
      <c r="F603" s="100"/>
      <c r="G603" s="100"/>
      <c r="H603" s="100"/>
    </row>
    <row r="604" spans="2:8" x14ac:dyDescent="0.3">
      <c r="B604" s="100"/>
      <c r="C604" s="100"/>
      <c r="D604" s="100"/>
      <c r="E604" s="100"/>
      <c r="F604" s="100"/>
      <c r="G604" s="100"/>
      <c r="H604" s="100"/>
    </row>
    <row r="605" spans="2:8" x14ac:dyDescent="0.3">
      <c r="B605" s="100"/>
      <c r="C605" s="100"/>
      <c r="D605" s="100"/>
      <c r="E605" s="100"/>
      <c r="F605" s="100"/>
      <c r="G605" s="100"/>
      <c r="H605" s="100"/>
    </row>
    <row r="606" spans="2:8" x14ac:dyDescent="0.3">
      <c r="B606" s="100"/>
      <c r="C606" s="100"/>
      <c r="D606" s="100"/>
      <c r="E606" s="100"/>
      <c r="F606" s="100"/>
      <c r="G606" s="100"/>
      <c r="H606" s="100"/>
    </row>
    <row r="607" spans="2:8" x14ac:dyDescent="0.3">
      <c r="B607" s="100"/>
      <c r="C607" s="100"/>
      <c r="D607" s="100"/>
      <c r="E607" s="100"/>
      <c r="F607" s="100"/>
      <c r="G607" s="100"/>
      <c r="H607" s="100"/>
    </row>
    <row r="608" spans="2:8" x14ac:dyDescent="0.3">
      <c r="B608" s="100"/>
      <c r="C608" s="100"/>
      <c r="D608" s="100"/>
      <c r="E608" s="100"/>
      <c r="F608" s="100"/>
      <c r="G608" s="100"/>
      <c r="H608" s="100"/>
    </row>
    <row r="609" spans="2:8" x14ac:dyDescent="0.3">
      <c r="B609" s="100"/>
      <c r="C609" s="100"/>
      <c r="D609" s="100"/>
      <c r="E609" s="100"/>
      <c r="F609" s="100"/>
      <c r="G609" s="100"/>
      <c r="H609" s="100"/>
    </row>
    <row r="610" spans="2:8" x14ac:dyDescent="0.3">
      <c r="B610" s="100"/>
      <c r="C610" s="100"/>
      <c r="D610" s="100"/>
      <c r="E610" s="100"/>
      <c r="F610" s="100"/>
      <c r="G610" s="100"/>
      <c r="H610" s="100"/>
    </row>
    <row r="611" spans="2:8" x14ac:dyDescent="0.3">
      <c r="B611" s="100"/>
      <c r="C611" s="100"/>
      <c r="D611" s="100"/>
      <c r="E611" s="100"/>
      <c r="F611" s="100"/>
      <c r="G611" s="100"/>
      <c r="H611" s="100"/>
    </row>
    <row r="612" spans="2:8" x14ac:dyDescent="0.3">
      <c r="B612" s="100"/>
      <c r="C612" s="100"/>
      <c r="D612" s="100"/>
      <c r="E612" s="100"/>
      <c r="F612" s="100"/>
      <c r="G612" s="100"/>
      <c r="H612" s="100"/>
    </row>
    <row r="613" spans="2:8" x14ac:dyDescent="0.3">
      <c r="B613" s="100"/>
      <c r="C613" s="100"/>
      <c r="D613" s="100"/>
      <c r="E613" s="100"/>
      <c r="F613" s="100"/>
      <c r="G613" s="100"/>
      <c r="H613" s="100"/>
    </row>
    <row r="614" spans="2:8" x14ac:dyDescent="0.3">
      <c r="B614" s="100"/>
      <c r="C614" s="100"/>
      <c r="D614" s="100"/>
      <c r="E614" s="100"/>
      <c r="F614" s="100"/>
      <c r="G614" s="100"/>
      <c r="H614" s="100"/>
    </row>
    <row r="615" spans="2:8" x14ac:dyDescent="0.3">
      <c r="B615" s="100"/>
      <c r="C615" s="100"/>
      <c r="D615" s="100"/>
      <c r="E615" s="100"/>
      <c r="F615" s="100"/>
      <c r="G615" s="100"/>
      <c r="H615" s="100"/>
    </row>
    <row r="616" spans="2:8" x14ac:dyDescent="0.3">
      <c r="B616" s="100"/>
      <c r="C616" s="100"/>
      <c r="D616" s="100"/>
      <c r="E616" s="100"/>
      <c r="F616" s="100"/>
      <c r="G616" s="100"/>
      <c r="H616" s="100"/>
    </row>
    <row r="617" spans="2:8" x14ac:dyDescent="0.3">
      <c r="B617" s="100"/>
      <c r="C617" s="100"/>
      <c r="D617" s="100"/>
      <c r="E617" s="100"/>
      <c r="F617" s="100"/>
      <c r="G617" s="100"/>
      <c r="H617" s="100"/>
    </row>
    <row r="618" spans="2:8" x14ac:dyDescent="0.3">
      <c r="B618" s="100"/>
      <c r="C618" s="100"/>
      <c r="D618" s="100"/>
      <c r="E618" s="100"/>
      <c r="F618" s="100"/>
      <c r="G618" s="100"/>
      <c r="H618" s="100"/>
    </row>
    <row r="619" spans="2:8" x14ac:dyDescent="0.3">
      <c r="B619" s="100"/>
      <c r="C619" s="100"/>
      <c r="D619" s="100"/>
      <c r="E619" s="100"/>
      <c r="F619" s="100"/>
      <c r="G619" s="100"/>
      <c r="H619" s="100"/>
    </row>
    <row r="620" spans="2:8" x14ac:dyDescent="0.3">
      <c r="B620" s="100"/>
      <c r="C620" s="100"/>
      <c r="D620" s="100"/>
      <c r="E620" s="100"/>
      <c r="F620" s="100"/>
      <c r="G620" s="100"/>
      <c r="H620" s="100"/>
    </row>
    <row r="621" spans="2:8" x14ac:dyDescent="0.3">
      <c r="B621" s="100"/>
      <c r="C621" s="100"/>
      <c r="D621" s="100"/>
      <c r="E621" s="100"/>
      <c r="F621" s="100"/>
      <c r="G621" s="100"/>
      <c r="H621" s="100"/>
    </row>
    <row r="622" spans="2:8" x14ac:dyDescent="0.3">
      <c r="B622" s="100"/>
      <c r="C622" s="100"/>
      <c r="D622" s="100"/>
      <c r="E622" s="100"/>
      <c r="F622" s="100"/>
      <c r="G622" s="100"/>
      <c r="H622" s="100"/>
    </row>
    <row r="623" spans="2:8" x14ac:dyDescent="0.3">
      <c r="B623" s="100"/>
      <c r="C623" s="100"/>
      <c r="D623" s="100"/>
      <c r="E623" s="100"/>
      <c r="F623" s="100"/>
      <c r="G623" s="100"/>
      <c r="H623" s="100"/>
    </row>
    <row r="624" spans="2:8" x14ac:dyDescent="0.3">
      <c r="B624" s="100"/>
      <c r="C624" s="100"/>
      <c r="D624" s="100"/>
      <c r="E624" s="100"/>
      <c r="F624" s="100"/>
      <c r="G624" s="100"/>
      <c r="H624" s="100"/>
    </row>
    <row r="625" spans="2:8" x14ac:dyDescent="0.3">
      <c r="B625" s="100"/>
      <c r="C625" s="100"/>
      <c r="D625" s="100"/>
      <c r="E625" s="100"/>
      <c r="F625" s="100"/>
      <c r="G625" s="100"/>
      <c r="H625" s="100"/>
    </row>
    <row r="626" spans="2:8" x14ac:dyDescent="0.3">
      <c r="B626" s="100"/>
      <c r="C626" s="100"/>
      <c r="D626" s="100"/>
      <c r="E626" s="100"/>
      <c r="F626" s="100"/>
      <c r="G626" s="100"/>
      <c r="H626" s="100"/>
    </row>
    <row r="627" spans="2:8" x14ac:dyDescent="0.3">
      <c r="B627" s="100"/>
      <c r="C627" s="100"/>
      <c r="D627" s="100"/>
      <c r="E627" s="100"/>
      <c r="F627" s="100"/>
      <c r="G627" s="100"/>
      <c r="H627" s="100"/>
    </row>
    <row r="628" spans="2:8" x14ac:dyDescent="0.3">
      <c r="B628" s="100"/>
      <c r="C628" s="100"/>
      <c r="D628" s="100"/>
      <c r="E628" s="100"/>
      <c r="F628" s="100"/>
      <c r="G628" s="100"/>
      <c r="H628" s="100"/>
    </row>
    <row r="629" spans="2:8" x14ac:dyDescent="0.3">
      <c r="B629" s="100"/>
      <c r="C629" s="100"/>
      <c r="D629" s="100"/>
      <c r="E629" s="100"/>
      <c r="F629" s="100"/>
      <c r="G629" s="100"/>
      <c r="H629" s="100"/>
    </row>
    <row r="630" spans="2:8" x14ac:dyDescent="0.3">
      <c r="B630" s="100"/>
      <c r="C630" s="100"/>
      <c r="D630" s="100"/>
      <c r="E630" s="100"/>
      <c r="F630" s="100"/>
      <c r="G630" s="100"/>
      <c r="H630" s="100"/>
    </row>
    <row r="631" spans="2:8" x14ac:dyDescent="0.3">
      <c r="B631" s="100"/>
      <c r="C631" s="100"/>
      <c r="D631" s="100"/>
      <c r="E631" s="100"/>
      <c r="F631" s="100"/>
      <c r="G631" s="100"/>
      <c r="H631" s="100"/>
    </row>
    <row r="632" spans="2:8" x14ac:dyDescent="0.3">
      <c r="B632" s="100"/>
      <c r="C632" s="100"/>
      <c r="D632" s="100"/>
      <c r="E632" s="100"/>
      <c r="F632" s="100"/>
      <c r="G632" s="100"/>
      <c r="H632" s="100"/>
    </row>
    <row r="633" spans="2:8" x14ac:dyDescent="0.3">
      <c r="B633" s="100"/>
      <c r="C633" s="100"/>
      <c r="D633" s="100"/>
      <c r="E633" s="100"/>
      <c r="F633" s="100"/>
      <c r="G633" s="100"/>
      <c r="H633" s="100"/>
    </row>
    <row r="634" spans="2:8" x14ac:dyDescent="0.3">
      <c r="B634" s="100"/>
      <c r="C634" s="100"/>
      <c r="D634" s="100"/>
      <c r="E634" s="100"/>
      <c r="F634" s="100"/>
      <c r="G634" s="100"/>
      <c r="H634" s="100"/>
    </row>
    <row r="635" spans="2:8" x14ac:dyDescent="0.3">
      <c r="B635" s="100"/>
      <c r="C635" s="100"/>
      <c r="D635" s="100"/>
      <c r="E635" s="100"/>
      <c r="F635" s="100"/>
      <c r="G635" s="100"/>
      <c r="H635" s="100"/>
    </row>
    <row r="636" spans="2:8" x14ac:dyDescent="0.3">
      <c r="B636" s="100"/>
      <c r="C636" s="100"/>
      <c r="D636" s="100"/>
      <c r="E636" s="100"/>
      <c r="F636" s="100"/>
      <c r="G636" s="100"/>
      <c r="H636" s="100"/>
    </row>
    <row r="637" spans="2:8" x14ac:dyDescent="0.3">
      <c r="B637" s="100"/>
      <c r="C637" s="100"/>
      <c r="D637" s="100"/>
      <c r="E637" s="100"/>
      <c r="F637" s="100"/>
      <c r="G637" s="100"/>
      <c r="H637" s="100"/>
    </row>
    <row r="638" spans="2:8" x14ac:dyDescent="0.3">
      <c r="B638" s="100"/>
      <c r="C638" s="100"/>
      <c r="D638" s="100"/>
      <c r="E638" s="100"/>
      <c r="F638" s="100"/>
      <c r="G638" s="100"/>
      <c r="H638" s="100"/>
    </row>
    <row r="639" spans="2:8" x14ac:dyDescent="0.3">
      <c r="B639" s="100"/>
      <c r="C639" s="100"/>
      <c r="D639" s="100"/>
      <c r="E639" s="100"/>
      <c r="F639" s="100"/>
      <c r="G639" s="100"/>
      <c r="H639" s="100"/>
    </row>
    <row r="640" spans="2:8" x14ac:dyDescent="0.3">
      <c r="B640" s="100"/>
      <c r="C640" s="100"/>
      <c r="D640" s="100"/>
      <c r="E640" s="100"/>
      <c r="F640" s="100"/>
      <c r="G640" s="100"/>
      <c r="H640" s="100"/>
    </row>
    <row r="641" spans="2:8" x14ac:dyDescent="0.3">
      <c r="B641" s="100"/>
      <c r="C641" s="100"/>
      <c r="D641" s="100"/>
      <c r="E641" s="100"/>
      <c r="F641" s="100"/>
      <c r="G641" s="100"/>
      <c r="H641" s="100"/>
    </row>
    <row r="642" spans="2:8" x14ac:dyDescent="0.3">
      <c r="B642" s="100"/>
      <c r="C642" s="100"/>
      <c r="D642" s="100"/>
      <c r="E642" s="100"/>
      <c r="F642" s="100"/>
      <c r="G642" s="100"/>
      <c r="H642" s="100"/>
    </row>
    <row r="643" spans="2:8" x14ac:dyDescent="0.3">
      <c r="B643" s="100"/>
      <c r="C643" s="100"/>
      <c r="D643" s="100"/>
      <c r="E643" s="100"/>
      <c r="F643" s="100"/>
      <c r="G643" s="100"/>
      <c r="H643" s="100"/>
    </row>
    <row r="644" spans="2:8" x14ac:dyDescent="0.3">
      <c r="B644" s="100"/>
      <c r="C644" s="100"/>
      <c r="D644" s="100"/>
      <c r="E644" s="100"/>
      <c r="F644" s="100"/>
      <c r="G644" s="100"/>
      <c r="H644" s="100"/>
    </row>
    <row r="645" spans="2:8" x14ac:dyDescent="0.3">
      <c r="B645" s="100"/>
      <c r="C645" s="100"/>
      <c r="D645" s="100"/>
      <c r="E645" s="100"/>
      <c r="F645" s="100"/>
      <c r="G645" s="100"/>
      <c r="H645" s="100"/>
    </row>
    <row r="646" spans="2:8" x14ac:dyDescent="0.3">
      <c r="B646" s="100"/>
      <c r="C646" s="100"/>
      <c r="D646" s="100"/>
      <c r="E646" s="100"/>
      <c r="F646" s="100"/>
      <c r="G646" s="100"/>
      <c r="H646" s="100"/>
    </row>
    <row r="647" spans="2:8" x14ac:dyDescent="0.3">
      <c r="B647" s="100"/>
      <c r="C647" s="100"/>
      <c r="D647" s="100"/>
      <c r="E647" s="100"/>
      <c r="F647" s="100"/>
      <c r="G647" s="100"/>
      <c r="H647" s="100"/>
    </row>
    <row r="648" spans="2:8" x14ac:dyDescent="0.3">
      <c r="B648" s="100"/>
      <c r="C648" s="100"/>
      <c r="D648" s="100"/>
      <c r="E648" s="100"/>
      <c r="F648" s="100"/>
      <c r="G648" s="100"/>
      <c r="H648" s="100"/>
    </row>
    <row r="649" spans="2:8" x14ac:dyDescent="0.3">
      <c r="B649" s="100"/>
      <c r="C649" s="100"/>
      <c r="D649" s="100"/>
      <c r="E649" s="100"/>
      <c r="F649" s="100"/>
      <c r="G649" s="100"/>
      <c r="H649" s="100"/>
    </row>
    <row r="650" spans="2:8" x14ac:dyDescent="0.3">
      <c r="B650" s="100"/>
      <c r="C650" s="100"/>
      <c r="D650" s="100"/>
      <c r="E650" s="100"/>
      <c r="F650" s="100"/>
      <c r="G650" s="100"/>
      <c r="H650" s="100"/>
    </row>
    <row r="651" spans="2:8" x14ac:dyDescent="0.3">
      <c r="B651" s="100"/>
      <c r="C651" s="100"/>
      <c r="D651" s="100"/>
      <c r="E651" s="100"/>
      <c r="F651" s="100"/>
      <c r="G651" s="100"/>
      <c r="H651" s="100"/>
    </row>
    <row r="652" spans="2:8" x14ac:dyDescent="0.3">
      <c r="B652" s="100"/>
      <c r="C652" s="100"/>
      <c r="D652" s="100"/>
      <c r="E652" s="100"/>
      <c r="F652" s="100"/>
      <c r="G652" s="100"/>
      <c r="H652" s="100"/>
    </row>
    <row r="653" spans="2:8" x14ac:dyDescent="0.3">
      <c r="B653" s="100"/>
      <c r="C653" s="100"/>
      <c r="D653" s="100"/>
      <c r="E653" s="100"/>
      <c r="F653" s="100"/>
      <c r="G653" s="100"/>
      <c r="H653" s="100"/>
    </row>
    <row r="654" spans="2:8" x14ac:dyDescent="0.3">
      <c r="B654" s="100"/>
      <c r="C654" s="100"/>
      <c r="D654" s="100"/>
      <c r="E654" s="100"/>
      <c r="F654" s="100"/>
      <c r="G654" s="100"/>
      <c r="H654" s="100"/>
    </row>
    <row r="655" spans="2:8" x14ac:dyDescent="0.3">
      <c r="B655" s="100"/>
      <c r="C655" s="100"/>
      <c r="D655" s="100"/>
      <c r="E655" s="100"/>
      <c r="F655" s="100"/>
      <c r="G655" s="100"/>
      <c r="H655" s="100"/>
    </row>
    <row r="656" spans="2:8" x14ac:dyDescent="0.3">
      <c r="B656" s="100"/>
      <c r="C656" s="100"/>
      <c r="D656" s="100"/>
      <c r="E656" s="100"/>
      <c r="F656" s="100"/>
      <c r="G656" s="100"/>
      <c r="H656" s="100"/>
    </row>
    <row r="657" spans="2:8" x14ac:dyDescent="0.3">
      <c r="B657" s="100"/>
      <c r="C657" s="100"/>
      <c r="D657" s="100"/>
      <c r="E657" s="100"/>
      <c r="F657" s="100"/>
      <c r="G657" s="100"/>
      <c r="H657" s="100"/>
    </row>
    <row r="658" spans="2:8" x14ac:dyDescent="0.3">
      <c r="B658" s="100"/>
      <c r="C658" s="100"/>
      <c r="D658" s="100"/>
      <c r="E658" s="100"/>
      <c r="F658" s="100"/>
      <c r="G658" s="100"/>
      <c r="H658" s="100"/>
    </row>
    <row r="659" spans="2:8" x14ac:dyDescent="0.3">
      <c r="B659" s="100"/>
      <c r="C659" s="100"/>
      <c r="D659" s="100"/>
      <c r="E659" s="100"/>
      <c r="F659" s="100"/>
      <c r="G659" s="100"/>
      <c r="H659" s="100"/>
    </row>
    <row r="660" spans="2:8" x14ac:dyDescent="0.3">
      <c r="B660" s="100"/>
      <c r="C660" s="100"/>
      <c r="D660" s="100"/>
      <c r="E660" s="100"/>
      <c r="F660" s="100"/>
      <c r="G660" s="100"/>
      <c r="H660" s="100"/>
    </row>
    <row r="661" spans="2:8" x14ac:dyDescent="0.3">
      <c r="B661" s="100"/>
      <c r="C661" s="100"/>
      <c r="D661" s="100"/>
      <c r="E661" s="100"/>
      <c r="F661" s="100"/>
      <c r="G661" s="100"/>
      <c r="H661" s="100"/>
    </row>
    <row r="662" spans="2:8" x14ac:dyDescent="0.3">
      <c r="B662" s="100"/>
      <c r="C662" s="100"/>
      <c r="D662" s="100"/>
      <c r="E662" s="100"/>
      <c r="F662" s="100"/>
      <c r="G662" s="100"/>
      <c r="H662" s="100"/>
    </row>
    <row r="663" spans="2:8" x14ac:dyDescent="0.3">
      <c r="B663" s="100"/>
      <c r="C663" s="100"/>
      <c r="D663" s="100"/>
      <c r="E663" s="100"/>
      <c r="F663" s="100"/>
      <c r="G663" s="100"/>
      <c r="H663" s="100"/>
    </row>
    <row r="664" spans="2:8" x14ac:dyDescent="0.3">
      <c r="B664" s="100"/>
      <c r="C664" s="100"/>
      <c r="D664" s="100"/>
      <c r="E664" s="100"/>
      <c r="F664" s="100"/>
      <c r="G664" s="100"/>
      <c r="H664" s="100"/>
    </row>
    <row r="665" spans="2:8" x14ac:dyDescent="0.3">
      <c r="B665" s="100"/>
      <c r="C665" s="100"/>
      <c r="D665" s="100"/>
      <c r="E665" s="100"/>
      <c r="F665" s="100"/>
      <c r="G665" s="100"/>
      <c r="H665" s="100"/>
    </row>
    <row r="666" spans="2:8" x14ac:dyDescent="0.3">
      <c r="B666" s="100"/>
      <c r="C666" s="100"/>
      <c r="D666" s="100"/>
      <c r="E666" s="100"/>
      <c r="F666" s="100"/>
      <c r="G666" s="100"/>
      <c r="H666" s="100"/>
    </row>
    <row r="667" spans="2:8" x14ac:dyDescent="0.3">
      <c r="B667" s="100"/>
      <c r="C667" s="100"/>
      <c r="D667" s="100"/>
      <c r="E667" s="100"/>
      <c r="F667" s="100"/>
      <c r="G667" s="100"/>
      <c r="H667" s="100"/>
    </row>
    <row r="668" spans="2:8" x14ac:dyDescent="0.3">
      <c r="B668" s="100"/>
      <c r="C668" s="100"/>
      <c r="D668" s="100"/>
      <c r="E668" s="100"/>
      <c r="F668" s="100"/>
      <c r="G668" s="100"/>
      <c r="H668" s="100"/>
    </row>
    <row r="669" spans="2:8" x14ac:dyDescent="0.3">
      <c r="B669" s="100"/>
      <c r="C669" s="100"/>
      <c r="D669" s="100"/>
      <c r="E669" s="100"/>
      <c r="F669" s="100"/>
      <c r="G669" s="100"/>
      <c r="H669" s="100"/>
    </row>
    <row r="670" spans="2:8" x14ac:dyDescent="0.3">
      <c r="B670" s="100"/>
      <c r="C670" s="100"/>
      <c r="D670" s="100"/>
      <c r="E670" s="100"/>
      <c r="F670" s="100"/>
      <c r="G670" s="100"/>
      <c r="H670" s="100"/>
    </row>
    <row r="671" spans="2:8" x14ac:dyDescent="0.3">
      <c r="B671" s="100"/>
      <c r="C671" s="100"/>
      <c r="D671" s="100"/>
      <c r="E671" s="100"/>
      <c r="F671" s="100"/>
      <c r="G671" s="100"/>
      <c r="H671" s="100"/>
    </row>
    <row r="672" spans="2:8" x14ac:dyDescent="0.3">
      <c r="B672" s="100"/>
      <c r="C672" s="100"/>
      <c r="D672" s="100"/>
      <c r="E672" s="100"/>
      <c r="F672" s="100"/>
      <c r="G672" s="100"/>
      <c r="H672" s="100"/>
    </row>
    <row r="673" spans="2:8" x14ac:dyDescent="0.3">
      <c r="B673" s="100"/>
      <c r="C673" s="100"/>
      <c r="D673" s="100"/>
      <c r="E673" s="100"/>
      <c r="F673" s="100"/>
      <c r="G673" s="100"/>
      <c r="H673" s="100"/>
    </row>
    <row r="674" spans="2:8" x14ac:dyDescent="0.3">
      <c r="B674" s="100"/>
      <c r="C674" s="100"/>
      <c r="D674" s="100"/>
      <c r="E674" s="100"/>
      <c r="F674" s="100"/>
      <c r="G674" s="100"/>
      <c r="H674" s="100"/>
    </row>
    <row r="675" spans="2:8" x14ac:dyDescent="0.3">
      <c r="B675" s="100"/>
      <c r="C675" s="100"/>
      <c r="D675" s="100"/>
      <c r="E675" s="100"/>
      <c r="F675" s="100"/>
      <c r="G675" s="100"/>
      <c r="H675" s="100"/>
    </row>
    <row r="676" spans="2:8" x14ac:dyDescent="0.3">
      <c r="B676" s="100"/>
      <c r="C676" s="100"/>
      <c r="D676" s="100"/>
      <c r="E676" s="100"/>
      <c r="F676" s="100"/>
      <c r="G676" s="100"/>
      <c r="H676" s="100"/>
    </row>
    <row r="677" spans="2:8" x14ac:dyDescent="0.3">
      <c r="B677" s="100"/>
      <c r="C677" s="100"/>
      <c r="D677" s="100"/>
      <c r="E677" s="100"/>
      <c r="F677" s="100"/>
      <c r="G677" s="100"/>
      <c r="H677" s="100"/>
    </row>
    <row r="678" spans="2:8" x14ac:dyDescent="0.3">
      <c r="B678" s="100"/>
      <c r="C678" s="100"/>
      <c r="D678" s="100"/>
      <c r="E678" s="100"/>
      <c r="F678" s="100"/>
      <c r="G678" s="100"/>
      <c r="H678" s="100"/>
    </row>
    <row r="679" spans="2:8" x14ac:dyDescent="0.3">
      <c r="B679" s="100"/>
      <c r="C679" s="100"/>
      <c r="D679" s="100"/>
      <c r="E679" s="100"/>
      <c r="F679" s="100"/>
      <c r="G679" s="100"/>
      <c r="H679" s="100"/>
    </row>
    <row r="680" spans="2:8" x14ac:dyDescent="0.3">
      <c r="B680" s="100"/>
      <c r="C680" s="100"/>
      <c r="D680" s="100"/>
      <c r="E680" s="100"/>
      <c r="F680" s="100"/>
      <c r="G680" s="100"/>
      <c r="H680" s="100"/>
    </row>
    <row r="681" spans="2:8" x14ac:dyDescent="0.3">
      <c r="B681" s="100"/>
      <c r="C681" s="100"/>
      <c r="D681" s="100"/>
      <c r="E681" s="100"/>
      <c r="F681" s="100"/>
      <c r="G681" s="100"/>
      <c r="H681" s="100"/>
    </row>
    <row r="682" spans="2:8" x14ac:dyDescent="0.3">
      <c r="B682" s="100"/>
      <c r="C682" s="100"/>
      <c r="D682" s="100"/>
      <c r="E682" s="100"/>
      <c r="F682" s="100"/>
      <c r="G682" s="100"/>
      <c r="H682" s="100"/>
    </row>
    <row r="683" spans="2:8" x14ac:dyDescent="0.3">
      <c r="B683" s="100"/>
      <c r="C683" s="100"/>
      <c r="D683" s="100"/>
      <c r="E683" s="100"/>
      <c r="F683" s="100"/>
      <c r="G683" s="100"/>
      <c r="H683" s="100"/>
    </row>
    <row r="684" spans="2:8" x14ac:dyDescent="0.3">
      <c r="B684" s="100"/>
      <c r="C684" s="100"/>
      <c r="D684" s="100"/>
      <c r="E684" s="100"/>
      <c r="F684" s="100"/>
      <c r="G684" s="100"/>
      <c r="H684" s="100"/>
    </row>
    <row r="685" spans="2:8" x14ac:dyDescent="0.3">
      <c r="B685" s="100"/>
      <c r="C685" s="100"/>
      <c r="D685" s="100"/>
      <c r="E685" s="100"/>
      <c r="F685" s="100"/>
      <c r="G685" s="100"/>
      <c r="H685" s="100"/>
    </row>
    <row r="686" spans="2:8" x14ac:dyDescent="0.3">
      <c r="B686" s="100"/>
      <c r="C686" s="100"/>
      <c r="D686" s="100"/>
      <c r="E686" s="100"/>
      <c r="F686" s="100"/>
      <c r="G686" s="100"/>
      <c r="H686" s="100"/>
    </row>
    <row r="687" spans="2:8" x14ac:dyDescent="0.3">
      <c r="B687" s="100"/>
      <c r="C687" s="100"/>
      <c r="D687" s="100"/>
      <c r="E687" s="100"/>
      <c r="F687" s="100"/>
      <c r="G687" s="100"/>
      <c r="H687" s="100"/>
    </row>
    <row r="688" spans="2:8" x14ac:dyDescent="0.3">
      <c r="B688" s="100"/>
      <c r="C688" s="100"/>
      <c r="D688" s="100"/>
      <c r="E688" s="100"/>
      <c r="F688" s="100"/>
      <c r="G688" s="100"/>
      <c r="H688" s="100"/>
    </row>
    <row r="689" spans="2:8" x14ac:dyDescent="0.3">
      <c r="B689" s="100"/>
      <c r="C689" s="100"/>
      <c r="D689" s="100"/>
      <c r="E689" s="100"/>
      <c r="F689" s="100"/>
      <c r="G689" s="100"/>
      <c r="H689" s="100"/>
    </row>
    <row r="690" spans="2:8" x14ac:dyDescent="0.3">
      <c r="B690" s="100"/>
      <c r="C690" s="100"/>
      <c r="D690" s="100"/>
      <c r="E690" s="100"/>
      <c r="F690" s="100"/>
      <c r="G690" s="100"/>
      <c r="H690" s="100"/>
    </row>
    <row r="691" spans="2:8" x14ac:dyDescent="0.3">
      <c r="B691" s="100"/>
      <c r="C691" s="100"/>
      <c r="D691" s="100"/>
      <c r="E691" s="100"/>
      <c r="F691" s="100"/>
      <c r="G691" s="100"/>
      <c r="H691" s="100"/>
    </row>
    <row r="692" spans="2:8" x14ac:dyDescent="0.3">
      <c r="B692" s="100"/>
      <c r="C692" s="100"/>
      <c r="D692" s="100"/>
      <c r="E692" s="100"/>
      <c r="F692" s="100"/>
      <c r="G692" s="100"/>
      <c r="H692" s="100"/>
    </row>
    <row r="693" spans="2:8" x14ac:dyDescent="0.3">
      <c r="B693" s="100"/>
      <c r="C693" s="100"/>
      <c r="D693" s="100"/>
      <c r="E693" s="100"/>
      <c r="F693" s="100"/>
      <c r="G693" s="100"/>
      <c r="H693" s="100"/>
    </row>
    <row r="694" spans="2:8" x14ac:dyDescent="0.3">
      <c r="B694" s="100"/>
      <c r="C694" s="100"/>
      <c r="D694" s="100"/>
      <c r="E694" s="100"/>
      <c r="F694" s="100"/>
      <c r="G694" s="100"/>
      <c r="H694" s="100"/>
    </row>
    <row r="695" spans="2:8" x14ac:dyDescent="0.3">
      <c r="B695" s="100"/>
      <c r="C695" s="100"/>
      <c r="D695" s="100"/>
      <c r="E695" s="100"/>
      <c r="F695" s="100"/>
      <c r="G695" s="100"/>
      <c r="H695" s="100"/>
    </row>
    <row r="696" spans="2:8" x14ac:dyDescent="0.3">
      <c r="B696" s="100"/>
      <c r="C696" s="100"/>
      <c r="D696" s="100"/>
      <c r="E696" s="100"/>
      <c r="F696" s="100"/>
      <c r="G696" s="100"/>
      <c r="H696" s="100"/>
    </row>
    <row r="697" spans="2:8" x14ac:dyDescent="0.3">
      <c r="B697" s="100"/>
      <c r="C697" s="100"/>
      <c r="D697" s="100"/>
      <c r="E697" s="100"/>
      <c r="F697" s="100"/>
      <c r="G697" s="100"/>
      <c r="H697" s="100"/>
    </row>
    <row r="698" spans="2:8" x14ac:dyDescent="0.3">
      <c r="B698" s="100"/>
      <c r="C698" s="100"/>
      <c r="D698" s="100"/>
      <c r="E698" s="100"/>
      <c r="F698" s="100"/>
      <c r="G698" s="100"/>
      <c r="H698" s="100"/>
    </row>
  </sheetData>
  <pageMargins left="0.70000004768371582" right="0.70000004768371582" top="0.75" bottom="0.75" header="0.30000001192092896" footer="0.3000000119209289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5"/>
  <sheetViews>
    <sheetView workbookViewId="0">
      <selection activeCell="A37" sqref="A37"/>
    </sheetView>
  </sheetViews>
  <sheetFormatPr defaultRowHeight="14.4" x14ac:dyDescent="0.3"/>
  <cols>
    <col min="1" max="1" width="72.88671875" bestFit="1" customWidth="1"/>
    <col min="2" max="2" width="33.109375" bestFit="1" customWidth="1"/>
  </cols>
  <sheetData>
    <row r="3" spans="1:2" x14ac:dyDescent="0.3">
      <c r="A3" s="116" t="s">
        <v>921</v>
      </c>
      <c r="B3" t="s">
        <v>957</v>
      </c>
    </row>
    <row r="4" spans="1:2" x14ac:dyDescent="0.3">
      <c r="A4" s="6" t="s">
        <v>529</v>
      </c>
      <c r="B4">
        <v>9</v>
      </c>
    </row>
    <row r="5" spans="1:2" x14ac:dyDescent="0.3">
      <c r="A5" s="6" t="s">
        <v>954</v>
      </c>
      <c r="B5">
        <v>3</v>
      </c>
    </row>
    <row r="6" spans="1:2" x14ac:dyDescent="0.3">
      <c r="A6" s="6" t="s">
        <v>285</v>
      </c>
      <c r="B6">
        <v>3</v>
      </c>
    </row>
    <row r="7" spans="1:2" x14ac:dyDescent="0.3">
      <c r="A7" s="6" t="s">
        <v>142</v>
      </c>
      <c r="B7">
        <v>1</v>
      </c>
    </row>
    <row r="8" spans="1:2" x14ac:dyDescent="0.3">
      <c r="A8" s="6" t="s">
        <v>814</v>
      </c>
      <c r="B8">
        <v>14</v>
      </c>
    </row>
    <row r="9" spans="1:2" x14ac:dyDescent="0.3">
      <c r="A9" s="6" t="s">
        <v>822</v>
      </c>
      <c r="B9">
        <v>3</v>
      </c>
    </row>
    <row r="10" spans="1:2" x14ac:dyDescent="0.3">
      <c r="A10" s="6" t="s">
        <v>483</v>
      </c>
      <c r="B10">
        <v>4</v>
      </c>
    </row>
    <row r="11" spans="1:2" x14ac:dyDescent="0.3">
      <c r="A11" s="6" t="s">
        <v>952</v>
      </c>
      <c r="B11">
        <v>2</v>
      </c>
    </row>
    <row r="12" spans="1:2" x14ac:dyDescent="0.3">
      <c r="A12" s="6" t="s">
        <v>589</v>
      </c>
      <c r="B12">
        <v>3</v>
      </c>
    </row>
    <row r="13" spans="1:2" x14ac:dyDescent="0.3">
      <c r="A13" s="6" t="s">
        <v>953</v>
      </c>
      <c r="B13">
        <v>22</v>
      </c>
    </row>
    <row r="14" spans="1:2" x14ac:dyDescent="0.3">
      <c r="A14" s="6" t="s">
        <v>946</v>
      </c>
      <c r="B14">
        <v>5</v>
      </c>
    </row>
    <row r="15" spans="1:2" x14ac:dyDescent="0.3">
      <c r="A15" s="6" t="s">
        <v>820</v>
      </c>
      <c r="B15">
        <v>1</v>
      </c>
    </row>
    <row r="16" spans="1:2" x14ac:dyDescent="0.3">
      <c r="A16" s="6" t="s">
        <v>828</v>
      </c>
      <c r="B16">
        <v>2</v>
      </c>
    </row>
    <row r="17" spans="1:2" x14ac:dyDescent="0.3">
      <c r="A17" s="6" t="s">
        <v>836</v>
      </c>
      <c r="B17">
        <v>1</v>
      </c>
    </row>
    <row r="18" spans="1:2" x14ac:dyDescent="0.3">
      <c r="A18" s="6" t="s">
        <v>949</v>
      </c>
      <c r="B18">
        <v>3</v>
      </c>
    </row>
    <row r="19" spans="1:2" x14ac:dyDescent="0.3">
      <c r="A19" s="6" t="s">
        <v>492</v>
      </c>
      <c r="B19">
        <v>3</v>
      </c>
    </row>
    <row r="20" spans="1:2" x14ac:dyDescent="0.3">
      <c r="A20" s="6" t="s">
        <v>614</v>
      </c>
      <c r="B20">
        <v>2</v>
      </c>
    </row>
    <row r="21" spans="1:2" x14ac:dyDescent="0.3">
      <c r="A21" s="6" t="s">
        <v>948</v>
      </c>
      <c r="B21">
        <v>2</v>
      </c>
    </row>
    <row r="22" spans="1:2" x14ac:dyDescent="0.3">
      <c r="A22" s="6" t="s">
        <v>515</v>
      </c>
      <c r="B22">
        <v>1</v>
      </c>
    </row>
    <row r="23" spans="1:2" x14ac:dyDescent="0.3">
      <c r="A23" s="6" t="s">
        <v>955</v>
      </c>
      <c r="B23">
        <v>1</v>
      </c>
    </row>
    <row r="24" spans="1:2" x14ac:dyDescent="0.3">
      <c r="A24" s="6" t="s">
        <v>956</v>
      </c>
      <c r="B24">
        <v>11</v>
      </c>
    </row>
    <row r="25" spans="1:2" x14ac:dyDescent="0.3">
      <c r="A25" s="6" t="s">
        <v>945</v>
      </c>
      <c r="B25">
        <v>1</v>
      </c>
    </row>
    <row r="26" spans="1:2" x14ac:dyDescent="0.3">
      <c r="A26" s="6" t="s">
        <v>944</v>
      </c>
      <c r="B26">
        <v>3</v>
      </c>
    </row>
    <row r="27" spans="1:2" x14ac:dyDescent="0.3">
      <c r="A27" s="6" t="s">
        <v>950</v>
      </c>
      <c r="B27">
        <v>2</v>
      </c>
    </row>
    <row r="28" spans="1:2" x14ac:dyDescent="0.3">
      <c r="A28" s="6" t="s">
        <v>947</v>
      </c>
      <c r="B28">
        <v>2</v>
      </c>
    </row>
    <row r="29" spans="1:2" x14ac:dyDescent="0.3">
      <c r="A29" s="6" t="s">
        <v>624</v>
      </c>
      <c r="B29">
        <v>1</v>
      </c>
    </row>
    <row r="30" spans="1:2" x14ac:dyDescent="0.3">
      <c r="A30" s="6" t="s">
        <v>438</v>
      </c>
      <c r="B30">
        <v>53</v>
      </c>
    </row>
    <row r="31" spans="1:2" x14ac:dyDescent="0.3">
      <c r="A31" s="6" t="s">
        <v>431</v>
      </c>
      <c r="B31">
        <v>70</v>
      </c>
    </row>
    <row r="32" spans="1:2" x14ac:dyDescent="0.3">
      <c r="A32" s="6" t="s">
        <v>943</v>
      </c>
      <c r="B32">
        <v>14</v>
      </c>
    </row>
    <row r="33" spans="1:2" x14ac:dyDescent="0.3">
      <c r="A33" s="6" t="s">
        <v>951</v>
      </c>
      <c r="B33">
        <v>12</v>
      </c>
    </row>
    <row r="34" spans="1:2" x14ac:dyDescent="0.3">
      <c r="A34" s="6" t="s">
        <v>793</v>
      </c>
      <c r="B34">
        <v>2</v>
      </c>
    </row>
    <row r="35" spans="1:2" x14ac:dyDescent="0.3">
      <c r="A35" s="6" t="s">
        <v>930</v>
      </c>
      <c r="B35">
        <v>256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heetViews>
  <sheetFormatPr defaultColWidth="9.109375" defaultRowHeight="14.4" x14ac:dyDescent="0.3"/>
  <cols>
    <col min="1" max="1" width="48.44140625" customWidth="1"/>
    <col min="3" max="3" width="17.88671875" customWidth="1"/>
  </cols>
  <sheetData>
    <row r="1" spans="1:3" x14ac:dyDescent="0.3">
      <c r="A1" s="103" t="s">
        <v>905</v>
      </c>
      <c r="B1" s="104"/>
      <c r="C1" t="s">
        <v>906</v>
      </c>
    </row>
    <row r="2" spans="1:3" x14ac:dyDescent="0.3">
      <c r="A2" s="103" t="s">
        <v>907</v>
      </c>
      <c r="B2" s="104"/>
    </row>
    <row r="3" spans="1:3" x14ac:dyDescent="0.3">
      <c r="A3" s="103" t="s">
        <v>908</v>
      </c>
      <c r="B3" s="104"/>
    </row>
    <row r="4" spans="1:3" x14ac:dyDescent="0.3">
      <c r="A4" s="103" t="s">
        <v>910</v>
      </c>
      <c r="B4" s="104"/>
    </row>
    <row r="5" spans="1:3" x14ac:dyDescent="0.3">
      <c r="A5" s="103" t="s">
        <v>682</v>
      </c>
      <c r="B5" s="104"/>
    </row>
    <row r="6" spans="1:3" x14ac:dyDescent="0.3">
      <c r="A6" s="103" t="s">
        <v>911</v>
      </c>
      <c r="B6" s="105"/>
    </row>
    <row r="7" spans="1:3" x14ac:dyDescent="0.3">
      <c r="A7" s="103" t="s">
        <v>262</v>
      </c>
      <c r="B7" s="104"/>
    </row>
    <row r="8" spans="1:3" x14ac:dyDescent="0.3">
      <c r="A8" s="103" t="s">
        <v>909</v>
      </c>
      <c r="B8" s="104"/>
      <c r="C8" t="s">
        <v>906</v>
      </c>
    </row>
    <row r="9" spans="1:3" x14ac:dyDescent="0.3">
      <c r="A9" s="103" t="s">
        <v>914</v>
      </c>
      <c r="B9" s="104"/>
      <c r="C9" t="s">
        <v>906</v>
      </c>
    </row>
    <row r="10" spans="1:3" x14ac:dyDescent="0.3">
      <c r="A10" s="103" t="s">
        <v>912</v>
      </c>
      <c r="B10" s="104"/>
    </row>
    <row r="11" spans="1:3" x14ac:dyDescent="0.3">
      <c r="A11" s="106" t="s">
        <v>913</v>
      </c>
      <c r="B11" s="104"/>
    </row>
    <row r="12" spans="1:3" x14ac:dyDescent="0.3">
      <c r="A12" s="100"/>
      <c r="B12" s="100"/>
    </row>
    <row r="13" spans="1:3" x14ac:dyDescent="0.3">
      <c r="A13" s="100"/>
      <c r="B13" s="100"/>
    </row>
    <row r="14" spans="1:3" x14ac:dyDescent="0.3">
      <c r="A14" s="100"/>
      <c r="B14" s="100"/>
    </row>
    <row r="15" spans="1:3" x14ac:dyDescent="0.3">
      <c r="A15" s="100"/>
      <c r="B15" s="100"/>
    </row>
  </sheetData>
  <pageMargins left="0.70000004768371582" right="0.70000004768371582" top="0.75" bottom="0.75" header="0.30000001192092896" footer="0.30000001192092896"/>
  <pageSetup paperSize="9" fitToWidth="0" fitToHeight="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4"/>
  <sheetViews>
    <sheetView workbookViewId="0"/>
  </sheetViews>
  <sheetFormatPr defaultColWidth="9.109375" defaultRowHeight="14.4" x14ac:dyDescent="0.3"/>
  <sheetData>
    <row r="2" spans="2:6" x14ac:dyDescent="0.3">
      <c r="B2" s="107" t="s">
        <v>915</v>
      </c>
    </row>
    <row r="3" spans="2:6" x14ac:dyDescent="0.3">
      <c r="B3" s="108" t="s">
        <v>916</v>
      </c>
      <c r="C3" s="108" t="s">
        <v>917</v>
      </c>
      <c r="D3" s="108" t="s">
        <v>918</v>
      </c>
      <c r="E3" s="108" t="s">
        <v>919</v>
      </c>
      <c r="F3" s="108">
        <v>2025</v>
      </c>
    </row>
    <row r="4" spans="2:6" x14ac:dyDescent="0.3">
      <c r="B4" s="100">
        <v>58</v>
      </c>
      <c r="C4" s="100">
        <v>59</v>
      </c>
      <c r="D4" s="100">
        <v>66</v>
      </c>
      <c r="E4" s="100">
        <v>64</v>
      </c>
      <c r="F4" s="100">
        <f>SUM(B4:E4)</f>
        <v>247</v>
      </c>
    </row>
  </sheetData>
  <pageMargins left="0.70000004768371582" right="0.70000004768371582" top="0.75" bottom="0.75" header="0.30000001192092896" footer="0.3000000119209289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heetViews>
  <sheetFormatPr defaultColWidth="9.109375" defaultRowHeight="14.4" x14ac:dyDescent="0.3"/>
  <cols>
    <col min="1" max="1" width="47.88671875" bestFit="1" customWidth="1"/>
    <col min="2" max="2" width="32.33203125" bestFit="1" customWidth="1"/>
    <col min="3" max="3" width="52.44140625" customWidth="1"/>
    <col min="4" max="4" width="20.44140625" customWidth="1"/>
    <col min="5" max="5" width="27.33203125" bestFit="1" customWidth="1"/>
    <col min="6" max="6" width="15.5546875" bestFit="1" customWidth="1"/>
    <col min="7" max="7" width="14.109375" bestFit="1" customWidth="1"/>
  </cols>
  <sheetData>
    <row r="1" spans="1:7" x14ac:dyDescent="0.3">
      <c r="A1" t="s">
        <v>920</v>
      </c>
      <c r="B1">
        <v>247</v>
      </c>
    </row>
    <row r="2" spans="1:7" x14ac:dyDescent="0.3">
      <c r="A2" s="109" t="s">
        <v>921</v>
      </c>
      <c r="B2" s="109" t="s">
        <v>922</v>
      </c>
      <c r="C2" s="109" t="s">
        <v>923</v>
      </c>
      <c r="D2" s="109" t="s">
        <v>924</v>
      </c>
      <c r="E2" s="109" t="s">
        <v>925</v>
      </c>
      <c r="F2" s="110" t="s">
        <v>926</v>
      </c>
      <c r="G2" s="110" t="s">
        <v>927</v>
      </c>
    </row>
    <row r="3" spans="1:7" x14ac:dyDescent="0.3">
      <c r="A3" s="6" t="s">
        <v>928</v>
      </c>
      <c r="B3">
        <v>12</v>
      </c>
      <c r="D3">
        <v>0</v>
      </c>
      <c r="E3">
        <f t="shared" ref="E3:E14" si="0">SUM(B3:D3)</f>
        <v>12</v>
      </c>
      <c r="F3" s="3">
        <f t="shared" ref="F3:F15" si="1">E3*$B$1</f>
        <v>2964</v>
      </c>
      <c r="G3" s="111">
        <f t="shared" ref="G3:G15" si="2">(B3+C3)/E3</f>
        <v>1</v>
      </c>
    </row>
    <row r="4" spans="1:7" x14ac:dyDescent="0.3">
      <c r="A4" s="6" t="s">
        <v>289</v>
      </c>
      <c r="B4">
        <v>54</v>
      </c>
      <c r="C4">
        <v>2</v>
      </c>
      <c r="D4">
        <v>23</v>
      </c>
      <c r="E4">
        <f t="shared" si="0"/>
        <v>79</v>
      </c>
      <c r="F4" s="3">
        <f t="shared" si="1"/>
        <v>19513</v>
      </c>
      <c r="G4" s="111">
        <f t="shared" si="2"/>
        <v>0.70886075949367089</v>
      </c>
    </row>
    <row r="5" spans="1:7" x14ac:dyDescent="0.3">
      <c r="A5" s="6" t="s">
        <v>680</v>
      </c>
      <c r="B5">
        <v>28</v>
      </c>
      <c r="C5">
        <v>3</v>
      </c>
      <c r="D5">
        <v>28</v>
      </c>
      <c r="E5">
        <f t="shared" si="0"/>
        <v>59</v>
      </c>
      <c r="F5" s="3">
        <f t="shared" si="1"/>
        <v>14573</v>
      </c>
      <c r="G5" s="111">
        <f t="shared" si="2"/>
        <v>0.52542372881355937</v>
      </c>
    </row>
    <row r="6" spans="1:7" x14ac:dyDescent="0.3">
      <c r="A6" s="6" t="s">
        <v>681</v>
      </c>
      <c r="B6">
        <v>67</v>
      </c>
      <c r="C6">
        <v>3</v>
      </c>
      <c r="D6">
        <v>63</v>
      </c>
      <c r="E6">
        <f t="shared" si="0"/>
        <v>133</v>
      </c>
      <c r="F6" s="3">
        <f t="shared" si="1"/>
        <v>32851</v>
      </c>
      <c r="G6" s="111">
        <f t="shared" si="2"/>
        <v>0.52631578947368418</v>
      </c>
    </row>
    <row r="7" spans="1:7" x14ac:dyDescent="0.3">
      <c r="A7" s="6" t="s">
        <v>202</v>
      </c>
      <c r="B7">
        <v>219</v>
      </c>
      <c r="C7">
        <v>3</v>
      </c>
      <c r="D7">
        <v>125</v>
      </c>
      <c r="E7">
        <f t="shared" si="0"/>
        <v>347</v>
      </c>
      <c r="F7" s="3">
        <f t="shared" si="1"/>
        <v>85709</v>
      </c>
      <c r="G7" s="111">
        <f t="shared" si="2"/>
        <v>0.63976945244956773</v>
      </c>
    </row>
    <row r="8" spans="1:7" x14ac:dyDescent="0.3">
      <c r="A8" s="6" t="s">
        <v>262</v>
      </c>
      <c r="B8">
        <v>185</v>
      </c>
      <c r="C8">
        <v>3</v>
      </c>
      <c r="D8">
        <v>15</v>
      </c>
      <c r="E8">
        <f t="shared" si="0"/>
        <v>203</v>
      </c>
      <c r="F8" s="3">
        <f t="shared" si="1"/>
        <v>50141</v>
      </c>
      <c r="G8" s="111">
        <f t="shared" si="2"/>
        <v>0.92610837438423643</v>
      </c>
    </row>
    <row r="9" spans="1:7" x14ac:dyDescent="0.3">
      <c r="A9" s="6" t="s">
        <v>682</v>
      </c>
      <c r="B9">
        <v>36</v>
      </c>
      <c r="C9">
        <v>2</v>
      </c>
      <c r="D9">
        <v>50</v>
      </c>
      <c r="E9">
        <f t="shared" si="0"/>
        <v>88</v>
      </c>
      <c r="F9" s="3">
        <f t="shared" si="1"/>
        <v>21736</v>
      </c>
      <c r="G9" s="111">
        <f t="shared" si="2"/>
        <v>0.43181818181818182</v>
      </c>
    </row>
    <row r="10" spans="1:7" x14ac:dyDescent="0.3">
      <c r="A10" s="6" t="s">
        <v>758</v>
      </c>
      <c r="B10">
        <v>165</v>
      </c>
      <c r="C10">
        <v>3</v>
      </c>
      <c r="D10">
        <v>26</v>
      </c>
      <c r="E10">
        <f t="shared" si="0"/>
        <v>194</v>
      </c>
      <c r="F10" s="3">
        <f t="shared" si="1"/>
        <v>47918</v>
      </c>
      <c r="G10" s="111">
        <f t="shared" si="2"/>
        <v>0.865979381443299</v>
      </c>
    </row>
    <row r="11" spans="1:7" x14ac:dyDescent="0.3">
      <c r="A11" s="6" t="s">
        <v>759</v>
      </c>
      <c r="B11">
        <v>104</v>
      </c>
      <c r="C11">
        <v>5</v>
      </c>
      <c r="D11">
        <v>26</v>
      </c>
      <c r="E11">
        <f t="shared" si="0"/>
        <v>135</v>
      </c>
      <c r="F11" s="3">
        <f t="shared" si="1"/>
        <v>33345</v>
      </c>
      <c r="G11" s="111">
        <f t="shared" si="2"/>
        <v>0.80740740740740746</v>
      </c>
    </row>
    <row r="12" spans="1:7" x14ac:dyDescent="0.3">
      <c r="A12" s="6" t="s">
        <v>685</v>
      </c>
      <c r="B12">
        <v>31</v>
      </c>
      <c r="D12">
        <v>46</v>
      </c>
      <c r="E12">
        <f t="shared" si="0"/>
        <v>77</v>
      </c>
      <c r="F12" s="3">
        <f t="shared" si="1"/>
        <v>19019</v>
      </c>
      <c r="G12" s="111">
        <f t="shared" si="2"/>
        <v>0.40259740259740262</v>
      </c>
    </row>
    <row r="13" spans="1:7" x14ac:dyDescent="0.3">
      <c r="A13" s="6" t="s">
        <v>929</v>
      </c>
      <c r="B13">
        <v>7</v>
      </c>
      <c r="E13">
        <f t="shared" si="0"/>
        <v>7</v>
      </c>
      <c r="F13" s="3">
        <f t="shared" si="1"/>
        <v>1729</v>
      </c>
      <c r="G13" s="111">
        <f t="shared" si="2"/>
        <v>1</v>
      </c>
    </row>
    <row r="14" spans="1:7" x14ac:dyDescent="0.3">
      <c r="A14" s="6" t="s">
        <v>446</v>
      </c>
      <c r="B14">
        <v>31</v>
      </c>
      <c r="C14">
        <v>2</v>
      </c>
      <c r="D14">
        <v>31</v>
      </c>
      <c r="E14">
        <f t="shared" si="0"/>
        <v>64</v>
      </c>
      <c r="F14" s="3">
        <f t="shared" si="1"/>
        <v>15808</v>
      </c>
      <c r="G14" s="111">
        <f t="shared" si="2"/>
        <v>0.515625</v>
      </c>
    </row>
    <row r="15" spans="1:7" x14ac:dyDescent="0.3">
      <c r="A15" s="112" t="s">
        <v>930</v>
      </c>
      <c r="B15" s="113">
        <f>SUM(B3:B14)</f>
        <v>939</v>
      </c>
      <c r="C15" s="113">
        <f>SUM(C3:C14)</f>
        <v>26</v>
      </c>
      <c r="D15" s="113">
        <f>SUM(D3:D14)</f>
        <v>433</v>
      </c>
      <c r="E15" s="113">
        <f>SUM(E3:E14)</f>
        <v>1398</v>
      </c>
      <c r="F15" s="3">
        <f t="shared" si="1"/>
        <v>345306</v>
      </c>
      <c r="G15" s="111">
        <f t="shared" si="2"/>
        <v>0.69027181688125894</v>
      </c>
    </row>
    <row r="16" spans="1:7" x14ac:dyDescent="0.3">
      <c r="F16" s="3"/>
      <c r="G16" s="111"/>
    </row>
  </sheetData>
  <pageMargins left="0.70000004768371582" right="0.70000004768371582" top="0.75" bottom="0.75" header="0.30000001192092896" footer="0.30000001192092896"/>
</worksheet>
</file>

<file path=docProps/app.xml><?xml version="1.0" encoding="utf-8"?>
<Properties xmlns="http://schemas.openxmlformats.org/officeDocument/2006/extended-properties" xmlns:vt="http://schemas.openxmlformats.org/officeDocument/2006/docPropsVTypes">
  <Template>Normal.dotm</Template>
  <TotalTime>0</TotalTime>
  <Application>Microsoft Excel</Application>
  <DocSecurity>0</DocSecurity>
  <ScaleCrop>false</ScaleCrop>
  <HeadingPairs>
    <vt:vector size="4" baseType="variant">
      <vt:variant>
        <vt:lpstr>Листы</vt:lpstr>
      </vt:variant>
      <vt:variant>
        <vt:i4>14</vt:i4>
      </vt:variant>
      <vt:variant>
        <vt:lpstr>Именованные диапазоны</vt:lpstr>
      </vt:variant>
      <vt:variant>
        <vt:i4>1</vt:i4>
      </vt:variant>
    </vt:vector>
  </HeadingPairs>
  <TitlesOfParts>
    <vt:vector size="15" baseType="lpstr">
      <vt:lpstr>Свод</vt:lpstr>
      <vt:lpstr>Правила заполнения</vt:lpstr>
      <vt:lpstr>Оценка Инициативы</vt:lpstr>
      <vt:lpstr>Опросник</vt:lpstr>
      <vt:lpstr>Тип задач</vt:lpstr>
      <vt:lpstr>Стримы</vt:lpstr>
      <vt:lpstr>Задачи</vt:lpstr>
      <vt:lpstr>Департаменты</vt:lpstr>
      <vt:lpstr>Лицензионные ИС</vt:lpstr>
      <vt:lpstr>Оборудование</vt:lpstr>
      <vt:lpstr>Свод деп.</vt:lpstr>
      <vt:lpstr>Статус</vt:lpstr>
      <vt:lpstr>Рабочие дни </vt:lpstr>
      <vt:lpstr>Стримы доля Иннотех</vt:lpstr>
      <vt:lpstr>'Правила заполнения'!Область_печати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Романишин Иван Владимирович</dc:creator>
  <cp:lastModifiedBy>Кузнецова Ксения Андреевна</cp:lastModifiedBy>
  <dcterms:created xsi:type="dcterms:W3CDTF">2024-03-18T08:55:27Z</dcterms:created>
  <dcterms:modified xsi:type="dcterms:W3CDTF">2026-08-05T14:44:25Z</dcterms:modified>
</cp:coreProperties>
</file>